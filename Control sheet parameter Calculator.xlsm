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Shahwan\2- Work\1- PMP\3- Books\2- Forms\Project\New\"/>
    </mc:Choice>
  </mc:AlternateContent>
  <xr:revisionPtr revIDLastSave="0" documentId="13_ncr:1_{C4951FEE-EFB5-4AD5-9D6C-6CA9C2BA6848}" xr6:coauthVersionLast="36" xr6:coauthVersionMax="47" xr10:uidLastSave="{00000000-0000-0000-0000-000000000000}"/>
  <bookViews>
    <workbookView xWindow="-90" yWindow="-90" windowWidth="21525" windowHeight="11580" firstSheet="9" activeTab="9" xr2:uid="{00000000-000D-0000-FFFF-FFFF00000000}"/>
  </bookViews>
  <sheets>
    <sheet name="Steel erev." sheetId="9" state="hidden" r:id="rId1"/>
    <sheet name="Sheet1" sheetId="10" state="hidden" r:id="rId2"/>
    <sheet name="BoQ" sheetId="4" state="hidden" r:id="rId3"/>
    <sheet name="Area Split" sheetId="3" state="hidden" r:id="rId4"/>
    <sheet name="Painting" sheetId="19" state="hidden" r:id="rId5"/>
    <sheet name="Piping W.L." sheetId="11" state="hidden" r:id="rId6"/>
    <sheet name="Piping Chart" sheetId="12" state="hidden" r:id="rId7"/>
    <sheet name="Steel Structure W.L." sheetId="14" state="hidden" r:id="rId8"/>
    <sheet name="Steel Structure Chart" sheetId="16" state="hidden" r:id="rId9"/>
    <sheet name="WL" sheetId="20" r:id="rId10"/>
    <sheet name="Control sheet" sheetId="17" r:id="rId11"/>
    <sheet name="Sheet4" sheetId="13" state="hidden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</externalReferences>
  <definedNames>
    <definedName name="\0" localSheetId="7">#REF!</definedName>
    <definedName name="\0">#REF!</definedName>
    <definedName name="\A" localSheetId="7">#REF!</definedName>
    <definedName name="\A">#REF!</definedName>
    <definedName name="\c" localSheetId="7">#REF!</definedName>
    <definedName name="\c">#REF!</definedName>
    <definedName name="\E" localSheetId="7">#REF!</definedName>
    <definedName name="\E">#REF!</definedName>
    <definedName name="\F" localSheetId="7">#REF!</definedName>
    <definedName name="\F">#REF!</definedName>
    <definedName name="\g" localSheetId="7">#REF!</definedName>
    <definedName name="\g">#REF!</definedName>
    <definedName name="\I" localSheetId="7">#REF!</definedName>
    <definedName name="\I">#REF!</definedName>
    <definedName name="\J" localSheetId="7">#REF!</definedName>
    <definedName name="\J">#REF!</definedName>
    <definedName name="\l" localSheetId="7">#REF!</definedName>
    <definedName name="\l">#REF!</definedName>
    <definedName name="\M" localSheetId="7">#REF!</definedName>
    <definedName name="\M">#REF!</definedName>
    <definedName name="\N" localSheetId="7">#REF!</definedName>
    <definedName name="\N">#REF!</definedName>
    <definedName name="\P" localSheetId="7">#REF!</definedName>
    <definedName name="\P">#REF!</definedName>
    <definedName name="\s" localSheetId="7">#REF!</definedName>
    <definedName name="\s">#REF!</definedName>
    <definedName name="\T" localSheetId="7">#REF!</definedName>
    <definedName name="\T">#REF!</definedName>
    <definedName name="\X" localSheetId="7">#REF!</definedName>
    <definedName name="\X">#REF!</definedName>
    <definedName name="\Z" localSheetId="7">#REF!</definedName>
    <definedName name="\Z">#REF!</definedName>
    <definedName name="_1Module_P_.ProjDataOk">[1]!_1Module_P_.ProjDataOk</definedName>
    <definedName name="_2module4_1_.begin_macro">[1]!_2module4_1_.begin_macro</definedName>
    <definedName name="_APP1" localSheetId="7">#REF!</definedName>
    <definedName name="_APP1">#REF!</definedName>
    <definedName name="_APP2" localSheetId="7">#REF!</definedName>
    <definedName name="_APP2">#REF!</definedName>
    <definedName name="_APP3" localSheetId="7">#REF!</definedName>
    <definedName name="_APP3">#REF!</definedName>
    <definedName name="_APP4" localSheetId="7">#REF!</definedName>
    <definedName name="_APP4">#REF!</definedName>
    <definedName name="_BYE1" localSheetId="7">#REF!</definedName>
    <definedName name="_BYE1">#REF!</definedName>
    <definedName name="_BYE2" localSheetId="7">#REF!</definedName>
    <definedName name="_BYE2">#REF!</definedName>
    <definedName name="_BYE3" localSheetId="7">#REF!</definedName>
    <definedName name="_BYE3">#REF!</definedName>
    <definedName name="_BYE4" localSheetId="7">#REF!</definedName>
    <definedName name="_BYE4">#REF!</definedName>
    <definedName name="_CAL1" localSheetId="7">#REF!</definedName>
    <definedName name="_CAL1">#REF!</definedName>
    <definedName name="_CAL2" localSheetId="7">#REF!</definedName>
    <definedName name="_CAL2">#REF!</definedName>
    <definedName name="_CAL3" localSheetId="7">#REF!</definedName>
    <definedName name="_CAL3">#REF!</definedName>
    <definedName name="_CAL4" localSheetId="7">#REF!</definedName>
    <definedName name="_CAL4">#REF!</definedName>
    <definedName name="_CHK1" localSheetId="7">#REF!</definedName>
    <definedName name="_CHK1">#REF!</definedName>
    <definedName name="_CHK2" localSheetId="7">#REF!</definedName>
    <definedName name="_CHK2">#REF!</definedName>
    <definedName name="_CHK3" localSheetId="7">#REF!</definedName>
    <definedName name="_CHK3">#REF!</definedName>
    <definedName name="_CHK4" localSheetId="7">#REF!</definedName>
    <definedName name="_CHK4">#REF!</definedName>
    <definedName name="_DAT1" localSheetId="7">#REF!</definedName>
    <definedName name="_DAT1">#REF!</definedName>
    <definedName name="_DAT2" localSheetId="7">#REF!</definedName>
    <definedName name="_DAT2">#REF!</definedName>
    <definedName name="_DAT3" localSheetId="7">#REF!</definedName>
    <definedName name="_DAT3">#REF!</definedName>
    <definedName name="_DAT4" localSheetId="7">#REF!</definedName>
    <definedName name="_DAT4">#REF!</definedName>
    <definedName name="_DCS1" localSheetId="7">#REF!</definedName>
    <definedName name="_DCS1">#REF!</definedName>
    <definedName name="_DCS2" localSheetId="7">#REF!</definedName>
    <definedName name="_DCS2">#REF!</definedName>
    <definedName name="_ELP1" localSheetId="7">#REF!</definedName>
    <definedName name="_ELP1">#REF!</definedName>
    <definedName name="_ELP2" localSheetId="7">#REF!</definedName>
    <definedName name="_ELP2">#REF!</definedName>
    <definedName name="_ELP3" localSheetId="7">#REF!</definedName>
    <definedName name="_ELP3">#REF!</definedName>
    <definedName name="_ELP4" localSheetId="7">#REF!</definedName>
    <definedName name="_ELP4">#REF!</definedName>
    <definedName name="_FDT1" localSheetId="7">#REF!</definedName>
    <definedName name="_FDT1">#REF!</definedName>
    <definedName name="_FDT2" localSheetId="7">#REF!</definedName>
    <definedName name="_FDT2">#REF!</definedName>
    <definedName name="_FDT3" localSheetId="7">#REF!</definedName>
    <definedName name="_FDT3">#REF!</definedName>
    <definedName name="_FDT4" localSheetId="7">#REF!</definedName>
    <definedName name="_FDT4">#REF!</definedName>
    <definedName name="_xlnm._FilterDatabase" localSheetId="10" hidden="1">'Control sheet'!$H$6:$Y$685</definedName>
    <definedName name="_xlnm._FilterDatabase" localSheetId="0" hidden="1">'Steel erev.'!$A$7:$G$43</definedName>
    <definedName name="_HMB1" localSheetId="7">#REF!</definedName>
    <definedName name="_HMB1">#REF!</definedName>
    <definedName name="_HMB2" localSheetId="7">#REF!</definedName>
    <definedName name="_HMB2">#REF!</definedName>
    <definedName name="_IMP1" localSheetId="7">#REF!</definedName>
    <definedName name="_IMP1">#REF!</definedName>
    <definedName name="_IMP2" localSheetId="7">#REF!</definedName>
    <definedName name="_IMP2">#REF!</definedName>
    <definedName name="_IMP5" localSheetId="7">#REF!</definedName>
    <definedName name="_IMP5">#REF!</definedName>
    <definedName name="_LIQ1" localSheetId="7">#REF!</definedName>
    <definedName name="_LIQ1">#REF!</definedName>
    <definedName name="_LIQ2" localSheetId="7">#REF!</definedName>
    <definedName name="_LIQ2">#REF!</definedName>
    <definedName name="_LIQ3" localSheetId="7">#REF!</definedName>
    <definedName name="_LIQ3">#REF!</definedName>
    <definedName name="_LIQ4" localSheetId="7">#REF!</definedName>
    <definedName name="_LIQ4">#REF!</definedName>
    <definedName name="_ODP1" localSheetId="7">#REF!</definedName>
    <definedName name="_ODP1">#REF!</definedName>
    <definedName name="_ODP2" localSheetId="7">#REF!</definedName>
    <definedName name="_ODP2">#REF!</definedName>
    <definedName name="_ODP3" localSheetId="7">#REF!</definedName>
    <definedName name="_ODP3">#REF!</definedName>
    <definedName name="_ODP4" localSheetId="7">#REF!</definedName>
    <definedName name="_ODP4">#REF!</definedName>
    <definedName name="_Order1" localSheetId="0" hidden="1">0</definedName>
    <definedName name="_Order1">255</definedName>
    <definedName name="_Order2">0</definedName>
    <definedName name="_P1" localSheetId="7">{"본부영업.xls"}</definedName>
    <definedName name="_P1">{"본부영업.xls"}</definedName>
    <definedName name="_R2L3_SPRJM" localSheetId="2">#REF!</definedName>
    <definedName name="_R2L3_SPRJM" localSheetId="7">#REF!</definedName>
    <definedName name="_R2L3_SPRJM">#REF!</definedName>
    <definedName name="_RAT1" localSheetId="7">#REF!</definedName>
    <definedName name="_RAT1">#REF!</definedName>
    <definedName name="_RAT2" localSheetId="7">#REF!</definedName>
    <definedName name="_RAT2">#REF!</definedName>
    <definedName name="_RAT3" localSheetId="7">#REF!</definedName>
    <definedName name="_RAT3">#REF!</definedName>
    <definedName name="_RAT4" localSheetId="7">#REF!</definedName>
    <definedName name="_RAT4">#REF!</definedName>
    <definedName name="_REV1" localSheetId="7">#REF!</definedName>
    <definedName name="_REV1">#REF!</definedName>
    <definedName name="_REV2" localSheetId="7">#REF!</definedName>
    <definedName name="_REV2">#REF!</definedName>
    <definedName name="_REV3" localSheetId="7">#REF!</definedName>
    <definedName name="_REV3">#REF!</definedName>
    <definedName name="_REV4" localSheetId="7">#REF!</definedName>
    <definedName name="_REV4">#REF!</definedName>
    <definedName name="_SDA3" localSheetId="7">'[2]Material Submittal'!#REF!</definedName>
    <definedName name="_SDA3">'[2]Material Submittal'!#REF!</definedName>
    <definedName name="_SHT2">'[3]Air Cooler-E'!$A$1:$U$70</definedName>
    <definedName name="_SHT3">'[3]Air Cooler-E'!$A$1:$U$70</definedName>
    <definedName name="_SHT4">'[3]Air Cooler-E'!$A$1:$U$70</definedName>
    <definedName name="_sht5" localSheetId="7">#REF!</definedName>
    <definedName name="_sht5">#REF!</definedName>
    <definedName name="_SHT6">'[3]Air Cooler-E'!$A$1:$U$70</definedName>
    <definedName name="_SHT7">'[3]Air Cooler-E'!$A$1:$U$70</definedName>
    <definedName name="_T3" localSheetId="7">{"'990910'!$A$1"}</definedName>
    <definedName name="_T3">{"'990910'!$A$1"}</definedName>
    <definedName name="_T4" localSheetId="7">{"'990910'!$A$1"}</definedName>
    <definedName name="_T4">{"'990910'!$A$1"}</definedName>
    <definedName name="_UPP1" localSheetId="7">#REF!</definedName>
    <definedName name="_UPP1">#REF!</definedName>
    <definedName name="_UPP2" localSheetId="7">#REF!</definedName>
    <definedName name="_UPP2">#REF!</definedName>
    <definedName name="_UPP3" localSheetId="7">#REF!</definedName>
    <definedName name="_UPP3">#REF!</definedName>
    <definedName name="_UPP4" localSheetId="7">#REF!</definedName>
    <definedName name="_UPP4">#REF!</definedName>
    <definedName name="_VIS1" localSheetId="7">#REF!</definedName>
    <definedName name="_VIS1">#REF!</definedName>
    <definedName name="_VIS2" localSheetId="7">#REF!</definedName>
    <definedName name="_VIS2">#REF!</definedName>
    <definedName name="_VIS3" localSheetId="7">#REF!</definedName>
    <definedName name="_VIS3">#REF!</definedName>
    <definedName name="_VIS4" localSheetId="7">#REF!</definedName>
    <definedName name="_VIS4">#REF!</definedName>
    <definedName name="_VP1" localSheetId="7">#REF!</definedName>
    <definedName name="_VP1">#REF!</definedName>
    <definedName name="_VP2" localSheetId="7">#REF!</definedName>
    <definedName name="_VP2">#REF!</definedName>
    <definedName name="_VP3" localSheetId="7">#REF!</definedName>
    <definedName name="_VP3">#REF!</definedName>
    <definedName name="_VP4" localSheetId="7">#REF!</definedName>
    <definedName name="_VP4">#REF!</definedName>
    <definedName name="③FITTINGFLANGE_추가_POR" localSheetId="2">#REF!</definedName>
    <definedName name="③FITTINGFLANGE_추가_POR" localSheetId="7">#REF!</definedName>
    <definedName name="③FITTINGFLANGE_추가_POR">#REF!</definedName>
    <definedName name="A" localSheetId="2">#REF!</definedName>
    <definedName name="A" localSheetId="7">#REF!</definedName>
    <definedName name="A">#REF!</definedName>
    <definedName name="aa" localSheetId="2">#REF!</definedName>
    <definedName name="aa" localSheetId="7">#REF!</definedName>
    <definedName name="aa">#REF!</definedName>
    <definedName name="aaaaaaa" localSheetId="2">#REF!</definedName>
    <definedName name="aaaaaaa" localSheetId="7">#REF!</definedName>
    <definedName name="aaaaaaa">#REF!</definedName>
    <definedName name="aaaaaaaaaa" localSheetId="2">#REF!</definedName>
    <definedName name="aaaaaaaaaa" localSheetId="7">#REF!</definedName>
    <definedName name="aaaaaaaaaa">#REF!</definedName>
    <definedName name="AB" localSheetId="7">#REF!</definedName>
    <definedName name="AB">#REF!</definedName>
    <definedName name="abb" localSheetId="7">#REF!</definedName>
    <definedName name="abb">#REF!</definedName>
    <definedName name="ABPOW1" localSheetId="7">#REF!</definedName>
    <definedName name="ABPOW1">#REF!</definedName>
    <definedName name="ABPOW2" localSheetId="7">#REF!</definedName>
    <definedName name="ABPOW2">#REF!</definedName>
    <definedName name="ABPOW3" localSheetId="7">#REF!</definedName>
    <definedName name="ABPOW3">#REF!</definedName>
    <definedName name="ABPOW4" localSheetId="7">#REF!</definedName>
    <definedName name="ABPOW4">#REF!</definedName>
    <definedName name="ABPOWR" localSheetId="7">#REF!</definedName>
    <definedName name="ABPOWR">#REF!</definedName>
    <definedName name="ABS" localSheetId="7">#REF!</definedName>
    <definedName name="ABS">#REF!</definedName>
    <definedName name="ACCB" localSheetId="2">#REF!</definedName>
    <definedName name="ACCB" localSheetId="7">#REF!</definedName>
    <definedName name="ACCB">#REF!</definedName>
    <definedName name="ACCC" localSheetId="2">#REF!</definedName>
    <definedName name="ACCC" localSheetId="7">#REF!</definedName>
    <definedName name="ACCC">#REF!</definedName>
    <definedName name="ACCD" localSheetId="2">#REF!</definedName>
    <definedName name="ACCD" localSheetId="7">#REF!</definedName>
    <definedName name="ACCD">#REF!</definedName>
    <definedName name="AccessSort" localSheetId="7">#REF!</definedName>
    <definedName name="AccessSort">#REF!</definedName>
    <definedName name="ACT" localSheetId="2">#REF!</definedName>
    <definedName name="ACT" localSheetId="7">#REF!</definedName>
    <definedName name="ACT">#REF!</definedName>
    <definedName name="ACTI" localSheetId="2">#REF!</definedName>
    <definedName name="ACTI" localSheetId="7">#REF!</definedName>
    <definedName name="ACTI">#REF!</definedName>
    <definedName name="Actual" localSheetId="0">('Steel erev.'!PeriodInActual*('Steel erev.'!#REF!&gt;0))*'Steel erev.'!PeriodInPlan</definedName>
    <definedName name="Actual" localSheetId="7">(PeriodInActual*([4]LOOPS!$I1&gt;0))*PeriodInPlan</definedName>
    <definedName name="Actual">(PeriodInActual*([4]LOOPS!$I1&gt;0))*PeriodInPlan</definedName>
    <definedName name="ActualBeyond" localSheetId="0">'Steel erev.'!PeriodInActual*('Steel erev.'!#REF!&gt;0)</definedName>
    <definedName name="ActualBeyond" localSheetId="7">PeriodInActual*([4]LOOPS!$I1&gt;0)</definedName>
    <definedName name="ActualBeyond">PeriodInActual*([4]LOOPS!$I1&gt;0)</definedName>
    <definedName name="adc" localSheetId="7">{"Book1","세부실천계획2010.xls"}</definedName>
    <definedName name="adc">{"Book1","세부실천계획2010.xls"}</definedName>
    <definedName name="AFE_MAWP" localSheetId="7">#REF!</definedName>
    <definedName name="AFE_MAWP">#REF!</definedName>
    <definedName name="AFE_MAWT" localSheetId="7">#REF!</definedName>
    <definedName name="AFE_MAWT">#REF!</definedName>
    <definedName name="AFE_ORGL_TST_PRESS" localSheetId="7">#REF!</definedName>
    <definedName name="AFE_ORGL_TST_PRESS">#REF!</definedName>
    <definedName name="AFS" localSheetId="2">#REF!</definedName>
    <definedName name="AFS" localSheetId="7">#REF!</definedName>
    <definedName name="AFS">#REF!</definedName>
    <definedName name="Agip" localSheetId="7">'[5]OIL SYST DATA SHTS'!#REF!</definedName>
    <definedName name="Agip">'[5]OIL SYST DATA SHTS'!#REF!</definedName>
    <definedName name="AllFileFeedMacroNotes" localSheetId="2">#REF!</definedName>
    <definedName name="AllFileFeedMacroNotes" localSheetId="7">#REF!</definedName>
    <definedName name="AllFileFeedMacroNotes">#REF!</definedName>
    <definedName name="AMEC_ENGINEERING" localSheetId="0">'[6]OIL SYST DATA SHTS'!#REF!</definedName>
    <definedName name="AMEC_ENGINEERING" localSheetId="7">'[7]OIL SYST DATA SHTS'!#REF!</definedName>
    <definedName name="AMEC_ENGINEERING">'[7]OIL SYST DATA SHTS'!#REF!</definedName>
    <definedName name="ANPSH1" localSheetId="7">#REF!</definedName>
    <definedName name="ANPSH1">#REF!</definedName>
    <definedName name="ANPSH2" localSheetId="7">#REF!</definedName>
    <definedName name="ANPSH2">#REF!</definedName>
    <definedName name="ANPSH3" localSheetId="7">#REF!</definedName>
    <definedName name="ANPSH3">#REF!</definedName>
    <definedName name="ANPSH4" localSheetId="7">#REF!</definedName>
    <definedName name="ANPSH4">#REF!</definedName>
    <definedName name="ANPSHR" localSheetId="7">#REF!</definedName>
    <definedName name="ANPSHR">#REF!</definedName>
    <definedName name="anscount">1</definedName>
    <definedName name="AnzeigenDropTxt_BeiKlick">[1]!AnzeigenDropTxt_BeiKlick</definedName>
    <definedName name="APAGE" localSheetId="7">#REF!</definedName>
    <definedName name="APAGE">#REF!</definedName>
    <definedName name="AREA" localSheetId="2">#REF!</definedName>
    <definedName name="AREA" localSheetId="0">#REF!</definedName>
    <definedName name="AREA" localSheetId="7">#REF!</definedName>
    <definedName name="AREA">#REF!</definedName>
    <definedName name="As" localSheetId="7">#REF!</definedName>
    <definedName name="As">#REF!</definedName>
    <definedName name="ASSETS_PRCH_ORD_NBR" localSheetId="7">'[8]ST pg1'!#REF!</definedName>
    <definedName name="ASSETS_PRCH_ORD_NBR">'[8]ST pg1'!#REF!</definedName>
    <definedName name="AUSSS">#N/A</definedName>
    <definedName name="b" localSheetId="7">#REF!</definedName>
    <definedName name="b">#REF!</definedName>
    <definedName name="BBPAGE" localSheetId="7">#REF!</definedName>
    <definedName name="BBPAGE">#REF!</definedName>
    <definedName name="BC" localSheetId="2">#REF!</definedName>
    <definedName name="BC" localSheetId="7">#REF!</definedName>
    <definedName name="BC">#REF!</definedName>
    <definedName name="BLUELETTERS" localSheetId="0">#REF!,#REF!,#REF!,#REF!,#REF!,#REF!</definedName>
    <definedName name="BLUELETTERS" localSheetId="7">#REF!,#REF!,#REF!,#REF!,#REF!,#REF!</definedName>
    <definedName name="BLUELETTERS">#REF!,#REF!,#REF!,#REF!,#REF!,#REF!</definedName>
    <definedName name="BPAGE" localSheetId="7">#REF!</definedName>
    <definedName name="BPAGE">#REF!</definedName>
    <definedName name="Bui" localSheetId="7">#REF!</definedName>
    <definedName name="Bui">#REF!</definedName>
    <definedName name="bUYSAAS\" localSheetId="7">#REF!</definedName>
    <definedName name="bUYSAAS\">#REF!</definedName>
    <definedName name="C_" localSheetId="7">#REF!</definedName>
    <definedName name="C_">#REF!</definedName>
    <definedName name="CAL" localSheetId="7">#REF!</definedName>
    <definedName name="CAL">#REF!</definedName>
    <definedName name="CALC2A" localSheetId="7">#REF!</definedName>
    <definedName name="CALC2A">#REF!</definedName>
    <definedName name="CALC2B" localSheetId="7">#REF!</definedName>
    <definedName name="CALC2B">#REF!</definedName>
    <definedName name="CALC2C" localSheetId="7">#REF!</definedName>
    <definedName name="CALC2C">#REF!</definedName>
    <definedName name="CALC3A" localSheetId="7">#REF!</definedName>
    <definedName name="CALC3A">#REF!</definedName>
    <definedName name="CALC3B" localSheetId="7">#REF!</definedName>
    <definedName name="CALC3B">#REF!</definedName>
    <definedName name="CALC3C" localSheetId="7">#REF!</definedName>
    <definedName name="CALC3C">#REF!</definedName>
    <definedName name="CALC4A" localSheetId="7">#REF!</definedName>
    <definedName name="CALC4A">#REF!</definedName>
    <definedName name="CALC4B" localSheetId="7">#REF!</definedName>
    <definedName name="CALC4B">#REF!</definedName>
    <definedName name="CALC4C" localSheetId="7">#REF!</definedName>
    <definedName name="CALC4C">#REF!</definedName>
    <definedName name="CALCP1" localSheetId="7">#REF!</definedName>
    <definedName name="CALCP1">#REF!</definedName>
    <definedName name="CALCP2" localSheetId="7">#REF!</definedName>
    <definedName name="CALCP2">#REF!</definedName>
    <definedName name="CALCP3" localSheetId="7">#REF!</definedName>
    <definedName name="CALCP3">#REF!</definedName>
    <definedName name="CALCR1" localSheetId="7">#REF!</definedName>
    <definedName name="CALCR1">#REF!</definedName>
    <definedName name="CALCR2" localSheetId="7">#REF!</definedName>
    <definedName name="CALCR2">#REF!</definedName>
    <definedName name="CASE1D" localSheetId="7">#REF!</definedName>
    <definedName name="CASE1D">#REF!</definedName>
    <definedName name="CASE1U" localSheetId="7">#REF!</definedName>
    <definedName name="CASE1U">#REF!</definedName>
    <definedName name="CASE2D" localSheetId="7">#REF!</definedName>
    <definedName name="CASE2D">#REF!</definedName>
    <definedName name="CASE2U" localSheetId="7">#REF!</definedName>
    <definedName name="CASE2U">#REF!</definedName>
    <definedName name="CASE3D" localSheetId="7">#REF!</definedName>
    <definedName name="CASE3D">#REF!</definedName>
    <definedName name="CASE3U" localSheetId="7">#REF!</definedName>
    <definedName name="CASE3U">#REF!</definedName>
    <definedName name="CASE4D" localSheetId="7">#REF!</definedName>
    <definedName name="CASE4D">#REF!</definedName>
    <definedName name="CASE4U" localSheetId="7">#REF!</definedName>
    <definedName name="CASE4U">#REF!</definedName>
    <definedName name="CASENO" localSheetId="7">#REF!</definedName>
    <definedName name="CASENO">#REF!</definedName>
    <definedName name="CASENUM" localSheetId="7">#REF!</definedName>
    <definedName name="CASENUM">#REF!</definedName>
    <definedName name="CASEQ" localSheetId="7">#REF!</definedName>
    <definedName name="CASEQ">#REF!</definedName>
    <definedName name="ccc" localSheetId="2">#REF!</definedName>
    <definedName name="ccc" localSheetId="7">#REF!</definedName>
    <definedName name="ccc">#REF!</definedName>
    <definedName name="CERT_CertificateTypeCode1" localSheetId="2">#REF!</definedName>
    <definedName name="CERT_CertificateTypeCode1" localSheetId="7">#REF!</definedName>
    <definedName name="CERT_CertificateTypeCode1">#REF!</definedName>
    <definedName name="CERT_CertificateTypeCode2" localSheetId="2">#REF!</definedName>
    <definedName name="CERT_CertificateTypeCode2" localSheetId="7">#REF!</definedName>
    <definedName name="CERT_CertificateTypeCode2">#REF!</definedName>
    <definedName name="CERT_CertificateTypeCode3" localSheetId="2">#REF!</definedName>
    <definedName name="CERT_CertificateTypeCode3" localSheetId="7">#REF!</definedName>
    <definedName name="CERT_CertificateTypeCode3">#REF!</definedName>
    <definedName name="CERT_CertificateTypeCode4" localSheetId="2">#REF!</definedName>
    <definedName name="CERT_CertificateTypeCode4" localSheetId="7">#REF!</definedName>
    <definedName name="CERT_CertificateTypeCode4">#REF!</definedName>
    <definedName name="CHCOPY" localSheetId="7">#REF!</definedName>
    <definedName name="CHCOPY">#REF!</definedName>
    <definedName name="CHECK" localSheetId="7">#REF!</definedName>
    <definedName name="CHECK">#REF!</definedName>
    <definedName name="CLEANUP" localSheetId="7">#REF!</definedName>
    <definedName name="CLEANUP">#REF!</definedName>
    <definedName name="CLIENT" localSheetId="7">#REF!</definedName>
    <definedName name="CLIENT">#REF!</definedName>
    <definedName name="CMDate" localSheetId="2">#REF!</definedName>
    <definedName name="CMDate" localSheetId="7">#REF!</definedName>
    <definedName name="CMDate">#REF!</definedName>
    <definedName name="CNAME1" localSheetId="7">#REF!</definedName>
    <definedName name="CNAME1">#REF!</definedName>
    <definedName name="CNAME2" localSheetId="7">#REF!</definedName>
    <definedName name="CNAME2">#REF!</definedName>
    <definedName name="CNAME3" localSheetId="7">#REF!</definedName>
    <definedName name="CNAME3">#REF!</definedName>
    <definedName name="CNAME4" localSheetId="7">#REF!</definedName>
    <definedName name="CNAME4">#REF!</definedName>
    <definedName name="cobs" localSheetId="2">#REF!</definedName>
    <definedName name="cobs" localSheetId="7">#REF!</definedName>
    <definedName name="cobs">#REF!</definedName>
    <definedName name="CODP1" localSheetId="7">#REF!</definedName>
    <definedName name="CODP1">#REF!</definedName>
    <definedName name="CODP2" localSheetId="7">#REF!</definedName>
    <definedName name="CODP2">#REF!</definedName>
    <definedName name="CODP3" localSheetId="7">#REF!</definedName>
    <definedName name="CODP3">#REF!</definedName>
    <definedName name="CODP4" localSheetId="7">#REF!</definedName>
    <definedName name="CODP4">#REF!</definedName>
    <definedName name="CODPR" localSheetId="7">#REF!</definedName>
    <definedName name="CODPR">#REF!</definedName>
    <definedName name="comp1" localSheetId="7">#REF!</definedName>
    <definedName name="comp1">#REF!</definedName>
    <definedName name="comp2" localSheetId="7">#REF!</definedName>
    <definedName name="comp2">#REF!</definedName>
    <definedName name="comp3" localSheetId="7">#REF!</definedName>
    <definedName name="comp3">#REF!</definedName>
    <definedName name="comp4" localSheetId="7">#REF!</definedName>
    <definedName name="comp4">#REF!</definedName>
    <definedName name="comp5" localSheetId="7">#REF!</definedName>
    <definedName name="comp5">#REF!</definedName>
    <definedName name="comp6" localSheetId="7">#REF!</definedName>
    <definedName name="comp6">#REF!</definedName>
    <definedName name="comp7" localSheetId="7">#REF!</definedName>
    <definedName name="comp7">#REF!</definedName>
    <definedName name="CON" localSheetId="7">#REF!</definedName>
    <definedName name="CON">#REF!</definedName>
    <definedName name="CORRC" localSheetId="7">#REF!</definedName>
    <definedName name="CORRC">#REF!</definedName>
    <definedName name="CPAGE" localSheetId="7">#REF!</definedName>
    <definedName name="CPAGE">#REF!</definedName>
    <definedName name="CRACK">[1]!CRACK</definedName>
    <definedName name="_xlnm.Criteria" localSheetId="7">#REF!</definedName>
    <definedName name="_xlnm.Criteria">#REF!</definedName>
    <definedName name="CVDP1" localSheetId="7">#REF!</definedName>
    <definedName name="CVDP1">#REF!</definedName>
    <definedName name="CVDP2" localSheetId="7">#REF!</definedName>
    <definedName name="CVDP2">#REF!</definedName>
    <definedName name="CVDP3" localSheetId="7">#REF!</definedName>
    <definedName name="CVDP3">#REF!</definedName>
    <definedName name="CVDP4" localSheetId="7">#REF!</definedName>
    <definedName name="CVDP4">#REF!</definedName>
    <definedName name="CVDPR" localSheetId="7">#REF!</definedName>
    <definedName name="CVDPR">#REF!</definedName>
    <definedName name="CWL">'[9]Welder Per Lenght'!$C:$C</definedName>
    <definedName name="d" localSheetId="2">#REF!</definedName>
    <definedName name="d" localSheetId="7">#REF!</definedName>
    <definedName name="d">#REF!</definedName>
    <definedName name="DAS_XLS" localSheetId="2">#REF!</definedName>
    <definedName name="DAS_XLS" localSheetId="7">#REF!</definedName>
    <definedName name="DAS_XLS">#REF!</definedName>
    <definedName name="data" localSheetId="2">#REF!</definedName>
    <definedName name="data" localSheetId="0">#REF!</definedName>
    <definedName name="data" localSheetId="7">#REF!</definedName>
    <definedName name="data">#REF!</definedName>
    <definedName name="DATA1" localSheetId="7">#REF!</definedName>
    <definedName name="DATA1">#REF!</definedName>
    <definedName name="DATA1D" localSheetId="7">#REF!</definedName>
    <definedName name="DATA1D">#REF!</definedName>
    <definedName name="DATA1U" localSheetId="7">#REF!</definedName>
    <definedName name="DATA1U">#REF!</definedName>
    <definedName name="DATA2" localSheetId="7">#REF!</definedName>
    <definedName name="DATA2">#REF!</definedName>
    <definedName name="DATA2D" localSheetId="7">#REF!</definedName>
    <definedName name="DATA2D">#REF!</definedName>
    <definedName name="DATA2U" localSheetId="7">#REF!</definedName>
    <definedName name="DATA2U">#REF!</definedName>
    <definedName name="DATA3D" localSheetId="7">#REF!</definedName>
    <definedName name="DATA3D">#REF!</definedName>
    <definedName name="DATA3U" localSheetId="7">#REF!</definedName>
    <definedName name="DATA3U">#REF!</definedName>
    <definedName name="DATA4D" localSheetId="7">#REF!</definedName>
    <definedName name="DATA4D">#REF!</definedName>
    <definedName name="DATA4U" localSheetId="7">#REF!</definedName>
    <definedName name="DATA4U">#REF!</definedName>
    <definedName name="_xlnm.Database" localSheetId="2">#REF!</definedName>
    <definedName name="_xlnm.Database" localSheetId="0">#REF!</definedName>
    <definedName name="_xlnm.Database" localSheetId="7">#REF!</definedName>
    <definedName name="_xlnm.Database">#REF!</definedName>
    <definedName name="DataDate" localSheetId="2">#REF!</definedName>
    <definedName name="DataDate" localSheetId="7">#REF!</definedName>
    <definedName name="DataDate">#REF!</definedName>
    <definedName name="DATAEND" localSheetId="7">#REF!</definedName>
    <definedName name="DATAEND">#REF!</definedName>
    <definedName name="DatatoExport" localSheetId="7">#REF!</definedName>
    <definedName name="DatatoExport">#REF!</definedName>
    <definedName name="DatatoExporttoAccess" localSheetId="7">#REF!</definedName>
    <definedName name="DatatoExporttoAccess">#REF!</definedName>
    <definedName name="DATE" localSheetId="7">#REF!</definedName>
    <definedName name="DATE">#REF!</definedName>
    <definedName name="DBASE" localSheetId="2">#REF!</definedName>
    <definedName name="DBASE" localSheetId="7">#REF!</definedName>
    <definedName name="DBASE">#REF!</definedName>
    <definedName name="DCCASE1" localSheetId="7">#REF!</definedName>
    <definedName name="DCCASE1">#REF!</definedName>
    <definedName name="DCCASE2" localSheetId="7">#REF!</definedName>
    <definedName name="DCCASE2">#REF!</definedName>
    <definedName name="DCDATA1" localSheetId="7">#REF!</definedName>
    <definedName name="DCDATA1">#REF!</definedName>
    <definedName name="DCDATA2" localSheetId="7">#REF!</definedName>
    <definedName name="DCDATA2">#REF!</definedName>
    <definedName name="DCDOWN" localSheetId="7">#REF!</definedName>
    <definedName name="DCDOWN">#REF!</definedName>
    <definedName name="DCEND" localSheetId="7">#REF!</definedName>
    <definedName name="DCEND">#REF!</definedName>
    <definedName name="DCF" localSheetId="7">#REF!</definedName>
    <definedName name="DCF">#REF!</definedName>
    <definedName name="DCFILE1" localSheetId="7">#REF!</definedName>
    <definedName name="DCFILE1">#REF!</definedName>
    <definedName name="DCFILE2" localSheetId="7">#REF!</definedName>
    <definedName name="DCFILE2">#REF!</definedName>
    <definedName name="DCFNO1" localSheetId="7">#REF!</definedName>
    <definedName name="DCFNO1">#REF!</definedName>
    <definedName name="DCFNO2" localSheetId="7">#REF!</definedName>
    <definedName name="DCFNO2">#REF!</definedName>
    <definedName name="DCSNO1" localSheetId="7">#REF!</definedName>
    <definedName name="DCSNO1">#REF!</definedName>
    <definedName name="DCSNO2" localSheetId="7">#REF!</definedName>
    <definedName name="DCSNO2">#REF!</definedName>
    <definedName name="DCSTRM1" localSheetId="7">#REF!</definedName>
    <definedName name="DCSTRM1">#REF!</definedName>
    <definedName name="DCSTRM2" localSheetId="7">#REF!</definedName>
    <definedName name="DCSTRM2">#REF!</definedName>
    <definedName name="DCUP" localSheetId="7">#REF!</definedName>
    <definedName name="DCUP">#REF!</definedName>
    <definedName name="DDDD" localSheetId="2">#REF!</definedName>
    <definedName name="DDDD" localSheetId="7">#REF!</definedName>
    <definedName name="DDDD">#REF!</definedName>
    <definedName name="DDIA" localSheetId="2">#REF!</definedName>
    <definedName name="DDIA" localSheetId="7">#REF!</definedName>
    <definedName name="DDIA">#REF!</definedName>
    <definedName name="DELPS" localSheetId="7">#REF!</definedName>
    <definedName name="DELPS">#REF!</definedName>
    <definedName name="DENS1" localSheetId="7">#REF!</definedName>
    <definedName name="DENS1">#REF!</definedName>
    <definedName name="DENS2" localSheetId="7">#REF!</definedName>
    <definedName name="DENS2">#REF!</definedName>
    <definedName name="DENS3" localSheetId="7">#REF!</definedName>
    <definedName name="DENS3">#REF!</definedName>
    <definedName name="DENS4" localSheetId="7">#REF!</definedName>
    <definedName name="DENS4">#REF!</definedName>
    <definedName name="DENSR" localSheetId="7">#REF!</definedName>
    <definedName name="DENSR">#REF!</definedName>
    <definedName name="DFDFDF" localSheetId="2">#REF!</definedName>
    <definedName name="DFDFDF" localSheetId="7">#REF!</definedName>
    <definedName name="DFDFDF">#REF!</definedName>
    <definedName name="DFDP1" localSheetId="7">#REF!</definedName>
    <definedName name="DFDP1">#REF!</definedName>
    <definedName name="DFDP2" localSheetId="7">#REF!</definedName>
    <definedName name="DFDP2">#REF!</definedName>
    <definedName name="DFDP3" localSheetId="7">#REF!</definedName>
    <definedName name="DFDP3">#REF!</definedName>
    <definedName name="DFDP4" localSheetId="7">#REF!</definedName>
    <definedName name="DFDP4">#REF!</definedName>
    <definedName name="DFDPR" localSheetId="7">#REF!</definedName>
    <definedName name="DFDPR">#REF!</definedName>
    <definedName name="dgfhdfghd" localSheetId="2">#REF!</definedName>
    <definedName name="dgfhdfghd" localSheetId="7">#REF!</definedName>
    <definedName name="dgfhdfghd">#REF!</definedName>
    <definedName name="dghjjhkk" localSheetId="2">#REF!</definedName>
    <definedName name="dghjjhkk" localSheetId="0">#REF!</definedName>
    <definedName name="dghjjhkk" localSheetId="7">#REF!</definedName>
    <definedName name="dghjjhkk">#REF!</definedName>
    <definedName name="DIN" localSheetId="2">#REF!</definedName>
    <definedName name="DIN" localSheetId="7">#REF!</definedName>
    <definedName name="DIN">#REF!</definedName>
    <definedName name="DISP1" localSheetId="7">#REF!</definedName>
    <definedName name="DISP1">#REF!</definedName>
    <definedName name="DISP2" localSheetId="7">#REF!</definedName>
    <definedName name="DISP2">#REF!</definedName>
    <definedName name="DISP3" localSheetId="7">#REF!</definedName>
    <definedName name="DISP3">#REF!</definedName>
    <definedName name="DISP4" localSheetId="7">#REF!</definedName>
    <definedName name="DISP4">#REF!</definedName>
    <definedName name="DISPR" localSheetId="7">#REF!</definedName>
    <definedName name="DISPR">#REF!</definedName>
    <definedName name="dml" localSheetId="7">#REF!</definedName>
    <definedName name="dml">#REF!</definedName>
    <definedName name="Doc_type" localSheetId="7">#REF!</definedName>
    <definedName name="Doc_type">#REF!</definedName>
    <definedName name="DOCID">[10]listes!$C$2:$C$150</definedName>
    <definedName name="DOCNO" localSheetId="7">#REF!</definedName>
    <definedName name="DOCNO">#REF!</definedName>
    <definedName name="Document_array" localSheetId="7">{"본부영업.xls"}</definedName>
    <definedName name="Document_array">{"본부영업.xls"}</definedName>
    <definedName name="DOWNP1" localSheetId="7">#REF!</definedName>
    <definedName name="DOWNP1">#REF!</definedName>
    <definedName name="DOWNP2" localSheetId="7">#REF!</definedName>
    <definedName name="DOWNP2">#REF!</definedName>
    <definedName name="DOWNP3" localSheetId="7">#REF!</definedName>
    <definedName name="DOWNP3">#REF!</definedName>
    <definedName name="DOWNP4" localSheetId="7">#REF!</definedName>
    <definedName name="DOWNP4">#REF!</definedName>
    <definedName name="DOWNPR" localSheetId="7">#REF!</definedName>
    <definedName name="DOWNPR">#REF!</definedName>
    <definedName name="DPAGE" localSheetId="7">#REF!</definedName>
    <definedName name="DPAGE">#REF!</definedName>
    <definedName name="dpt_code" localSheetId="7">#REF!</definedName>
    <definedName name="dpt_code">#REF!</definedName>
    <definedName name="DRIVE" localSheetId="7">#REF!</definedName>
    <definedName name="DRIVE">#REF!</definedName>
    <definedName name="DRIVER" localSheetId="7">#REF!</definedName>
    <definedName name="DRIVER">#REF!</definedName>
    <definedName name="DropTxt_BeiÄnderung">[1]!DropTxt_BeiÄnderung</definedName>
    <definedName name="DropTxtHinzufügen_BeiKlick">[1]!DropTxtHinzufügen_BeiKlick</definedName>
    <definedName name="DropTxtLöschen_BeiKlick">[1]!DropTxtLöschen_BeiKlick</definedName>
    <definedName name="DSTHD" localSheetId="7">#REF!</definedName>
    <definedName name="DSTHD">#REF!</definedName>
    <definedName name="DSTHD1" localSheetId="7">#REF!</definedName>
    <definedName name="DSTHD1">#REF!</definedName>
    <definedName name="DSTHD2" localSheetId="7">#REF!</definedName>
    <definedName name="DSTHD2">#REF!</definedName>
    <definedName name="DSTHD3" localSheetId="7">#REF!</definedName>
    <definedName name="DSTHD3">#REF!</definedName>
    <definedName name="DSTHD4" localSheetId="7">#REF!</definedName>
    <definedName name="DSTHD4">#REF!</definedName>
    <definedName name="DSTHDR" localSheetId="7">#REF!</definedName>
    <definedName name="DSTHDR">#REF!</definedName>
    <definedName name="dt" localSheetId="7">#REF!</definedName>
    <definedName name="dt">#REF!</definedName>
    <definedName name="DYE" localSheetId="7">#REF!</definedName>
    <definedName name="DYE">#REF!</definedName>
    <definedName name="edit1">[1]!editbox3</definedName>
    <definedName name="edit4">[1]!editbox4</definedName>
    <definedName name="edit5">[1]!editbox5</definedName>
    <definedName name="edit8">[1]!editbox8</definedName>
    <definedName name="editb09">[1]!editbox80</definedName>
    <definedName name="editbo1">[1]!editbox1</definedName>
    <definedName name="editbo10">[1]!editbox10</definedName>
    <definedName name="editbo12">[1]!editbox12</definedName>
    <definedName name="editbo8">[1]!editbox8</definedName>
    <definedName name="editbo9">[1]!editbox9</definedName>
    <definedName name="editbos50">[1]!editbos50</definedName>
    <definedName name="editbox">[1]!editbox</definedName>
    <definedName name="editbox011">[1]!editbox011</definedName>
    <definedName name="editbox1">[1]!editbox1</definedName>
    <definedName name="editbox10">[1]!editbox10</definedName>
    <definedName name="editbox100">[1]!editbox100</definedName>
    <definedName name="editbox11">[1]!editbox11</definedName>
    <definedName name="editbox1117">[1]!editbox1117</definedName>
    <definedName name="editbox12">[1]!editbox12</definedName>
    <definedName name="editbox13">[1]!editbox13</definedName>
    <definedName name="editbox14">[1]!editbox14</definedName>
    <definedName name="editbox15">[1]!editbox15</definedName>
    <definedName name="editbox17">[1]!editbox17</definedName>
    <definedName name="editbox2">[1]!editbox2</definedName>
    <definedName name="editbox3">[1]!editbox3</definedName>
    <definedName name="editbox30">[1]!editbox30</definedName>
    <definedName name="editbox4">[1]!editbox4</definedName>
    <definedName name="editbox40">[1]!editbox40</definedName>
    <definedName name="editbox5">[1]!editbox5</definedName>
    <definedName name="editbox8">[1]!editbox8</definedName>
    <definedName name="editbox80">[1]!editbox80</definedName>
    <definedName name="EDITBOX80A">[1]!EDITBOX80A</definedName>
    <definedName name="EDITBOX8A">[1]!EDITBOX8A</definedName>
    <definedName name="editbox9">[1]!editbox9</definedName>
    <definedName name="editbox90">[1]!editbox90</definedName>
    <definedName name="editc09">[1]!editbox90</definedName>
    <definedName name="eeeeeeeeeee" localSheetId="2">#REF!</definedName>
    <definedName name="eeeeeeeeeee" localSheetId="7">#REF!</definedName>
    <definedName name="eeeeeeeeeee">#REF!</definedName>
    <definedName name="EF" localSheetId="2">#REF!</definedName>
    <definedName name="EF" localSheetId="7">#REF!</definedName>
    <definedName name="EF">#REF!</definedName>
    <definedName name="EFA" localSheetId="2">#REF!</definedName>
    <definedName name="EFA" localSheetId="7">#REF!</definedName>
    <definedName name="EFA">#REF!</definedName>
    <definedName name="eif_acceptance_code_VA" localSheetId="7">#REF!</definedName>
    <definedName name="eif_acceptance_code_VA">#REF!</definedName>
    <definedName name="eif_issue_reason_VA" localSheetId="7">#REF!</definedName>
    <definedName name="eif_issue_reason_VA">#REF!</definedName>
    <definedName name="eif_revision_VA" localSheetId="7">#REF!</definedName>
    <definedName name="eif_revision_VA">#REF!</definedName>
    <definedName name="eif_type_of_doc_VA">[11]ValueAssistance!$C$2:$C$32</definedName>
    <definedName name="ELPR" localSheetId="7">#REF!</definedName>
    <definedName name="ELPR">#REF!</definedName>
    <definedName name="ENIMC">'[12]ENI MC Required dates'!$C$1:$M$65536</definedName>
    <definedName name="EniRFC">'[13]Eni Comm Baseline 1.0 RFC Dates'!$B:$H</definedName>
    <definedName name="EPAGE" localSheetId="7">#REF!</definedName>
    <definedName name="EPAGE">#REF!</definedName>
    <definedName name="EQDP1" localSheetId="7">#REF!</definedName>
    <definedName name="EQDP1">#REF!</definedName>
    <definedName name="EQDP2" localSheetId="7">#REF!</definedName>
    <definedName name="EQDP2">#REF!</definedName>
    <definedName name="EQDP3" localSheetId="7">#REF!</definedName>
    <definedName name="EQDP3">#REF!</definedName>
    <definedName name="EQDP4" localSheetId="7">#REF!</definedName>
    <definedName name="EQDP4">#REF!</definedName>
    <definedName name="EQDPR" localSheetId="7">#REF!</definedName>
    <definedName name="EQDPR">#REF!</definedName>
    <definedName name="EQUIP1" localSheetId="7">#REF!</definedName>
    <definedName name="EQUIP1">#REF!</definedName>
    <definedName name="EQUIP2" localSheetId="7">#REF!</definedName>
    <definedName name="EQUIP2">#REF!</definedName>
    <definedName name="equip3" localSheetId="7">#REF!</definedName>
    <definedName name="equip3">#REF!</definedName>
    <definedName name="EQUIPNO" localSheetId="7">#REF!</definedName>
    <definedName name="EQUIPNO">#REF!</definedName>
    <definedName name="ERASE1" localSheetId="7">#REF!</definedName>
    <definedName name="ERASE1">#REF!</definedName>
    <definedName name="ERASE2" localSheetId="7">#REF!</definedName>
    <definedName name="ERASE2">#REF!</definedName>
    <definedName name="ERASE3" localSheetId="7">#REF!</definedName>
    <definedName name="ERASE3">#REF!</definedName>
    <definedName name="ERASE4" localSheetId="7">#REF!</definedName>
    <definedName name="ERASE4">#REF!</definedName>
    <definedName name="erref" localSheetId="2">#REF!</definedName>
    <definedName name="erref" localSheetId="7">#REF!</definedName>
    <definedName name="erref">#REF!</definedName>
    <definedName name="ES" localSheetId="2">#REF!</definedName>
    <definedName name="ES" localSheetId="7">#REF!</definedName>
    <definedName name="ES">#REF!</definedName>
    <definedName name="ESA" localSheetId="2">#REF!</definedName>
    <definedName name="ESA" localSheetId="7">#REF!</definedName>
    <definedName name="ESA">#REF!</definedName>
    <definedName name="EXA" localSheetId="2">#REF!</definedName>
    <definedName name="EXA" localSheetId="7">#REF!</definedName>
    <definedName name="EXA">#REF!</definedName>
    <definedName name="EXB" localSheetId="2">#REF!</definedName>
    <definedName name="EXB" localSheetId="7">#REF!</definedName>
    <definedName name="EXB">#REF!</definedName>
    <definedName name="EXC" localSheetId="2">#REF!</definedName>
    <definedName name="EXC" localSheetId="7">#REF!</definedName>
    <definedName name="EXC">#REF!</definedName>
    <definedName name="EXD" localSheetId="2">#REF!</definedName>
    <definedName name="EXD" localSheetId="7">#REF!</definedName>
    <definedName name="EXD">#REF!</definedName>
    <definedName name="EXDP1" localSheetId="7">#REF!</definedName>
    <definedName name="EXDP1">#REF!</definedName>
    <definedName name="EXDP2" localSheetId="7">#REF!</definedName>
    <definedName name="EXDP2">#REF!</definedName>
    <definedName name="EXDP3" localSheetId="7">#REF!</definedName>
    <definedName name="EXDP3">#REF!</definedName>
    <definedName name="EXDP4" localSheetId="7">#REF!</definedName>
    <definedName name="EXDP4">#REF!</definedName>
    <definedName name="EXDPR" localSheetId="7">#REF!</definedName>
    <definedName name="EXDPR">#REF!</definedName>
    <definedName name="EXT" localSheetId="2">#REF!</definedName>
    <definedName name="EXT" localSheetId="7">#REF!</definedName>
    <definedName name="EXT">#REF!</definedName>
    <definedName name="f" localSheetId="2">#REF!</definedName>
    <definedName name="f" localSheetId="7">#REF!</definedName>
    <definedName name="f">#REF!</definedName>
    <definedName name="fdghfdhfd" localSheetId="2">#REF!</definedName>
    <definedName name="fdghfdhfd" localSheetId="7">#REF!</definedName>
    <definedName name="fdghfdhfd">#REF!</definedName>
    <definedName name="feeder">[14]Data!$J$12:$L$13</definedName>
    <definedName name="ffffffffffffffffff" localSheetId="2">#REF!</definedName>
    <definedName name="ffffffffffffffffff" localSheetId="7">#REF!</definedName>
    <definedName name="ffffffffffffffffff">#REF!</definedName>
    <definedName name="Field10" localSheetId="7">#REF!</definedName>
    <definedName name="Field10">#REF!</definedName>
    <definedName name="Field112" localSheetId="7">#REF!</definedName>
    <definedName name="Field112">#REF!</definedName>
    <definedName name="Field113" localSheetId="7">#REF!</definedName>
    <definedName name="Field113">#REF!</definedName>
    <definedName name="Field115" localSheetId="7">#REF!</definedName>
    <definedName name="Field115">#REF!</definedName>
    <definedName name="Field116" localSheetId="7">#REF!</definedName>
    <definedName name="Field116">#REF!</definedName>
    <definedName name="Field1161" localSheetId="7">[15]Cover!#REF!</definedName>
    <definedName name="Field1161">[15]Cover!#REF!</definedName>
    <definedName name="Field1166" localSheetId="7">[15]Cover!#REF!</definedName>
    <definedName name="Field1166">[15]Cover!#REF!</definedName>
    <definedName name="Field117" localSheetId="7">#REF!</definedName>
    <definedName name="Field117">#REF!</definedName>
    <definedName name="Field118" localSheetId="7">#REF!</definedName>
    <definedName name="Field118">#REF!</definedName>
    <definedName name="Field119" localSheetId="7">#REF!</definedName>
    <definedName name="Field119">#REF!</definedName>
    <definedName name="Field12" localSheetId="7">#REF!</definedName>
    <definedName name="Field12">#REF!</definedName>
    <definedName name="Field120" localSheetId="7">#REF!</definedName>
    <definedName name="Field120">#REF!</definedName>
    <definedName name="Field121" localSheetId="7">#REF!</definedName>
    <definedName name="Field121">#REF!</definedName>
    <definedName name="Field122" localSheetId="7">#REF!</definedName>
    <definedName name="Field122">#REF!</definedName>
    <definedName name="Field127" localSheetId="7">#REF!</definedName>
    <definedName name="Field127">#REF!</definedName>
    <definedName name="Field128" localSheetId="7">#REF!</definedName>
    <definedName name="Field128">#REF!</definedName>
    <definedName name="Field129" localSheetId="7">#REF!</definedName>
    <definedName name="Field129">#REF!</definedName>
    <definedName name="Field13" localSheetId="7">#REF!</definedName>
    <definedName name="Field13">#REF!</definedName>
    <definedName name="Field130" localSheetId="7">#REF!</definedName>
    <definedName name="Field130">#REF!</definedName>
    <definedName name="Field131" localSheetId="7">#REF!</definedName>
    <definedName name="Field131">#REF!</definedName>
    <definedName name="Field132" localSheetId="7">#REF!</definedName>
    <definedName name="Field132">#REF!</definedName>
    <definedName name="Field133" localSheetId="7">#REF!</definedName>
    <definedName name="Field133">#REF!</definedName>
    <definedName name="Field134" localSheetId="7">#REF!</definedName>
    <definedName name="Field134">#REF!</definedName>
    <definedName name="Field135" localSheetId="7">#REF!</definedName>
    <definedName name="Field135">#REF!</definedName>
    <definedName name="Field136" localSheetId="7">#REF!</definedName>
    <definedName name="Field136">#REF!</definedName>
    <definedName name="Field137" localSheetId="7">#REF!</definedName>
    <definedName name="Field137">#REF!</definedName>
    <definedName name="Field138" localSheetId="7">#REF!</definedName>
    <definedName name="Field138">#REF!</definedName>
    <definedName name="Field139" localSheetId="7">#REF!</definedName>
    <definedName name="Field139">#REF!</definedName>
    <definedName name="Field14" localSheetId="7">#REF!</definedName>
    <definedName name="Field14">#REF!</definedName>
    <definedName name="Field140" localSheetId="7">#REF!</definedName>
    <definedName name="Field140">#REF!</definedName>
    <definedName name="Field141" localSheetId="7">#REF!</definedName>
    <definedName name="Field141">#REF!</definedName>
    <definedName name="Field142" localSheetId="7">#REF!</definedName>
    <definedName name="Field142">#REF!</definedName>
    <definedName name="Field143" localSheetId="7">#REF!</definedName>
    <definedName name="Field143">#REF!</definedName>
    <definedName name="Field144" localSheetId="7">#REF!</definedName>
    <definedName name="Field144">#REF!</definedName>
    <definedName name="Field145" localSheetId="7">#REF!</definedName>
    <definedName name="Field145">#REF!</definedName>
    <definedName name="Field146" localSheetId="7">#REF!</definedName>
    <definedName name="Field146">#REF!</definedName>
    <definedName name="Field147" localSheetId="7">#REF!</definedName>
    <definedName name="Field147">#REF!</definedName>
    <definedName name="Field148" localSheetId="7">#REF!</definedName>
    <definedName name="Field148">#REF!</definedName>
    <definedName name="Field149" localSheetId="7">#REF!</definedName>
    <definedName name="Field149">#REF!</definedName>
    <definedName name="Field15" localSheetId="7">#REF!</definedName>
    <definedName name="Field15">#REF!</definedName>
    <definedName name="Field150" localSheetId="7">#REF!</definedName>
    <definedName name="Field150">#REF!</definedName>
    <definedName name="Field151" localSheetId="7">#REF!</definedName>
    <definedName name="Field151">#REF!</definedName>
    <definedName name="Field152" localSheetId="7">#REF!</definedName>
    <definedName name="Field152">#REF!</definedName>
    <definedName name="Field153" localSheetId="7">#REF!</definedName>
    <definedName name="Field153">#REF!</definedName>
    <definedName name="Field154" localSheetId="7">#REF!</definedName>
    <definedName name="Field154">#REF!</definedName>
    <definedName name="Field155" localSheetId="7">#REF!</definedName>
    <definedName name="Field155">#REF!</definedName>
    <definedName name="Field156" localSheetId="7">#REF!</definedName>
    <definedName name="Field156">#REF!</definedName>
    <definedName name="Field157" localSheetId="7">#REF!</definedName>
    <definedName name="Field157">#REF!</definedName>
    <definedName name="Field158" localSheetId="7">#REF!</definedName>
    <definedName name="Field158">#REF!</definedName>
    <definedName name="Field159" localSheetId="7">#REF!</definedName>
    <definedName name="Field159">#REF!</definedName>
    <definedName name="Field160" localSheetId="7">#REF!</definedName>
    <definedName name="Field160">#REF!</definedName>
    <definedName name="Field161" localSheetId="7">#REF!</definedName>
    <definedName name="Field161">#REF!</definedName>
    <definedName name="Field162" localSheetId="7">#REF!</definedName>
    <definedName name="Field162">#REF!</definedName>
    <definedName name="Field163" localSheetId="7">#REF!</definedName>
    <definedName name="Field163">#REF!</definedName>
    <definedName name="Field164" localSheetId="7">#REF!</definedName>
    <definedName name="Field164">#REF!</definedName>
    <definedName name="Field165" localSheetId="7">#REF!</definedName>
    <definedName name="Field165">#REF!</definedName>
    <definedName name="Field166" localSheetId="7">#REF!</definedName>
    <definedName name="Field166">#REF!</definedName>
    <definedName name="Field167" localSheetId="7">#REF!</definedName>
    <definedName name="Field167">#REF!</definedName>
    <definedName name="Field168" localSheetId="7">#REF!</definedName>
    <definedName name="Field168">#REF!</definedName>
    <definedName name="Field169" localSheetId="7">#REF!</definedName>
    <definedName name="Field169">#REF!</definedName>
    <definedName name="Field170" localSheetId="7">#REF!</definedName>
    <definedName name="Field170">#REF!</definedName>
    <definedName name="Field171" localSheetId="7">#REF!</definedName>
    <definedName name="Field171">#REF!</definedName>
    <definedName name="Field172" localSheetId="7">#REF!</definedName>
    <definedName name="Field172">#REF!</definedName>
    <definedName name="Field1722" localSheetId="7">#REF!</definedName>
    <definedName name="Field1722">#REF!</definedName>
    <definedName name="Field1728" localSheetId="7">#REF!</definedName>
    <definedName name="Field1728">#REF!</definedName>
    <definedName name="Field1729" localSheetId="7">#REF!</definedName>
    <definedName name="Field1729">#REF!</definedName>
    <definedName name="Field173" localSheetId="7">#REF!</definedName>
    <definedName name="Field173">#REF!</definedName>
    <definedName name="Field1730" localSheetId="7">#REF!</definedName>
    <definedName name="Field1730">#REF!</definedName>
    <definedName name="Field1731" localSheetId="7">#REF!</definedName>
    <definedName name="Field1731">#REF!</definedName>
    <definedName name="Field1732" localSheetId="7">#REF!</definedName>
    <definedName name="Field1732">#REF!</definedName>
    <definedName name="Field1733" localSheetId="7">#REF!</definedName>
    <definedName name="Field1733">#REF!</definedName>
    <definedName name="Field1734" localSheetId="7">#REF!</definedName>
    <definedName name="Field1734">#REF!</definedName>
    <definedName name="Field1735" localSheetId="7">#REF!</definedName>
    <definedName name="Field1735">#REF!</definedName>
    <definedName name="Field1736" localSheetId="7">#REF!</definedName>
    <definedName name="Field1736">#REF!</definedName>
    <definedName name="Field1737" localSheetId="7">#REF!</definedName>
    <definedName name="Field1737">#REF!</definedName>
    <definedName name="Field1738" localSheetId="7">#REF!</definedName>
    <definedName name="Field1738">#REF!</definedName>
    <definedName name="Field1739" localSheetId="7">#REF!</definedName>
    <definedName name="Field1739">#REF!</definedName>
    <definedName name="Field174" localSheetId="7">#REF!</definedName>
    <definedName name="Field174">#REF!</definedName>
    <definedName name="Field1740" localSheetId="7">#REF!</definedName>
    <definedName name="Field1740">#REF!</definedName>
    <definedName name="Field1741" localSheetId="7">#REF!</definedName>
    <definedName name="Field1741">#REF!</definedName>
    <definedName name="Field1742" localSheetId="7">#REF!</definedName>
    <definedName name="Field1742">#REF!</definedName>
    <definedName name="Field1743" localSheetId="7">#REF!</definedName>
    <definedName name="Field1743">#REF!</definedName>
    <definedName name="Field1744" localSheetId="7">#REF!</definedName>
    <definedName name="Field1744">#REF!</definedName>
    <definedName name="Field1745" localSheetId="7">#REF!</definedName>
    <definedName name="Field1745">#REF!</definedName>
    <definedName name="Field1746" localSheetId="7">#REF!</definedName>
    <definedName name="Field1746">#REF!</definedName>
    <definedName name="Field1747" localSheetId="7">#REF!</definedName>
    <definedName name="Field1747">#REF!</definedName>
    <definedName name="Field175" localSheetId="7">#REF!</definedName>
    <definedName name="Field175">#REF!</definedName>
    <definedName name="Field1752" localSheetId="7">#REF!</definedName>
    <definedName name="Field1752">#REF!</definedName>
    <definedName name="Field1754" localSheetId="7">#REF!</definedName>
    <definedName name="Field1754">#REF!</definedName>
    <definedName name="Field176" localSheetId="7">#REF!</definedName>
    <definedName name="Field176">#REF!</definedName>
    <definedName name="Field177" localSheetId="7">#REF!</definedName>
    <definedName name="Field177">#REF!</definedName>
    <definedName name="Field178" localSheetId="7">#REF!</definedName>
    <definedName name="Field178">#REF!</definedName>
    <definedName name="Field179" localSheetId="7">#REF!</definedName>
    <definedName name="Field179">#REF!</definedName>
    <definedName name="Field180" localSheetId="7">#REF!</definedName>
    <definedName name="Field180">#REF!</definedName>
    <definedName name="Field181" localSheetId="7">#REF!</definedName>
    <definedName name="Field181">#REF!</definedName>
    <definedName name="Field194" localSheetId="7">#REF!</definedName>
    <definedName name="Field194">#REF!</definedName>
    <definedName name="Field1945" localSheetId="7">#REF!</definedName>
    <definedName name="Field1945">#REF!</definedName>
    <definedName name="Field1946" localSheetId="7">#REF!</definedName>
    <definedName name="Field1946">#REF!</definedName>
    <definedName name="Field1947" localSheetId="7">#REF!</definedName>
    <definedName name="Field1947">#REF!</definedName>
    <definedName name="Field1948" localSheetId="7">#REF!</definedName>
    <definedName name="Field1948">#REF!</definedName>
    <definedName name="Field195" localSheetId="7">#REF!</definedName>
    <definedName name="Field195">#REF!</definedName>
    <definedName name="Field1950" localSheetId="7">#REF!</definedName>
    <definedName name="Field1950">#REF!</definedName>
    <definedName name="Field1951" localSheetId="7">#REF!</definedName>
    <definedName name="Field1951">#REF!</definedName>
    <definedName name="Field1952" localSheetId="7">#REF!</definedName>
    <definedName name="Field1952">#REF!</definedName>
    <definedName name="Field1953" localSheetId="7">#REF!</definedName>
    <definedName name="Field1953">#REF!</definedName>
    <definedName name="Field1954" localSheetId="7">#REF!</definedName>
    <definedName name="Field1954">#REF!</definedName>
    <definedName name="Field1955" localSheetId="7">#REF!</definedName>
    <definedName name="Field1955">#REF!</definedName>
    <definedName name="Field1956" localSheetId="7">#REF!</definedName>
    <definedName name="Field1956">#REF!</definedName>
    <definedName name="Field1957" localSheetId="7">#REF!</definedName>
    <definedName name="Field1957">#REF!</definedName>
    <definedName name="Field1958" localSheetId="7">#REF!</definedName>
    <definedName name="Field1958">#REF!</definedName>
    <definedName name="Field1960" localSheetId="7">#REF!</definedName>
    <definedName name="Field1960">#REF!</definedName>
    <definedName name="Field1961" localSheetId="7">#REF!</definedName>
    <definedName name="Field1961">#REF!</definedName>
    <definedName name="Field1963" localSheetId="7">#REF!</definedName>
    <definedName name="Field1963">#REF!</definedName>
    <definedName name="Field25" localSheetId="7">#REF!</definedName>
    <definedName name="Field25">#REF!</definedName>
    <definedName name="Field252" localSheetId="7">#REF!</definedName>
    <definedName name="Field252">#REF!</definedName>
    <definedName name="Field253" localSheetId="7">#REF!</definedName>
    <definedName name="Field253">#REF!</definedName>
    <definedName name="Field254" localSheetId="7">#REF!</definedName>
    <definedName name="Field254">#REF!</definedName>
    <definedName name="Field255" localSheetId="7">#REF!</definedName>
    <definedName name="Field255">#REF!</definedName>
    <definedName name="Field256" localSheetId="7">#REF!</definedName>
    <definedName name="Field256">#REF!</definedName>
    <definedName name="Field257" localSheetId="7">#REF!</definedName>
    <definedName name="Field257">#REF!</definedName>
    <definedName name="Field258" localSheetId="7">#REF!</definedName>
    <definedName name="Field258">#REF!</definedName>
    <definedName name="Field259" localSheetId="7">#REF!</definedName>
    <definedName name="Field259">#REF!</definedName>
    <definedName name="Field26" localSheetId="7">#REF!</definedName>
    <definedName name="Field26">#REF!</definedName>
    <definedName name="Field260" localSheetId="7">#REF!</definedName>
    <definedName name="Field260">#REF!</definedName>
    <definedName name="Field261" localSheetId="7">#REF!</definedName>
    <definedName name="Field261">#REF!</definedName>
    <definedName name="Field262" localSheetId="7">#REF!</definedName>
    <definedName name="Field262">#REF!</definedName>
    <definedName name="Field263" localSheetId="7">#REF!</definedName>
    <definedName name="Field263">#REF!</definedName>
    <definedName name="Field264" localSheetId="7">#REF!</definedName>
    <definedName name="Field264">#REF!</definedName>
    <definedName name="Field265" localSheetId="7">#REF!</definedName>
    <definedName name="Field265">#REF!</definedName>
    <definedName name="Field266" localSheetId="7">#REF!</definedName>
    <definedName name="Field266">#REF!</definedName>
    <definedName name="Field267" localSheetId="7">#REF!</definedName>
    <definedName name="Field267">#REF!</definedName>
    <definedName name="Field268" localSheetId="7">#REF!</definedName>
    <definedName name="Field268">#REF!</definedName>
    <definedName name="Field269" localSheetId="7">#REF!</definedName>
    <definedName name="Field269">#REF!</definedName>
    <definedName name="Field27" localSheetId="7">#REF!</definedName>
    <definedName name="Field27">#REF!</definedName>
    <definedName name="Field270" localSheetId="7">#REF!</definedName>
    <definedName name="Field270">#REF!</definedName>
    <definedName name="Field271" localSheetId="7">#REF!</definedName>
    <definedName name="Field271">#REF!</definedName>
    <definedName name="Field272" localSheetId="7">#REF!</definedName>
    <definedName name="Field272">#REF!</definedName>
    <definedName name="Field273" localSheetId="7">#REF!</definedName>
    <definedName name="Field273">#REF!</definedName>
    <definedName name="Field274" localSheetId="7">#REF!</definedName>
    <definedName name="Field274">#REF!</definedName>
    <definedName name="Field275" localSheetId="7">#REF!</definedName>
    <definedName name="Field275">#REF!</definedName>
    <definedName name="Field276" localSheetId="7">#REF!</definedName>
    <definedName name="Field276">#REF!</definedName>
    <definedName name="Field277" localSheetId="7">#REF!</definedName>
    <definedName name="Field277">#REF!</definedName>
    <definedName name="Field278" localSheetId="7">#REF!</definedName>
    <definedName name="Field278">#REF!</definedName>
    <definedName name="Field279" localSheetId="7">#REF!</definedName>
    <definedName name="Field279">#REF!</definedName>
    <definedName name="Field28" localSheetId="7">#REF!</definedName>
    <definedName name="Field28">#REF!</definedName>
    <definedName name="Field280" localSheetId="7">#REF!</definedName>
    <definedName name="Field280">#REF!</definedName>
    <definedName name="Field281" localSheetId="7">#REF!</definedName>
    <definedName name="Field281">#REF!</definedName>
    <definedName name="Field282" localSheetId="7">#REF!</definedName>
    <definedName name="Field282">#REF!</definedName>
    <definedName name="Field283" localSheetId="7">#REF!</definedName>
    <definedName name="Field283">#REF!</definedName>
    <definedName name="Field284" localSheetId="7">#REF!</definedName>
    <definedName name="Field284">#REF!</definedName>
    <definedName name="Field285" localSheetId="7">#REF!</definedName>
    <definedName name="Field285">#REF!</definedName>
    <definedName name="Field289" localSheetId="7">#REF!</definedName>
    <definedName name="Field289">#REF!</definedName>
    <definedName name="Field29" localSheetId="7">#REF!</definedName>
    <definedName name="Field29">#REF!</definedName>
    <definedName name="Field290" localSheetId="7">#REF!</definedName>
    <definedName name="Field290">#REF!</definedName>
    <definedName name="Field293" localSheetId="7">#REF!</definedName>
    <definedName name="Field293">#REF!</definedName>
    <definedName name="Field297" localSheetId="7">#REF!</definedName>
    <definedName name="Field297">#REF!</definedName>
    <definedName name="Field298" localSheetId="7">#REF!</definedName>
    <definedName name="Field298">#REF!</definedName>
    <definedName name="Field299" localSheetId="7">#REF!</definedName>
    <definedName name="Field299">#REF!</definedName>
    <definedName name="Field30" localSheetId="7">#REF!</definedName>
    <definedName name="Field30">#REF!</definedName>
    <definedName name="Field300" localSheetId="7">#REF!</definedName>
    <definedName name="Field300">#REF!</definedName>
    <definedName name="Field303" localSheetId="7">#REF!</definedName>
    <definedName name="Field303">#REF!</definedName>
    <definedName name="Field304" localSheetId="7">#REF!</definedName>
    <definedName name="Field304">#REF!</definedName>
    <definedName name="Field306" localSheetId="7">#REF!</definedName>
    <definedName name="Field306">#REF!</definedName>
    <definedName name="Field307" localSheetId="7">#REF!</definedName>
    <definedName name="Field307">#REF!</definedName>
    <definedName name="Field308" localSheetId="7">#REF!</definedName>
    <definedName name="Field308">#REF!</definedName>
    <definedName name="Field309" localSheetId="7">#REF!</definedName>
    <definedName name="Field309">#REF!</definedName>
    <definedName name="Field31" localSheetId="7">#REF!</definedName>
    <definedName name="Field31">#REF!</definedName>
    <definedName name="Field310" localSheetId="7">#REF!</definedName>
    <definedName name="Field310">#REF!</definedName>
    <definedName name="Field311" localSheetId="7">#REF!</definedName>
    <definedName name="Field311">#REF!</definedName>
    <definedName name="Field312" localSheetId="7">#REF!</definedName>
    <definedName name="Field312">#REF!</definedName>
    <definedName name="Field313" localSheetId="7">#REF!</definedName>
    <definedName name="Field313">#REF!</definedName>
    <definedName name="Field314" localSheetId="7">#REF!</definedName>
    <definedName name="Field314">#REF!</definedName>
    <definedName name="Field315" localSheetId="7">#REF!</definedName>
    <definedName name="Field315">#REF!</definedName>
    <definedName name="Field316" localSheetId="7">#REF!</definedName>
    <definedName name="Field316">#REF!</definedName>
    <definedName name="Field317" localSheetId="7">#REF!</definedName>
    <definedName name="Field317">#REF!</definedName>
    <definedName name="Field318" localSheetId="7">#REF!</definedName>
    <definedName name="Field318">#REF!</definedName>
    <definedName name="Field319" localSheetId="7">#REF!</definedName>
    <definedName name="Field319">#REF!</definedName>
    <definedName name="Field32" localSheetId="7">#REF!</definedName>
    <definedName name="Field32">#REF!</definedName>
    <definedName name="Field320" localSheetId="7">#REF!</definedName>
    <definedName name="Field320">#REF!</definedName>
    <definedName name="Field321" localSheetId="7">#REF!</definedName>
    <definedName name="Field321">#REF!</definedName>
    <definedName name="Field322" localSheetId="7">#REF!</definedName>
    <definedName name="Field322">#REF!</definedName>
    <definedName name="Field323" localSheetId="7">#REF!</definedName>
    <definedName name="Field323">#REF!</definedName>
    <definedName name="Field324" localSheetId="7">#REF!</definedName>
    <definedName name="Field324">#REF!</definedName>
    <definedName name="Field325" localSheetId="7">#REF!</definedName>
    <definedName name="Field325">#REF!</definedName>
    <definedName name="Field326" localSheetId="7">#REF!</definedName>
    <definedName name="Field326">#REF!</definedName>
    <definedName name="Field327" localSheetId="7">#REF!</definedName>
    <definedName name="Field327">#REF!</definedName>
    <definedName name="Field328" localSheetId="7">#REF!</definedName>
    <definedName name="Field328">#REF!</definedName>
    <definedName name="Field329" localSheetId="7">#REF!</definedName>
    <definedName name="Field329">#REF!</definedName>
    <definedName name="Field33" localSheetId="7">#REF!</definedName>
    <definedName name="Field33">#REF!</definedName>
    <definedName name="Field330" localSheetId="7">#REF!</definedName>
    <definedName name="Field330">#REF!</definedName>
    <definedName name="Field331" localSheetId="7">#REF!</definedName>
    <definedName name="Field331">#REF!</definedName>
    <definedName name="Field332" localSheetId="7">#REF!</definedName>
    <definedName name="Field332">#REF!</definedName>
    <definedName name="Field333" localSheetId="7">#REF!</definedName>
    <definedName name="Field333">#REF!</definedName>
    <definedName name="Field334" localSheetId="7">#REF!</definedName>
    <definedName name="Field334">#REF!</definedName>
    <definedName name="Field335" localSheetId="7">#REF!</definedName>
    <definedName name="Field335">#REF!</definedName>
    <definedName name="Field336" localSheetId="7">#REF!</definedName>
    <definedName name="Field336">#REF!</definedName>
    <definedName name="Field337" localSheetId="7">#REF!</definedName>
    <definedName name="Field337">#REF!</definedName>
    <definedName name="Field338" localSheetId="7">#REF!</definedName>
    <definedName name="Field338">#REF!</definedName>
    <definedName name="Field339" localSheetId="7">#REF!</definedName>
    <definedName name="Field339">#REF!</definedName>
    <definedName name="Field340" localSheetId="7">#REF!</definedName>
    <definedName name="Field340">#REF!</definedName>
    <definedName name="Field341" localSheetId="7">#REF!</definedName>
    <definedName name="Field341">#REF!</definedName>
    <definedName name="Field342" localSheetId="7">#REF!</definedName>
    <definedName name="Field342">#REF!</definedName>
    <definedName name="Field343" localSheetId="7">#REF!</definedName>
    <definedName name="Field343">#REF!</definedName>
    <definedName name="Field344" localSheetId="7">#REF!</definedName>
    <definedName name="Field344">#REF!</definedName>
    <definedName name="Field345" localSheetId="7">#REF!</definedName>
    <definedName name="Field345">#REF!</definedName>
    <definedName name="Field346" localSheetId="7">#REF!</definedName>
    <definedName name="Field346">#REF!</definedName>
    <definedName name="Field347" localSheetId="7">#REF!</definedName>
    <definedName name="Field347">#REF!</definedName>
    <definedName name="Field348" localSheetId="7">#REF!</definedName>
    <definedName name="Field348">#REF!</definedName>
    <definedName name="Field349" localSheetId="7">#REF!</definedName>
    <definedName name="Field349">#REF!</definedName>
    <definedName name="Field35" localSheetId="7">#REF!</definedName>
    <definedName name="Field35">#REF!</definedName>
    <definedName name="Field350" localSheetId="7">#REF!</definedName>
    <definedName name="Field350">#REF!</definedName>
    <definedName name="Field351" localSheetId="7">#REF!</definedName>
    <definedName name="Field351">#REF!</definedName>
    <definedName name="Field352" localSheetId="7">#REF!</definedName>
    <definedName name="Field352">#REF!</definedName>
    <definedName name="Field353" localSheetId="7">#REF!</definedName>
    <definedName name="Field353">#REF!</definedName>
    <definedName name="Field354" localSheetId="7">#REF!</definedName>
    <definedName name="Field354">#REF!</definedName>
    <definedName name="Field355" localSheetId="7">#REF!</definedName>
    <definedName name="Field355">#REF!</definedName>
    <definedName name="Field356" localSheetId="7">#REF!</definedName>
    <definedName name="Field356">#REF!</definedName>
    <definedName name="Field357" localSheetId="7">#REF!</definedName>
    <definedName name="Field357">#REF!</definedName>
    <definedName name="Field358" localSheetId="7">#REF!</definedName>
    <definedName name="Field358">#REF!</definedName>
    <definedName name="Field359" localSheetId="7">#REF!</definedName>
    <definedName name="Field359">#REF!</definedName>
    <definedName name="Field360" localSheetId="7">#REF!</definedName>
    <definedName name="Field360">#REF!</definedName>
    <definedName name="Field361" localSheetId="7">#REF!</definedName>
    <definedName name="Field361">#REF!</definedName>
    <definedName name="Field362" localSheetId="7">#REF!</definedName>
    <definedName name="Field362">#REF!</definedName>
    <definedName name="Field363" localSheetId="7">#REF!</definedName>
    <definedName name="Field363">#REF!</definedName>
    <definedName name="Field365" localSheetId="7">#REF!</definedName>
    <definedName name="Field365">#REF!</definedName>
    <definedName name="Field366" localSheetId="7">#REF!</definedName>
    <definedName name="Field366">#REF!</definedName>
    <definedName name="Field367" localSheetId="7">#REF!</definedName>
    <definedName name="Field367">#REF!</definedName>
    <definedName name="Field368" localSheetId="7">#REF!</definedName>
    <definedName name="Field368">#REF!</definedName>
    <definedName name="Field369" localSheetId="7">#REF!</definedName>
    <definedName name="Field369">#REF!</definedName>
    <definedName name="Field37" localSheetId="7">#REF!</definedName>
    <definedName name="Field37">#REF!</definedName>
    <definedName name="Field370" localSheetId="7">#REF!</definedName>
    <definedName name="Field370">#REF!</definedName>
    <definedName name="Field371" localSheetId="7">#REF!</definedName>
    <definedName name="Field371">#REF!</definedName>
    <definedName name="Field372" localSheetId="7">#REF!</definedName>
    <definedName name="Field372">#REF!</definedName>
    <definedName name="Field373" localSheetId="7">#REF!</definedName>
    <definedName name="Field373">#REF!</definedName>
    <definedName name="Field374" localSheetId="7">#REF!</definedName>
    <definedName name="Field374">#REF!</definedName>
    <definedName name="Field375" localSheetId="7">#REF!</definedName>
    <definedName name="Field375">#REF!</definedName>
    <definedName name="Field376" localSheetId="7">#REF!</definedName>
    <definedName name="Field376">#REF!</definedName>
    <definedName name="Field377" localSheetId="7">#REF!</definedName>
    <definedName name="Field377">#REF!</definedName>
    <definedName name="Field378" localSheetId="7">#REF!</definedName>
    <definedName name="Field378">#REF!</definedName>
    <definedName name="Field379" localSheetId="7">#REF!</definedName>
    <definedName name="Field379">#REF!</definedName>
    <definedName name="Field380" localSheetId="7">#REF!</definedName>
    <definedName name="Field380">#REF!</definedName>
    <definedName name="Field381" localSheetId="7">#REF!</definedName>
    <definedName name="Field381">#REF!</definedName>
    <definedName name="Field382" localSheetId="7">#REF!</definedName>
    <definedName name="Field382">#REF!</definedName>
    <definedName name="Field384" localSheetId="7">#REF!</definedName>
    <definedName name="Field384">#REF!</definedName>
    <definedName name="Field385" localSheetId="7">#REF!</definedName>
    <definedName name="Field385">#REF!</definedName>
    <definedName name="Field386" localSheetId="7">#REF!</definedName>
    <definedName name="Field386">#REF!</definedName>
    <definedName name="Field387" localSheetId="7">#REF!</definedName>
    <definedName name="Field387">#REF!</definedName>
    <definedName name="Field388" localSheetId="7">#REF!</definedName>
    <definedName name="Field388">#REF!</definedName>
    <definedName name="Field389" localSheetId="7">#REF!</definedName>
    <definedName name="Field389">#REF!</definedName>
    <definedName name="Field390" localSheetId="7">#REF!</definedName>
    <definedName name="Field390">#REF!</definedName>
    <definedName name="Field391" localSheetId="7">#REF!</definedName>
    <definedName name="Field391">#REF!</definedName>
    <definedName name="Field392" localSheetId="7">#REF!</definedName>
    <definedName name="Field392">#REF!</definedName>
    <definedName name="Field393" localSheetId="7">#REF!</definedName>
    <definedName name="Field393">#REF!</definedName>
    <definedName name="Field394" localSheetId="7">#REF!</definedName>
    <definedName name="Field394">#REF!</definedName>
    <definedName name="Field395" localSheetId="7">#REF!</definedName>
    <definedName name="Field395">#REF!</definedName>
    <definedName name="Field396" localSheetId="7">#REF!</definedName>
    <definedName name="Field396">#REF!</definedName>
    <definedName name="Field397" localSheetId="7">#REF!</definedName>
    <definedName name="Field397">#REF!</definedName>
    <definedName name="Field398" localSheetId="7">#REF!</definedName>
    <definedName name="Field398">#REF!</definedName>
    <definedName name="Field399" localSheetId="7">#REF!</definedName>
    <definedName name="Field399">#REF!</definedName>
    <definedName name="Field400" localSheetId="7">#REF!</definedName>
    <definedName name="Field400">#REF!</definedName>
    <definedName name="Field401" localSheetId="7">#REF!</definedName>
    <definedName name="Field401">#REF!</definedName>
    <definedName name="Field402" localSheetId="7">#REF!</definedName>
    <definedName name="Field402">#REF!</definedName>
    <definedName name="Field403" localSheetId="7">#REF!</definedName>
    <definedName name="Field403">#REF!</definedName>
    <definedName name="Field404" localSheetId="7">#REF!</definedName>
    <definedName name="Field404">#REF!</definedName>
    <definedName name="Field405" localSheetId="7">#REF!</definedName>
    <definedName name="Field405">#REF!</definedName>
    <definedName name="Field406" localSheetId="7">#REF!</definedName>
    <definedName name="Field406">#REF!</definedName>
    <definedName name="Field407" localSheetId="7">#REF!</definedName>
    <definedName name="Field407">#REF!</definedName>
    <definedName name="Field408" localSheetId="7">#REF!</definedName>
    <definedName name="Field408">#REF!</definedName>
    <definedName name="Field409" localSheetId="7">#REF!</definedName>
    <definedName name="Field409">#REF!</definedName>
    <definedName name="Field41" localSheetId="7">#REF!</definedName>
    <definedName name="Field41">#REF!</definedName>
    <definedName name="Field410" localSheetId="7">#REF!</definedName>
    <definedName name="Field410">#REF!</definedName>
    <definedName name="Field411" localSheetId="7">#REF!</definedName>
    <definedName name="Field411">#REF!</definedName>
    <definedName name="Field412" localSheetId="7">#REF!</definedName>
    <definedName name="Field412">#REF!</definedName>
    <definedName name="Field413" localSheetId="7">#REF!</definedName>
    <definedName name="Field413">#REF!</definedName>
    <definedName name="Field414" localSheetId="7">#REF!</definedName>
    <definedName name="Field414">#REF!</definedName>
    <definedName name="Field415" localSheetId="7">#REF!</definedName>
    <definedName name="Field415">#REF!</definedName>
    <definedName name="Field416" localSheetId="7">#REF!</definedName>
    <definedName name="Field416">#REF!</definedName>
    <definedName name="Field417" localSheetId="7">#REF!</definedName>
    <definedName name="Field417">#REF!</definedName>
    <definedName name="Field418" localSheetId="7">#REF!</definedName>
    <definedName name="Field418">#REF!</definedName>
    <definedName name="Field419" localSheetId="7">#REF!</definedName>
    <definedName name="Field419">#REF!</definedName>
    <definedName name="Field420" localSheetId="7">#REF!</definedName>
    <definedName name="Field420">#REF!</definedName>
    <definedName name="Field421" localSheetId="7">#REF!</definedName>
    <definedName name="Field421">#REF!</definedName>
    <definedName name="Field422" localSheetId="7">#REF!</definedName>
    <definedName name="Field422">#REF!</definedName>
    <definedName name="Field423" localSheetId="7">#REF!</definedName>
    <definedName name="Field423">#REF!</definedName>
    <definedName name="Field424" localSheetId="7">#REF!</definedName>
    <definedName name="Field424">#REF!</definedName>
    <definedName name="Field425" localSheetId="7">#REF!</definedName>
    <definedName name="Field425">#REF!</definedName>
    <definedName name="Field426" localSheetId="7">#REF!</definedName>
    <definedName name="Field426">#REF!</definedName>
    <definedName name="Field427" localSheetId="7">#REF!</definedName>
    <definedName name="Field427">#REF!</definedName>
    <definedName name="Field428" localSheetId="7">#REF!</definedName>
    <definedName name="Field428">#REF!</definedName>
    <definedName name="Field429" localSheetId="7">#REF!</definedName>
    <definedName name="Field429">#REF!</definedName>
    <definedName name="Field43" localSheetId="7">#REF!</definedName>
    <definedName name="Field43">#REF!</definedName>
    <definedName name="Field430" localSheetId="7">#REF!</definedName>
    <definedName name="Field430">#REF!</definedName>
    <definedName name="Field431" localSheetId="7">#REF!</definedName>
    <definedName name="Field431">#REF!</definedName>
    <definedName name="Field432" localSheetId="7">#REF!</definedName>
    <definedName name="Field432">#REF!</definedName>
    <definedName name="Field433" localSheetId="7">#REF!</definedName>
    <definedName name="Field433">#REF!</definedName>
    <definedName name="Field434" localSheetId="7">#REF!</definedName>
    <definedName name="Field434">#REF!</definedName>
    <definedName name="Field437" localSheetId="7">#REF!</definedName>
    <definedName name="Field437">#REF!</definedName>
    <definedName name="Field438" localSheetId="7">#REF!</definedName>
    <definedName name="Field438">#REF!</definedName>
    <definedName name="Field439" localSheetId="7">#REF!</definedName>
    <definedName name="Field439">#REF!</definedName>
    <definedName name="Field440" localSheetId="7">#REF!</definedName>
    <definedName name="Field440">#REF!</definedName>
    <definedName name="Field441" localSheetId="7">#REF!</definedName>
    <definedName name="Field441">#REF!</definedName>
    <definedName name="Field442" localSheetId="7">#REF!</definedName>
    <definedName name="Field442">#REF!</definedName>
    <definedName name="Field443" localSheetId="7">#REF!</definedName>
    <definedName name="Field443">#REF!</definedName>
    <definedName name="Field444" localSheetId="7">#REF!</definedName>
    <definedName name="Field444">#REF!</definedName>
    <definedName name="Field445" localSheetId="7">#REF!</definedName>
    <definedName name="Field445">#REF!</definedName>
    <definedName name="Field446" localSheetId="7">#REF!</definedName>
    <definedName name="Field446">#REF!</definedName>
    <definedName name="Field447" localSheetId="7">#REF!</definedName>
    <definedName name="Field447">#REF!</definedName>
    <definedName name="Field48" localSheetId="7">#REF!</definedName>
    <definedName name="Field48">#REF!</definedName>
    <definedName name="Field51" localSheetId="7">#REF!</definedName>
    <definedName name="Field51">#REF!</definedName>
    <definedName name="Field52" localSheetId="7">#REF!</definedName>
    <definedName name="Field52">#REF!</definedName>
    <definedName name="Field53" localSheetId="7">#REF!</definedName>
    <definedName name="Field53">#REF!</definedName>
    <definedName name="Field54" localSheetId="7">#REF!</definedName>
    <definedName name="Field54">#REF!</definedName>
    <definedName name="Field55" localSheetId="7">#REF!</definedName>
    <definedName name="Field55">#REF!</definedName>
    <definedName name="Field56" localSheetId="7">#REF!</definedName>
    <definedName name="Field56">#REF!</definedName>
    <definedName name="Field57" localSheetId="7">#REF!</definedName>
    <definedName name="Field57">#REF!</definedName>
    <definedName name="Field58" localSheetId="7">#REF!</definedName>
    <definedName name="Field58">#REF!</definedName>
    <definedName name="Field59" localSheetId="7">#REF!</definedName>
    <definedName name="Field59">#REF!</definedName>
    <definedName name="Field60" localSheetId="7">#REF!</definedName>
    <definedName name="Field60">#REF!</definedName>
    <definedName name="Field61" localSheetId="7">#REF!</definedName>
    <definedName name="Field61">#REF!</definedName>
    <definedName name="Field62" localSheetId="7">#REF!</definedName>
    <definedName name="Field62">#REF!</definedName>
    <definedName name="Field63" localSheetId="7">#REF!</definedName>
    <definedName name="Field63">#REF!</definedName>
    <definedName name="Field64" localSheetId="7">#REF!</definedName>
    <definedName name="Field64">#REF!</definedName>
    <definedName name="Field65" localSheetId="7">#REF!</definedName>
    <definedName name="Field65">#REF!</definedName>
    <definedName name="Field66" localSheetId="7">#REF!</definedName>
    <definedName name="Field66">#REF!</definedName>
    <definedName name="Field68" localSheetId="7">#REF!</definedName>
    <definedName name="Field68">#REF!</definedName>
    <definedName name="Field69" localSheetId="7">#REF!</definedName>
    <definedName name="Field69">#REF!</definedName>
    <definedName name="Field70" localSheetId="7">#REF!</definedName>
    <definedName name="Field70">#REF!</definedName>
    <definedName name="Field71" localSheetId="7">#REF!</definedName>
    <definedName name="Field71">#REF!</definedName>
    <definedName name="Field72" localSheetId="7">#REF!</definedName>
    <definedName name="Field72">#REF!</definedName>
    <definedName name="Field73" localSheetId="7">#REF!</definedName>
    <definedName name="Field73">#REF!</definedName>
    <definedName name="Field74" localSheetId="7">#REF!</definedName>
    <definedName name="Field74">#REF!</definedName>
    <definedName name="Field75" localSheetId="7">#REF!</definedName>
    <definedName name="Field75">#REF!</definedName>
    <definedName name="Field76" localSheetId="7">#REF!</definedName>
    <definedName name="Field76">#REF!</definedName>
    <definedName name="Field77" localSheetId="7">#REF!</definedName>
    <definedName name="Field77">#REF!</definedName>
    <definedName name="Field8" localSheetId="7">#REF!</definedName>
    <definedName name="Field8">#REF!</definedName>
    <definedName name="Field86" localSheetId="7">#REF!</definedName>
    <definedName name="Field86">#REF!</definedName>
    <definedName name="Field87" localSheetId="7">#REF!</definedName>
    <definedName name="Field87">#REF!</definedName>
    <definedName name="Field90" localSheetId="7">#REF!</definedName>
    <definedName name="Field90">#REF!</definedName>
    <definedName name="FIELDIN" localSheetId="2">#REF!</definedName>
    <definedName name="FIELDIN" localSheetId="7">#REF!</definedName>
    <definedName name="FIELDIN">#REF!</definedName>
    <definedName name="FIELDJ" localSheetId="2">#REF!</definedName>
    <definedName name="FIELDJ" localSheetId="7">#REF!</definedName>
    <definedName name="FIELDJ">#REF!</definedName>
    <definedName name="FILENAME" localSheetId="7">#REF!</definedName>
    <definedName name="FILENAME">#REF!</definedName>
    <definedName name="FPAGE" localSheetId="7">#REF!</definedName>
    <definedName name="FPAGE">#REF!</definedName>
    <definedName name="Fri">[16]Variables!$I$9</definedName>
    <definedName name="g" localSheetId="2">#REF!</definedName>
    <definedName name="g" localSheetId="7">#REF!</definedName>
    <definedName name="g">#REF!</definedName>
    <definedName name="GA" localSheetId="2">#REF!</definedName>
    <definedName name="GA" localSheetId="7">#REF!</definedName>
    <definedName name="GA">#REF!</definedName>
    <definedName name="GAB" localSheetId="2">#REF!</definedName>
    <definedName name="GAB" localSheetId="7">#REF!</definedName>
    <definedName name="GAB">#REF!</definedName>
    <definedName name="GABSC" localSheetId="2">#REF!</definedName>
    <definedName name="GABSC" localSheetId="7">#REF!</definedName>
    <definedName name="GABSC">#REF!</definedName>
    <definedName name="GABSCD" localSheetId="2">#REF!</definedName>
    <definedName name="GABSCD" localSheetId="7">#REF!</definedName>
    <definedName name="GABSCD">#REF!</definedName>
    <definedName name="GABSD" localSheetId="2">#REF!</definedName>
    <definedName name="GABSD" localSheetId="7">#REF!</definedName>
    <definedName name="GABSD">#REF!</definedName>
    <definedName name="GASC" localSheetId="2">#REF!</definedName>
    <definedName name="GASC" localSheetId="7">#REF!</definedName>
    <definedName name="GASC">#REF!</definedName>
    <definedName name="GASCD" localSheetId="2">#REF!</definedName>
    <definedName name="GASCD" localSheetId="7">#REF!</definedName>
    <definedName name="GASCD">#REF!</definedName>
    <definedName name="GASD" localSheetId="2">#REF!</definedName>
    <definedName name="GASD" localSheetId="7">#REF!</definedName>
    <definedName name="GASD">#REF!</definedName>
    <definedName name="GB" localSheetId="2">#REF!</definedName>
    <definedName name="GB" localSheetId="7">#REF!</definedName>
    <definedName name="GB">#REF!</definedName>
    <definedName name="GBSC" localSheetId="2">#REF!</definedName>
    <definedName name="GBSC" localSheetId="7">#REF!</definedName>
    <definedName name="GBSC">#REF!</definedName>
    <definedName name="GBSCD" localSheetId="2">#REF!</definedName>
    <definedName name="GBSCD" localSheetId="7">#REF!</definedName>
    <definedName name="GBSCD">#REF!</definedName>
    <definedName name="GBSD" localSheetId="2">#REF!</definedName>
    <definedName name="GBSD" localSheetId="7">#REF!</definedName>
    <definedName name="GBSD">#REF!</definedName>
    <definedName name="gdhdg" localSheetId="2">'[17]Integration MC Dates'!#REF!</definedName>
    <definedName name="gdhdg" localSheetId="7">'[17]Integration MC Dates'!#REF!</definedName>
    <definedName name="gdhdg">'[17]Integration MC Dates'!#REF!</definedName>
    <definedName name="Generale" localSheetId="0">#REF!</definedName>
    <definedName name="Generale" localSheetId="7">#REF!</definedName>
    <definedName name="Generale">#REF!</definedName>
    <definedName name="GETCASE" localSheetId="7">#REF!</definedName>
    <definedName name="GETCASE">#REF!</definedName>
    <definedName name="GETCN" localSheetId="7">#REF!</definedName>
    <definedName name="GETCN">#REF!</definedName>
    <definedName name="gffds" localSheetId="2">#REF!</definedName>
    <definedName name="gffds" localSheetId="0">#REF!</definedName>
    <definedName name="gffds" localSheetId="7">#REF!</definedName>
    <definedName name="gffds">#REF!</definedName>
    <definedName name="gfhgdh" localSheetId="2">#REF!</definedName>
    <definedName name="gfhgdh" localSheetId="7">#REF!</definedName>
    <definedName name="gfhgdh">#REF!</definedName>
    <definedName name="GGA" localSheetId="2">#REF!</definedName>
    <definedName name="GGA" localSheetId="7">#REF!</definedName>
    <definedName name="GGA">#REF!</definedName>
    <definedName name="GGB" localSheetId="2">#REF!</definedName>
    <definedName name="GGB" localSheetId="7">#REF!</definedName>
    <definedName name="GGB">#REF!</definedName>
    <definedName name="ghgdgffdhb" localSheetId="2">#REF!</definedName>
    <definedName name="ghgdgffdhb" localSheetId="7">#REF!</definedName>
    <definedName name="ghgdgffdhb">#REF!</definedName>
    <definedName name="googlesf" localSheetId="2">#REF!</definedName>
    <definedName name="googlesf" localSheetId="0">#REF!</definedName>
    <definedName name="googlesf" localSheetId="7">#REF!</definedName>
    <definedName name="googlesf">#REF!</definedName>
    <definedName name="Googlesfr" localSheetId="2">#REF!</definedName>
    <definedName name="Googlesfr" localSheetId="0">#REF!</definedName>
    <definedName name="Googlesfr" localSheetId="7">#REF!</definedName>
    <definedName name="Googlesfr">#REF!</definedName>
    <definedName name="GPAGE" localSheetId="7">#REF!</definedName>
    <definedName name="GPAGE">#REF!</definedName>
    <definedName name="GTA" localSheetId="2">#REF!</definedName>
    <definedName name="GTA" localSheetId="7">#REF!</definedName>
    <definedName name="GTA">#REF!</definedName>
    <definedName name="GTB" localSheetId="2">#REF!</definedName>
    <definedName name="GTB" localSheetId="7">#REF!</definedName>
    <definedName name="GTB">#REF!</definedName>
    <definedName name="h" localSheetId="2">#REF!</definedName>
    <definedName name="h" localSheetId="7">#REF!</definedName>
    <definedName name="h">#REF!</definedName>
    <definedName name="HEADER" localSheetId="7">#REF!</definedName>
    <definedName name="HEADER">#REF!</definedName>
    <definedName name="heat">[14]Data!$J$6:$L$6</definedName>
    <definedName name="HEN" localSheetId="2">#REF!</definedName>
    <definedName name="HEN" localSheetId="7">#REF!</definedName>
    <definedName name="HEN">#REF!</definedName>
    <definedName name="hhhhhhhhhhh" localSheetId="2">#REF!</definedName>
    <definedName name="hhhhhhhhhhh" localSheetId="7">#REF!</definedName>
    <definedName name="hhhhhhhhhhh">#REF!</definedName>
    <definedName name="HHIMC" localSheetId="2">#REF!</definedName>
    <definedName name="HHIMC" localSheetId="7">#REF!</definedName>
    <definedName name="HHIMC">#REF!</definedName>
    <definedName name="HHINov12" localSheetId="2">#REF!</definedName>
    <definedName name="HHINov12" localSheetId="7">#REF!</definedName>
    <definedName name="HHINov12">#REF!</definedName>
    <definedName name="hjjh" localSheetId="2">#REF!</definedName>
    <definedName name="hjjh" localSheetId="7">#REF!</definedName>
    <definedName name="hjjh">#REF!</definedName>
    <definedName name="HPAGE" localSheetId="7">#REF!</definedName>
    <definedName name="HPAGE">#REF!</definedName>
    <definedName name="HST" localSheetId="2">#REF!</definedName>
    <definedName name="HST" localSheetId="7">#REF!</definedName>
    <definedName name="HST">#REF!</definedName>
    <definedName name="HYDP1" localSheetId="7">#REF!</definedName>
    <definedName name="HYDP1">#REF!</definedName>
    <definedName name="HYDP2" localSheetId="7">#REF!</definedName>
    <definedName name="HYDP2">#REF!</definedName>
    <definedName name="HYDP3" localSheetId="7">#REF!</definedName>
    <definedName name="HYDP3">#REF!</definedName>
    <definedName name="HYDP4" localSheetId="7">#REF!</definedName>
    <definedName name="HYDP4">#REF!</definedName>
    <definedName name="HYDPR" localSheetId="7">#REF!</definedName>
    <definedName name="HYDPR">#REF!</definedName>
    <definedName name="iiiiiiiiiii" localSheetId="2">#REF!</definedName>
    <definedName name="iiiiiiiiiii" localSheetId="7">#REF!</definedName>
    <definedName name="iiiiiiiiiii">#REF!</definedName>
    <definedName name="IMP0" localSheetId="7">#REF!</definedName>
    <definedName name="IMP0">#REF!</definedName>
    <definedName name="IMPC1D" localSheetId="7">#REF!</definedName>
    <definedName name="IMPC1D">#REF!</definedName>
    <definedName name="IMPC1U" localSheetId="7">#REF!</definedName>
    <definedName name="IMPC1U">#REF!</definedName>
    <definedName name="IMPC2D" localSheetId="7">#REF!</definedName>
    <definedName name="IMPC2D">#REF!</definedName>
    <definedName name="IMPC2U" localSheetId="7">#REF!</definedName>
    <definedName name="IMPC2U">#REF!</definedName>
    <definedName name="IMPC3D" localSheetId="7">#REF!</definedName>
    <definedName name="IMPC3D">#REF!</definedName>
    <definedName name="IMPC3U" localSheetId="7">#REF!</definedName>
    <definedName name="IMPC3U">#REF!</definedName>
    <definedName name="IMPC4D" localSheetId="7">#REF!</definedName>
    <definedName name="IMPC4D">#REF!</definedName>
    <definedName name="IMPC4U" localSheetId="7">#REF!</definedName>
    <definedName name="IMPC4U">#REF!</definedName>
    <definedName name="IMPEND" localSheetId="7">#REF!</definedName>
    <definedName name="IMPEND">#REF!</definedName>
    <definedName name="IMPMENU" localSheetId="7">#REF!</definedName>
    <definedName name="IMPMENU">#REF!</definedName>
    <definedName name="INA" localSheetId="2">#REF!</definedName>
    <definedName name="INA" localSheetId="7">#REF!</definedName>
    <definedName name="INA">#REF!</definedName>
    <definedName name="INB" localSheetId="2">#REF!</definedName>
    <definedName name="INB" localSheetId="7">#REF!</definedName>
    <definedName name="INB">#REF!</definedName>
    <definedName name="INC" localSheetId="2">#REF!</definedName>
    <definedName name="INC" localSheetId="7">#REF!</definedName>
    <definedName name="INC">#REF!</definedName>
    <definedName name="INCCH" localSheetId="2">#REF!</definedName>
    <definedName name="INCCH" localSheetId="7">#REF!</definedName>
    <definedName name="INCCH">#REF!</definedName>
    <definedName name="INCH" localSheetId="2">#REF!</definedName>
    <definedName name="INCH" localSheetId="7">#REF!</definedName>
    <definedName name="INCH">#REF!</definedName>
    <definedName name="IND" localSheetId="2">#REF!</definedName>
    <definedName name="IND" localSheetId="7">#REF!</definedName>
    <definedName name="IND">#REF!</definedName>
    <definedName name="INDP" localSheetId="7">#REF!</definedName>
    <definedName name="INDP">#REF!</definedName>
    <definedName name="IniMacroNotes" localSheetId="2">#REF!</definedName>
    <definedName name="IniMacroNotes" localSheetId="7">#REF!</definedName>
    <definedName name="IniMacroNotes">#REF!</definedName>
    <definedName name="IPAGE" localSheetId="7">#REF!</definedName>
    <definedName name="IPAGE">#REF!</definedName>
    <definedName name="IS" localSheetId="2">#REF!</definedName>
    <definedName name="IS" localSheetId="7">#REF!</definedName>
    <definedName name="IS">#REF!</definedName>
    <definedName name="jjjjjjjjjjjj" localSheetId="2">#REF!</definedName>
    <definedName name="jjjjjjjjjjjj" localSheetId="7">#REF!</definedName>
    <definedName name="jjjjjjjjjjjj">#REF!</definedName>
    <definedName name="jkljkl" localSheetId="2">#REF!</definedName>
    <definedName name="jkljkl" localSheetId="7">#REF!</definedName>
    <definedName name="jkljkl">#REF!</definedName>
    <definedName name="jn" localSheetId="7">#REF!</definedName>
    <definedName name="jn">#REF!</definedName>
    <definedName name="JOB" localSheetId="7">#REF!</definedName>
    <definedName name="JOB">#REF!</definedName>
    <definedName name="JOINT" localSheetId="2">#REF!</definedName>
    <definedName name="JOINT" localSheetId="7">#REF!</definedName>
    <definedName name="JOINT">#REF!</definedName>
    <definedName name="ju" localSheetId="2">#REF!</definedName>
    <definedName name="ju" localSheetId="7">#REF!</definedName>
    <definedName name="ju">#REF!</definedName>
    <definedName name="kco" localSheetId="7">'[5]OIL SYST DATA SHTS'!#REF!</definedName>
    <definedName name="kco">'[5]OIL SYST DATA SHTS'!#REF!</definedName>
    <definedName name="KDPC_tp" localSheetId="7">#REF!</definedName>
    <definedName name="KDPC_tp">#REF!</definedName>
    <definedName name="ki" localSheetId="2">#REF!</definedName>
    <definedName name="ki" localSheetId="7">#REF!</definedName>
    <definedName name="ki">#REF!</definedName>
    <definedName name="kkkkk" localSheetId="2">#REF!</definedName>
    <definedName name="kkkkk" localSheetId="7">#REF!</definedName>
    <definedName name="kkkkk">#REF!</definedName>
    <definedName name="kkkkkkkkkk" localSheetId="2">#REF!</definedName>
    <definedName name="kkkkkkkkkk" localSheetId="7">#REF!</definedName>
    <definedName name="kkkkkkkkkk">#REF!</definedName>
    <definedName name="kkkkkkkkkkkkk" localSheetId="2">#REF!</definedName>
    <definedName name="kkkkkkkkkkkkk" localSheetId="7">#REF!</definedName>
    <definedName name="kkkkkkkkkkkkk">#REF!</definedName>
    <definedName name="kkkkkkkkkkkkkkk" localSheetId="2">#REF!</definedName>
    <definedName name="kkkkkkkkkkkkkkk" localSheetId="7">#REF!</definedName>
    <definedName name="kkkkkkkkkkkkkkk">#REF!</definedName>
    <definedName name="kkkkkkkkkkkkkkkkk" localSheetId="2">#REF!</definedName>
    <definedName name="kkkkkkkkkkkkkkkkk" localSheetId="7">#REF!</definedName>
    <definedName name="kkkkkkkkkkkkkkkkk">#REF!</definedName>
    <definedName name="kmb" localSheetId="7">#REF!</definedName>
    <definedName name="kmb">#REF!</definedName>
    <definedName name="kt_action_to_client_VA" localSheetId="7">#REF!</definedName>
    <definedName name="kt_action_to_client_VA">#REF!</definedName>
    <definedName name="kt_doc_aggregation_VA">[11]ValueAssistance!$F$2:$F$368</definedName>
    <definedName name="kt_unit_VA" localSheetId="7">#REF!</definedName>
    <definedName name="kt_unit_VA">#REF!</definedName>
    <definedName name="kt_vendor_related_vr_VA" localSheetId="7">#REF!</definedName>
    <definedName name="kt_vendor_related_vr_VA">#REF!</definedName>
    <definedName name="Language" localSheetId="7">#REF!</definedName>
    <definedName name="Language">#REF!</definedName>
    <definedName name="LEVEL_INSTRUMENTS___DISPLACEMENT_TYPE" localSheetId="7">#REF!</definedName>
    <definedName name="LEVEL_INSTRUMENTS___DISPLACEMENT_TYPE">#REF!</definedName>
    <definedName name="LevelBy" localSheetId="2">#REF!</definedName>
    <definedName name="LevelBy" localSheetId="7">#REF!</definedName>
    <definedName name="LevelBy">#REF!</definedName>
    <definedName name="light">[14]Data!$J$10:$L$10</definedName>
    <definedName name="LiqProps">[18]Settings!$C$24:$C$68</definedName>
    <definedName name="LIQR" localSheetId="7">#REF!</definedName>
    <definedName name="LIQR">#REF!</definedName>
    <definedName name="ll" localSheetId="2">#REF!</definedName>
    <definedName name="ll" localSheetId="7">#REF!</definedName>
    <definedName name="ll">#REF!</definedName>
    <definedName name="lllllllllll" localSheetId="2">#REF!</definedName>
    <definedName name="lllllllllll" localSheetId="7">#REF!</definedName>
    <definedName name="lllllllllll">#REF!</definedName>
    <definedName name="LOC" localSheetId="2">#REF!</definedName>
    <definedName name="LOC" localSheetId="7">#REF!</definedName>
    <definedName name="LOC">#REF!</definedName>
    <definedName name="Location" localSheetId="7">#REF!</definedName>
    <definedName name="Location">#REF!</definedName>
    <definedName name="LS" localSheetId="2">#REF!</definedName>
    <definedName name="LS" localSheetId="7">#REF!</definedName>
    <definedName name="LS">#REF!</definedName>
    <definedName name="m" localSheetId="7">#REF!</definedName>
    <definedName name="m">#REF!</definedName>
    <definedName name="MACRO" localSheetId="7">#REF!</definedName>
    <definedName name="MACRO">#REF!</definedName>
    <definedName name="MACROS" localSheetId="7">#REF!</definedName>
    <definedName name="MACROS">#REF!</definedName>
    <definedName name="MARGDP1" localSheetId="7">#REF!</definedName>
    <definedName name="MARGDP1">#REF!</definedName>
    <definedName name="MARGDP2" localSheetId="7">#REF!</definedName>
    <definedName name="MARGDP2">#REF!</definedName>
    <definedName name="MARGDP3" localSheetId="7">#REF!</definedName>
    <definedName name="MARGDP3">#REF!</definedName>
    <definedName name="MARGDP4" localSheetId="7">#REF!</definedName>
    <definedName name="MARGDP4">#REF!</definedName>
    <definedName name="MARGDPR" localSheetId="7">#REF!</definedName>
    <definedName name="MARGDPR">#REF!</definedName>
    <definedName name="MARGIN1" localSheetId="7">#REF!</definedName>
    <definedName name="MARGIN1">#REF!</definedName>
    <definedName name="MARGIN2" localSheetId="7">#REF!</definedName>
    <definedName name="MARGIN2">#REF!</definedName>
    <definedName name="MARGIN3" localSheetId="7">#REF!</definedName>
    <definedName name="MARGIN3">#REF!</definedName>
    <definedName name="MARGIN4" localSheetId="7">#REF!</definedName>
    <definedName name="MARGIN4">#REF!</definedName>
    <definedName name="MARGINR" localSheetId="7">#REF!</definedName>
    <definedName name="MARGINR">#REF!</definedName>
    <definedName name="MAXDNP" localSheetId="7">#REF!</definedName>
    <definedName name="MAXDNP">#REF!</definedName>
    <definedName name="MAXDNT" localSheetId="7">#REF!</definedName>
    <definedName name="MAXDNT">#REF!</definedName>
    <definedName name="MAXSP1" localSheetId="7">#REF!</definedName>
    <definedName name="MAXSP1">#REF!</definedName>
    <definedName name="MAXSP2" localSheetId="7">#REF!</definedName>
    <definedName name="MAXSP2">#REF!</definedName>
    <definedName name="MAXSP3" localSheetId="7">#REF!</definedName>
    <definedName name="MAXSP3">#REF!</definedName>
    <definedName name="MAXSP4" localSheetId="7">#REF!</definedName>
    <definedName name="MAXSP4">#REF!</definedName>
    <definedName name="MAXSPR" localSheetId="7">#REF!</definedName>
    <definedName name="MAXSPR">#REF!</definedName>
    <definedName name="MAXUPP" localSheetId="7">#REF!</definedName>
    <definedName name="MAXUPP">#REF!</definedName>
    <definedName name="MAXUPT" localSheetId="7">#REF!</definedName>
    <definedName name="MAXUPT">#REF!</definedName>
    <definedName name="MENU1" localSheetId="7">#REF!</definedName>
    <definedName name="MENU1">#REF!</definedName>
    <definedName name="METDP1" localSheetId="7">#REF!</definedName>
    <definedName name="METDP1">#REF!</definedName>
    <definedName name="METDP2" localSheetId="7">#REF!</definedName>
    <definedName name="METDP2">#REF!</definedName>
    <definedName name="METDP3" localSheetId="7">#REF!</definedName>
    <definedName name="METDP3">#REF!</definedName>
    <definedName name="METDP4" localSheetId="7">#REF!</definedName>
    <definedName name="METDP4">#REF!</definedName>
    <definedName name="METDPR" localSheetId="7">#REF!</definedName>
    <definedName name="METDPR">#REF!</definedName>
    <definedName name="MINDNT" localSheetId="7">#REF!</definedName>
    <definedName name="MINDNT">#REF!</definedName>
    <definedName name="MINUPT" localSheetId="7">#REF!</definedName>
    <definedName name="MINUPT">#REF!</definedName>
    <definedName name="MISDP1" localSheetId="7">#REF!</definedName>
    <definedName name="MISDP1">#REF!</definedName>
    <definedName name="MISDP2" localSheetId="7">#REF!</definedName>
    <definedName name="MISDP2">#REF!</definedName>
    <definedName name="MISDP3" localSheetId="7">#REF!</definedName>
    <definedName name="MISDP3">#REF!</definedName>
    <definedName name="MISDP4" localSheetId="7">#REF!</definedName>
    <definedName name="MISDP4">#REF!</definedName>
    <definedName name="MISDPR" localSheetId="7">#REF!</definedName>
    <definedName name="MISDPR">#REF!</definedName>
    <definedName name="Mon">[19]VARIABLES!$C$10</definedName>
    <definedName name="motor2">[14]Data!$A$5:$C$34</definedName>
    <definedName name="motor4">[14]Data!$E$5:$G$34</definedName>
    <definedName name="MS" localSheetId="2">#REF!</definedName>
    <definedName name="MS" localSheetId="7">#REF!</definedName>
    <definedName name="MS">#REF!</definedName>
    <definedName name="MTO" localSheetId="2">#REF!</definedName>
    <definedName name="MTO" localSheetId="7">#REF!</definedName>
    <definedName name="MTO">#REF!</definedName>
    <definedName name="NAMCON세부" localSheetId="7">{"Book1","세부실천계획2010.xls"}</definedName>
    <definedName name="NAMCON세부">{"Book1","세부실천계획2010.xls"}</definedName>
    <definedName name="NAME" localSheetId="0">'[20]ITEM LIST Cover'!#REF!</definedName>
    <definedName name="NAME" localSheetId="7">'[20]ITEM LIST Cover'!#REF!</definedName>
    <definedName name="NAME">'[20]ITEM LIST Cover'!#REF!</definedName>
    <definedName name="NETP1" localSheetId="7">#REF!</definedName>
    <definedName name="NETP1">#REF!</definedName>
    <definedName name="NETP2" localSheetId="7">#REF!</definedName>
    <definedName name="NETP2">#REF!</definedName>
    <definedName name="NETP3" localSheetId="7">#REF!</definedName>
    <definedName name="NETP3">#REF!</definedName>
    <definedName name="NETP4" localSheetId="7">#REF!</definedName>
    <definedName name="NETP4">#REF!</definedName>
    <definedName name="NETPR" localSheetId="7">#REF!</definedName>
    <definedName name="NETPR">#REF!</definedName>
    <definedName name="nnnnnnnnnnn" localSheetId="2">#REF!</definedName>
    <definedName name="nnnnnnnnnnn" localSheetId="7">#REF!</definedName>
    <definedName name="nnnnnnnnnnn">#REF!</definedName>
    <definedName name="No" localSheetId="2">#REF!</definedName>
    <definedName name="No" localSheetId="0">#REF!</definedName>
    <definedName name="No" localSheetId="7">#REF!</definedName>
    <definedName name="No">#REF!</definedName>
    <definedName name="Noo" localSheetId="2">#REF!</definedName>
    <definedName name="Noo" localSheetId="0">#REF!</definedName>
    <definedName name="Noo" localSheetId="7">#REF!</definedName>
    <definedName name="Noo">#REF!</definedName>
    <definedName name="NOTE" localSheetId="7">#REF!</definedName>
    <definedName name="NOTE">#REF!</definedName>
    <definedName name="NOTE0" localSheetId="7">#REF!</definedName>
    <definedName name="NOTE0">#REF!</definedName>
    <definedName name="NOTE1" localSheetId="7">#REF!</definedName>
    <definedName name="NOTE1">#REF!</definedName>
    <definedName name="NOTE4" localSheetId="7">#REF!</definedName>
    <definedName name="NOTE4">#REF!</definedName>
    <definedName name="NOTES" localSheetId="7">#REF!</definedName>
    <definedName name="NOTES">#REF!</definedName>
    <definedName name="NOTESPC" localSheetId="7">#REF!</definedName>
    <definedName name="NOTESPC">#REF!</definedName>
    <definedName name="NPSHAV1" localSheetId="7">#REF!</definedName>
    <definedName name="NPSHAV1">#REF!</definedName>
    <definedName name="NPSHAV2" localSheetId="7">#REF!</definedName>
    <definedName name="NPSHAV2">#REF!</definedName>
    <definedName name="NPSHAV3" localSheetId="7">#REF!</definedName>
    <definedName name="NPSHAV3">#REF!</definedName>
    <definedName name="NPSHAV4" localSheetId="7">#REF!</definedName>
    <definedName name="NPSHAV4">#REF!</definedName>
    <definedName name="NPSHAVR" localSheetId="7">#REF!</definedName>
    <definedName name="NPSHAVR">#REF!</definedName>
    <definedName name="NS" localSheetId="2">#REF!</definedName>
    <definedName name="NS" localSheetId="7">#REF!</definedName>
    <definedName name="NS">#REF!</definedName>
    <definedName name="NTMENU" localSheetId="7">#REF!</definedName>
    <definedName name="NTMENU">#REF!</definedName>
    <definedName name="Obs" localSheetId="2">#REF!</definedName>
    <definedName name="Obs" localSheetId="7">#REF!</definedName>
    <definedName name="Obs">#REF!</definedName>
    <definedName name="OD" localSheetId="2">#REF!</definedName>
    <definedName name="OD" localSheetId="7">#REF!</definedName>
    <definedName name="OD">#REF!</definedName>
    <definedName name="ODPR" localSheetId="7">#REF!</definedName>
    <definedName name="ODPR">#REF!</definedName>
    <definedName name="OK_Kont_BeiKlick">[1]!OK_Kont_BeiKlick</definedName>
    <definedName name="OM" localSheetId="7">#REF!</definedName>
    <definedName name="OM">#REF!</definedName>
    <definedName name="ooooooooooo" localSheetId="2">#REF!</definedName>
    <definedName name="ooooooooooo" localSheetId="7">#REF!</definedName>
    <definedName name="ooooooooooo">#REF!</definedName>
    <definedName name="oooooooooooooooooooooo" localSheetId="2">#REF!</definedName>
    <definedName name="oooooooooooooooooooooo" localSheetId="7">#REF!</definedName>
    <definedName name="oooooooooooooooooooooo">#REF!</definedName>
    <definedName name="Operation" localSheetId="7">#REF!</definedName>
    <definedName name="Operation">#REF!</definedName>
    <definedName name="OS" localSheetId="2">#REF!</definedName>
    <definedName name="OS" localSheetId="7">#REF!</definedName>
    <definedName name="OS">#REF!</definedName>
    <definedName name="OUTDP" localSheetId="7">#REF!</definedName>
    <definedName name="OUTDP">#REF!</definedName>
    <definedName name="OverallProps">[21]Settings!$A$24:$A$80</definedName>
    <definedName name="p" localSheetId="7">#REF!</definedName>
    <definedName name="p">#REF!</definedName>
    <definedName name="page" localSheetId="7">#REF!</definedName>
    <definedName name="page">#REF!</definedName>
    <definedName name="PAGE1" localSheetId="7">#REF!</definedName>
    <definedName name="PAGE1">#REF!</definedName>
    <definedName name="PAGE2" localSheetId="7">#REF!</definedName>
    <definedName name="PAGE2">#REF!</definedName>
    <definedName name="PAGE3" localSheetId="7">#REF!</definedName>
    <definedName name="PAGE3">#REF!</definedName>
    <definedName name="PAGE4" localSheetId="7">#REF!</definedName>
    <definedName name="PAGE4">#REF!</definedName>
    <definedName name="PAGE5" localSheetId="7">#REF!</definedName>
    <definedName name="PAGE5">#REF!</definedName>
    <definedName name="PAGE6" localSheetId="7">#REF!</definedName>
    <definedName name="PAGE6">#REF!</definedName>
    <definedName name="PAGE7" localSheetId="7">#REF!</definedName>
    <definedName name="PAGE7">#REF!</definedName>
    <definedName name="PAGE8" localSheetId="7">#REF!</definedName>
    <definedName name="PAGE8">#REF!</definedName>
    <definedName name="PAGE9" localSheetId="7">#REF!</definedName>
    <definedName name="PAGE9">#REF!</definedName>
    <definedName name="Pagina">"'=[&amp;pagine]"</definedName>
    <definedName name="pagina_10" localSheetId="0">'[22]200'!#REF!</definedName>
    <definedName name="pagina_10" localSheetId="7">'[22]200'!#REF!</definedName>
    <definedName name="pagina_10">'[22]200'!#REF!</definedName>
    <definedName name="pagina_11" localSheetId="0">'[22]200'!#REF!</definedName>
    <definedName name="pagina_11" localSheetId="7">'[22]200'!#REF!</definedName>
    <definedName name="pagina_11">'[22]200'!#REF!</definedName>
    <definedName name="pagina_12" localSheetId="0">'[22]200'!#REF!</definedName>
    <definedName name="pagina_12" localSheetId="7">'[22]200'!#REF!</definedName>
    <definedName name="pagina_12">'[22]200'!#REF!</definedName>
    <definedName name="pagina_13" localSheetId="0">'[22]200'!#REF!</definedName>
    <definedName name="pagina_13" localSheetId="7">'[22]200'!#REF!</definedName>
    <definedName name="pagina_13">'[22]200'!#REF!</definedName>
    <definedName name="pagina_14" localSheetId="0">'[22]200'!#REF!</definedName>
    <definedName name="pagina_14" localSheetId="7">'[22]200'!#REF!</definedName>
    <definedName name="pagina_14">'[22]200'!#REF!</definedName>
    <definedName name="pagina_15" localSheetId="0">'[22]200'!#REF!</definedName>
    <definedName name="pagina_15" localSheetId="7">'[22]200'!#REF!</definedName>
    <definedName name="pagina_15">'[22]200'!#REF!</definedName>
    <definedName name="pagina_16" localSheetId="0">'[22]200'!#REF!</definedName>
    <definedName name="pagina_16" localSheetId="7">'[22]200'!#REF!</definedName>
    <definedName name="pagina_16">'[22]200'!#REF!</definedName>
    <definedName name="pagina_17" localSheetId="0">'[22]200'!#REF!</definedName>
    <definedName name="pagina_17" localSheetId="7">'[22]200'!#REF!</definedName>
    <definedName name="pagina_17">'[22]200'!#REF!</definedName>
    <definedName name="pagina_5" localSheetId="0">'[22]200'!#REF!</definedName>
    <definedName name="pagina_5" localSheetId="7">'[22]200'!#REF!</definedName>
    <definedName name="pagina_5">'[22]200'!#REF!</definedName>
    <definedName name="pagina_6" localSheetId="0">'[22]200'!#REF!</definedName>
    <definedName name="pagina_6" localSheetId="7">'[22]200'!#REF!</definedName>
    <definedName name="pagina_6">'[22]200'!#REF!</definedName>
    <definedName name="pagina_7" localSheetId="0">'[22]200'!#REF!</definedName>
    <definedName name="pagina_7" localSheetId="7">'[22]200'!#REF!</definedName>
    <definedName name="pagina_7">'[22]200'!#REF!</definedName>
    <definedName name="pagina_8" localSheetId="0">'[22]200'!#REF!</definedName>
    <definedName name="pagina_8" localSheetId="7">'[22]200'!#REF!</definedName>
    <definedName name="pagina_8">'[22]200'!#REF!</definedName>
    <definedName name="pagina_9" localSheetId="0">'[22]200'!#REF!</definedName>
    <definedName name="pagina_9" localSheetId="7">'[22]200'!#REF!</definedName>
    <definedName name="pagina_9">'[22]200'!#REF!</definedName>
    <definedName name="PCALCR" localSheetId="7">#REF!</definedName>
    <definedName name="PCALCR">#REF!</definedName>
    <definedName name="PEFF1" localSheetId="7">#REF!</definedName>
    <definedName name="PEFF1">#REF!</definedName>
    <definedName name="PEFF2" localSheetId="7">#REF!</definedName>
    <definedName name="PEFF2">#REF!</definedName>
    <definedName name="PEFF3" localSheetId="7">#REF!</definedName>
    <definedName name="PEFF3">#REF!</definedName>
    <definedName name="PEFF4" localSheetId="7">#REF!</definedName>
    <definedName name="PEFF4">#REF!</definedName>
    <definedName name="PEFFR" localSheetId="7">#REF!</definedName>
    <definedName name="PEFFR">#REF!</definedName>
    <definedName name="PERC1" localSheetId="7">#REF!</definedName>
    <definedName name="PERC1">#REF!</definedName>
    <definedName name="PERC2" localSheetId="7">#REF!</definedName>
    <definedName name="PERC2">#REF!</definedName>
    <definedName name="PERC3" localSheetId="7">#REF!</definedName>
    <definedName name="PERC3">#REF!</definedName>
    <definedName name="PERC4" localSheetId="7">#REF!</definedName>
    <definedName name="PERC4">#REF!</definedName>
    <definedName name="PERCENT" localSheetId="7">#REF!</definedName>
    <definedName name="PERCENT">#REF!</definedName>
    <definedName name="PercentComplete" localSheetId="0">'Steel erev.'!PercentCompleteBeyond*'Steel erev.'!PeriodInPlan</definedName>
    <definedName name="PercentComplete" localSheetId="7">PercentCompleteBeyond*PeriodInPlan</definedName>
    <definedName name="PercentComplete">PercentCompleteBeyond*PeriodInPlan</definedName>
    <definedName name="PercentCompleteBeyond" localSheetId="0">('Steel erev.'!A$7=MEDIAN('Steel erev.'!A$7,'Steel erev.'!#REF!,'Steel erev.'!#REF!+'Steel erev.'!#REF!)*('Steel erev.'!#REF!&gt;0))*(('Steel erev.'!A$7&lt;(INT('Steel erev.'!#REF!+'Steel erev.'!#REF!*'Steel erev.'!$G1)))+('Steel erev.'!A$7='Steel erev.'!#REF!))*('Steel erev.'!$G1&gt;0)</definedName>
    <definedName name="PercentCompleteBeyond">([23]LOOPS!A$8=MEDIAN([23]LOOPS!A$8,[23]LOOPS!$I1,[23]LOOPS!$I1+[23]LOOPS!$J1)*([23]LOOPS!$I1&gt;0))*(([23]LOOPS!A$8&lt;(INT([23]LOOPS!$I1+[23]LOOPS!$J1*[23]LOOPS!$K1)))+([23]LOOPS!A$8=[23]LOOPS!$I1))*([23]LOOPS!$K1&gt;0)</definedName>
    <definedName name="period_selected" localSheetId="0">'Steel erev.'!$AH$2</definedName>
    <definedName name="period_selected">[23]LOOPS!$R$3</definedName>
    <definedName name="PeriodInActual" localSheetId="0">'Steel erev.'!A$7=MEDIAN('Steel erev.'!A$7,'Steel erev.'!#REF!,'Steel erev.'!#REF!+'Steel erev.'!#REF!-1)</definedName>
    <definedName name="PeriodInActual">[23]LOOPS!A$8=MEDIAN([23]LOOPS!A$8,[23]LOOPS!$I1,[23]LOOPS!$I1+[23]LOOPS!$J1-1)</definedName>
    <definedName name="PeriodInPlan" localSheetId="0">'Steel erev.'!A$7=MEDIAN('Steel erev.'!A$7,'Steel erev.'!$C1,'Steel erev.'!$C1+'Steel erev.'!$D1-1)</definedName>
    <definedName name="PeriodInPlan">[23]LOOPS!A$8=MEDIAN([23]LOOPS!A$8,[23]LOOPS!$G1,[23]LOOPS!$G1+[23]LOOPS!$H1-1)</definedName>
    <definedName name="PERMES" localSheetId="7">#REF!</definedName>
    <definedName name="PERMES">#REF!</definedName>
    <definedName name="PILOTVLV" localSheetId="7">#REF!</definedName>
    <definedName name="PILOTVLV">#REF!</definedName>
    <definedName name="Plan" localSheetId="0">'Steel erev.'!PeriodInPlan*('Steel erev.'!$C1&gt;0)</definedName>
    <definedName name="Plan" localSheetId="7">PeriodInPlan*([4]LOOPS!$G1&gt;0)</definedName>
    <definedName name="Plan">PeriodInPlan*([4]LOOPS!$G1&gt;0)</definedName>
    <definedName name="PME" localSheetId="2">#REF!</definedName>
    <definedName name="PME" localSheetId="7">#REF!</definedName>
    <definedName name="PME">#REF!</definedName>
    <definedName name="PNEUTX" localSheetId="7">#REF!</definedName>
    <definedName name="PNEUTX">#REF!</definedName>
    <definedName name="ppppppppppppppp" localSheetId="2">#REF!</definedName>
    <definedName name="ppppppppppppppp" localSheetId="7">#REF!</definedName>
    <definedName name="ppppppppppppppp">#REF!</definedName>
    <definedName name="PRAIN" localSheetId="2">#REF!</definedName>
    <definedName name="PRAIN" localSheetId="7">#REF!</definedName>
    <definedName name="PRAIN">#REF!</definedName>
    <definedName name="PRAJ" localSheetId="2">#REF!</definedName>
    <definedName name="PRAJ" localSheetId="7">#REF!</definedName>
    <definedName name="PRAJ">#REF!</definedName>
    <definedName name="PRBIN" localSheetId="2">#REF!</definedName>
    <definedName name="PRBIN" localSheetId="7">#REF!</definedName>
    <definedName name="PRBIN">#REF!</definedName>
    <definedName name="PRBJ" localSheetId="2">#REF!</definedName>
    <definedName name="PRBJ" localSheetId="7">#REF!</definedName>
    <definedName name="PRBJ">#REF!</definedName>
    <definedName name="PRCALC1" localSheetId="7">#REF!</definedName>
    <definedName name="PRCALC1">#REF!</definedName>
    <definedName name="PRCALC2" localSheetId="7">#REF!</definedName>
    <definedName name="PRCALC2">#REF!</definedName>
    <definedName name="PRCALC3" localSheetId="7">#REF!</definedName>
    <definedName name="PRCALC3">#REF!</definedName>
    <definedName name="PRCALC4" localSheetId="7">#REF!</definedName>
    <definedName name="PRCALC4">#REF!</definedName>
    <definedName name="PRCIN" localSheetId="2">#REF!</definedName>
    <definedName name="PRCIN" localSheetId="7">#REF!</definedName>
    <definedName name="PRCIN">#REF!</definedName>
    <definedName name="PRCJ" localSheetId="2">#REF!</definedName>
    <definedName name="PRCJ" localSheetId="7">#REF!</definedName>
    <definedName name="PRCJ">#REF!</definedName>
    <definedName name="PRDIN" localSheetId="2">#REF!</definedName>
    <definedName name="PRDIN" localSheetId="7">#REF!</definedName>
    <definedName name="PRDIN">#REF!</definedName>
    <definedName name="PRDJ" localSheetId="2">#REF!</definedName>
    <definedName name="PRDJ" localSheetId="7">#REF!</definedName>
    <definedName name="PRDJ">#REF!</definedName>
    <definedName name="print" localSheetId="7">#REF!</definedName>
    <definedName name="print">#REF!</definedName>
    <definedName name="_xlnm.Print_Area" localSheetId="2">BoQ!$B$2:$R$61</definedName>
    <definedName name="_xlnm.Print_Area" localSheetId="0">'Steel erev.'!$A$1:$FU$89</definedName>
    <definedName name="_xlnm.Print_Area" localSheetId="7">#REF!</definedName>
    <definedName name="_xlnm.Print_Area">#REF!</definedName>
    <definedName name="PRINT_AREA_MI" localSheetId="0">#REF!</definedName>
    <definedName name="Print_Area_MI" localSheetId="7">'[22]200'!#REF!</definedName>
    <definedName name="Print_Area_MI">'[22]200'!#REF!</definedName>
    <definedName name="Print_Area_MK" localSheetId="7">#REF!</definedName>
    <definedName name="Print_Area_MK">#REF!</definedName>
    <definedName name="Print_Area_ML" localSheetId="7">#REF!</definedName>
    <definedName name="Print_Area_ML">#REF!</definedName>
    <definedName name="Print_Area_X">[24]Datasheet!$A$1:$S$58</definedName>
    <definedName name="_xlnm.Print_Titles" localSheetId="0">'Steel erev.'!$7:$7</definedName>
    <definedName name="PRINT1" localSheetId="7">#REF!</definedName>
    <definedName name="PRINT1">#REF!</definedName>
    <definedName name="PRINT2" localSheetId="7">#REF!</definedName>
    <definedName name="PRINT2">#REF!</definedName>
    <definedName name="PRINT3" localSheetId="7">#REF!</definedName>
    <definedName name="PRINT3">#REF!</definedName>
    <definedName name="PRINTD" localSheetId="7">#REF!</definedName>
    <definedName name="PRINTD">#REF!</definedName>
    <definedName name="PRNTEND" localSheetId="7">#REF!</definedName>
    <definedName name="PRNTEND">#REF!</definedName>
    <definedName name="PRNTMSG" localSheetId="7">#REF!</definedName>
    <definedName name="PRNTMSG">#REF!</definedName>
    <definedName name="PRNTSCRN" localSheetId="7">#REF!</definedName>
    <definedName name="PRNTSCRN">#REF!</definedName>
    <definedName name="ProCoSys">'[13]ProCosys RFC Dates'!$B:$I</definedName>
    <definedName name="ProjDataOk">[1]!ProjDataOk</definedName>
    <definedName name="PROJECT" localSheetId="0">#REF!</definedName>
    <definedName name="Project" localSheetId="7">#REF!</definedName>
    <definedName name="Project">#REF!</definedName>
    <definedName name="Project_No_eingeben">[1]!Project_No_eingeben</definedName>
    <definedName name="Project_title" localSheetId="0">#REF!</definedName>
    <definedName name="Project_title" localSheetId="7">#REF!</definedName>
    <definedName name="Project_title">#REF!</definedName>
    <definedName name="ProjectDescription" localSheetId="2">#REF!</definedName>
    <definedName name="ProjectDescription" localSheetId="7">#REF!</definedName>
    <definedName name="ProjectDescription">#REF!</definedName>
    <definedName name="PUMPDP1" localSheetId="7">#REF!</definedName>
    <definedName name="PUMPDP1">#REF!</definedName>
    <definedName name="PUMPDP2" localSheetId="7">#REF!</definedName>
    <definedName name="PUMPDP2">#REF!</definedName>
    <definedName name="PUMPDP3" localSheetId="7">#REF!</definedName>
    <definedName name="PUMPDP3">#REF!</definedName>
    <definedName name="PUMPDP4" localSheetId="7">#REF!</definedName>
    <definedName name="PUMPDP4">#REF!</definedName>
    <definedName name="PUMPDPR" localSheetId="7">#REF!</definedName>
    <definedName name="PUMPDPR">#REF!</definedName>
    <definedName name="PUMPHD1" localSheetId="7">#REF!</definedName>
    <definedName name="PUMPHD1">#REF!</definedName>
    <definedName name="PUMPHD2" localSheetId="7">#REF!</definedName>
    <definedName name="PUMPHD2">#REF!</definedName>
    <definedName name="PUMPHD3" localSheetId="7">#REF!</definedName>
    <definedName name="PUMPHD3">#REF!</definedName>
    <definedName name="PUMPHD4" localSheetId="7">#REF!</definedName>
    <definedName name="PUMPHD4">#REF!</definedName>
    <definedName name="PUMPHDR" localSheetId="7">#REF!</definedName>
    <definedName name="PUMPHDR">#REF!</definedName>
    <definedName name="q" localSheetId="2">#REF!</definedName>
    <definedName name="q" localSheetId="7">#REF!</definedName>
    <definedName name="q">#REF!</definedName>
    <definedName name="qqqq" localSheetId="2">#REF!</definedName>
    <definedName name="qqqq" localSheetId="7">#REF!</definedName>
    <definedName name="qqqq">#REF!</definedName>
    <definedName name="QUERY1.keep_password">TRUE</definedName>
    <definedName name="QUERY1.query_connection" localSheetId="7">{"DRIVER={SQL Server};SERVER=HANEUL;UID=gibon;PWD=gibon;WSID=GIBON;DATABASE=GIBON"}</definedName>
    <definedName name="QUERY1.query_connection">{"DRIVER={SQL Server};SERVER=HANEUL;UID=gibon;PWD=gibon;WSID=GIBON;DATABASE=GIBON"}</definedName>
    <definedName name="QUERY1.query_definition" localSheetId="7">{"select Dock , Ship , Master , ShipType ,_x000D_
datepart( Year , R_WC ) ,_x000D_
datepart( Month , R_WC ) ,_x000D_
datepart( Day , R_WC )  ,_x000D_
_x000D_
datepart( Year , R_KL ) ,_x000D_
datepart( Month , R_KL ) ,_x000D_
datepart( Day , R_K";"L ) ,_x000D_
_x000D_
datepart( Year , R_LC ) ,_x000D_
datepart( Month , R_LC ) ,_x000D_
datepart( Day , R_LC ) ,_x000D_
_x000D_
datepart( Year , R_DEL ) ,_x000D_
datepart( Month , R_DEL ) ,_x000D_
datepart( Day , R_DEL ) ,_x000D_
_x000D_
( select ISNULL( SUM(V";"alue) , 0 ) from I_RealManHourData where subString( Code , 3 , 1 ) != 'X' and Ship = JobData.Ship )  ,_x000D_
_x000D_
( select ISNULL( SUM(Value) , 0 ) from I_RealManHourData where subString( Code , 6 , 2 ) IN ( ";"'W3' , 'W4' , 'W6' ) and Ship = JobData.Ship )  ,_x000D_
_x000D_
( select ISNULL( SUM(Value) , 0 ) from I_RealManHourData where subString( Code , 6 , 2 ) = 'P1' and Ship = JobData.Ship )   ,_x000D_
_x000D_
( select ISNULL( S";"UM(Value) , 0 ) from I_RealManHourData where subString( Code , 2 , 1 ) = 'G' and Ship = JobData.Ship )  ,_x000D_
( select ISNULL( SUM(Value) , 0 ) from I_RealManHourData where subString( Code , 2 , 1 ) = 'C";"' and Ship = JobData.Ship )  _x000D_
from JobData_x000D_
order by Dock , R_LC ,_x000D_
substring( Ship , 1 , 1) ,_x000D_
Breadth Desc"}</definedName>
    <definedName name="QUERY1.query_definition">{"select Dock , Ship , Master , ShipType ,_x000D_
datepart( Year , R_WC ) ,_x000D_
datepart( Month , R_WC ) ,_x000D_
datepart( Day , R_WC )  ,_x000D_
_x000D_
datepart( Year , R_KL ) ,_x000D_
datepart( Month , R_KL ) ,_x000D_
datepart( Day , R_K";"L ) ,_x000D_
_x000D_
datepart( Year , R_LC ) ,_x000D_
datepart( Month , R_LC ) ,_x000D_
datepart( Day , R_LC ) ,_x000D_
_x000D_
datepart( Year , R_DEL ) ,_x000D_
datepart( Month , R_DEL ) ,_x000D_
datepart( Day , R_DEL ) ,_x000D_
_x000D_
( select ISNULL( SUM(V";"alue) , 0 ) from I_RealManHourData where subString( Code , 3 , 1 ) != 'X' and Ship = JobData.Ship )  ,_x000D_
_x000D_
( select ISNULL( SUM(Value) , 0 ) from I_RealManHourData where subString( Code , 6 , 2 ) IN ( ";"'W3' , 'W4' , 'W6' ) and Ship = JobData.Ship )  ,_x000D_
_x000D_
( select ISNULL( SUM(Value) , 0 ) from I_RealManHourData where subString( Code , 6 , 2 ) = 'P1' and Ship = JobData.Ship )   ,_x000D_
_x000D_
( select ISNULL( S";"UM(Value) , 0 ) from I_RealManHourData where subString( Code , 2 , 1 ) = 'G' and Ship = JobData.Ship )  ,_x000D_
( select ISNULL( SUM(Value) , 0 ) from I_RealManHourData where subString( Code , 2 , 1 ) = 'C";"' and Ship = JobData.Ship )  _x000D_
from JobData_x000D_
order by Dock , R_LC ,_x000D_
substring( Ship , 1 , 1) ,_x000D_
Breadth Desc"}</definedName>
    <definedName name="QUERY1.query_options" localSheetId="7">{TRUE;FALSE}</definedName>
    <definedName name="QUERY1.query_options">{TRUE;FALSE}</definedName>
    <definedName name="QUERY1.query_statement" localSheetId="7">{"select Dock , Ship , Master , ShipType ,_x000D_
datepart( Year , R_WC ) ,_x000D_
datepart( Month , R_WC ) ,_x000D_
datepart( Day , R_WC )  ,_x000D_
_x000D_
datepart( Year , R_KL ) ,_x000D_
datepart( Month , R_KL ) ,_x000D_
datepart( Day , R_K";"L ) ,_x000D_
_x000D_
datepart( Year , R_LC ) ,_x000D_
datepart( Month , R_LC ) ,_x000D_
datepart( Day , R_LC ) ,_x000D_
_x000D_
datepart( Year , R_DEL ) ,_x000D_
datepart( Month , R_DEL ) ,_x000D_
datepart( Day , R_DEL ) ,_x000D_
_x000D_
( select ISNULL( SUM(V";"alue) , 0 ) from I_RealManHourData where subString( Code , 3 , 1 ) != 'X' and Ship = JobData.Ship )  ,_x000D_
_x000D_
( select ISNULL( SUM(Value) , 0 ) from I_RealManHourData where subString( Code , 6 , 2 ) IN ( ";"'W3' , 'W4' , 'W6' ) and Ship = JobData.Ship )  ,_x000D_
_x000D_
( select ISNULL( SUM(Value) , 0 ) from I_RealManHourData where subString( Code , 6 , 2 ) = 'P1' and Ship = JobData.Ship )   ,_x000D_
_x000D_
( select ISNULL( S";"UM(Value) , 0 ) from I_RealManHourData where subString( Code , 2 , 1 ) = 'G' and Ship = JobData.Ship )  ,_x000D_
( select ISNULL( SUM(Value) , 0 ) from I_RealManHourData where subString( Code , 2 , 1 ) = 'C";"' and Ship = JobData.Ship )  _x000D_
from JobData_x000D_
order by Dock , R_LC ,_x000D_
substring( Ship , 1 , 1) ,_x000D_
Breadth Desc"}</definedName>
    <definedName name="QUERY1.query_statement">{"select Dock , Ship , Master , ShipType ,_x000D_
datepart( Year , R_WC ) ,_x000D_
datepart( Month , R_WC ) ,_x000D_
datepart( Day , R_WC )  ,_x000D_
_x000D_
datepart( Year , R_KL ) ,_x000D_
datepart( Month , R_KL ) ,_x000D_
datepart( Day , R_K";"L ) ,_x000D_
_x000D_
datepart( Year , R_LC ) ,_x000D_
datepart( Month , R_LC ) ,_x000D_
datepart( Day , R_LC ) ,_x000D_
_x000D_
datepart( Year , R_DEL ) ,_x000D_
datepart( Month , R_DEL ) ,_x000D_
datepart( Day , R_DEL ) ,_x000D_
_x000D_
( select ISNULL( SUM(V";"alue) , 0 ) from I_RealManHourData where subString( Code , 3 , 1 ) != 'X' and Ship = JobData.Ship )  ,_x000D_
_x000D_
( select ISNULL( SUM(Value) , 0 ) from I_RealManHourData where subString( Code , 6 , 2 ) IN ( ";"'W3' , 'W4' , 'W6' ) and Ship = JobData.Ship )  ,_x000D_
_x000D_
( select ISNULL( SUM(Value) , 0 ) from I_RealManHourData where subString( Code , 6 , 2 ) = 'P1' and Ship = JobData.Ship )   ,_x000D_
_x000D_
( select ISNULL( S";"UM(Value) , 0 ) from I_RealManHourData where subString( Code , 2 , 1 ) = 'G' and Ship = JobData.Ship )  ,_x000D_
( select ISNULL( SUM(Value) , 0 ) from I_RealManHourData where subString( Code , 2 , 1 ) = 'C";"' and Ship = JobData.Ship )  _x000D_
from JobData_x000D_
order by Dock , R_LC ,_x000D_
substring( Ship , 1 , 1) ,_x000D_
Breadth Desc"}</definedName>
    <definedName name="QUERY1.user_name">"gibon"</definedName>
    <definedName name="QUIT" localSheetId="7">#REF!</definedName>
    <definedName name="QUIT">#REF!</definedName>
    <definedName name="RATED" localSheetId="7">#REF!</definedName>
    <definedName name="RATED">#REF!</definedName>
    <definedName name="RATNO1" localSheetId="7">#REF!</definedName>
    <definedName name="RATNO1">#REF!</definedName>
    <definedName name="RATNO2" localSheetId="7">#REF!</definedName>
    <definedName name="RATNO2">#REF!</definedName>
    <definedName name="RBS8D" localSheetId="2">#REF!</definedName>
    <definedName name="RBS8D" localSheetId="7">#REF!</definedName>
    <definedName name="RBS8D">#REF!</definedName>
    <definedName name="_xlnm.Recorder" localSheetId="0">#REF!</definedName>
    <definedName name="_xlnm.Recorder" localSheetId="7">#REF!</definedName>
    <definedName name="_xlnm.Recorder">#REF!</definedName>
    <definedName name="Recycling" localSheetId="7">#REF!</definedName>
    <definedName name="Recycling">#REF!</definedName>
    <definedName name="ref_num1" localSheetId="7">#REF!</definedName>
    <definedName name="ref_num1">#REF!</definedName>
    <definedName name="ref_num2" localSheetId="7">#REF!</definedName>
    <definedName name="ref_num2">#REF!</definedName>
    <definedName name="ref_num3" localSheetId="7">#REF!</definedName>
    <definedName name="ref_num3">#REF!</definedName>
    <definedName name="RESET" localSheetId="7">#REF!</definedName>
    <definedName name="RESET">#REF!</definedName>
    <definedName name="REV" localSheetId="7">#REF!</definedName>
    <definedName name="REV">#REF!</definedName>
    <definedName name="Revision" localSheetId="0">#REF!</definedName>
    <definedName name="Revision" localSheetId="7">#REF!</definedName>
    <definedName name="Revision">#REF!</definedName>
    <definedName name="REVNAME1" localSheetId="7">#REF!</definedName>
    <definedName name="REVNAME1">#REF!</definedName>
    <definedName name="REVNAME2" localSheetId="7">#REF!</definedName>
    <definedName name="REVNAME2">#REF!</definedName>
    <definedName name="REVNAME3" localSheetId="7">#REF!</definedName>
    <definedName name="REVNAME3">#REF!</definedName>
    <definedName name="REVNAME4" localSheetId="7">#REF!</definedName>
    <definedName name="REVNAME4">#REF!</definedName>
    <definedName name="REVNO" localSheetId="7">#REF!</definedName>
    <definedName name="REVNO">#REF!</definedName>
    <definedName name="rff" localSheetId="2">#REF!</definedName>
    <definedName name="rff" localSheetId="7">#REF!</definedName>
    <definedName name="rff">#REF!</definedName>
    <definedName name="RFO" localSheetId="2">#REF!</definedName>
    <definedName name="RFO" localSheetId="7">#REF!</definedName>
    <definedName name="RFO">#REF!</definedName>
    <definedName name="RME" localSheetId="2">#REF!</definedName>
    <definedName name="RME" localSheetId="7">#REF!</definedName>
    <definedName name="RME">#REF!</definedName>
    <definedName name="RNT" localSheetId="7">#REF!</definedName>
    <definedName name="RNT">#REF!</definedName>
    <definedName name="RSOFF1" localSheetId="7">#REF!</definedName>
    <definedName name="RSOFF1">#REF!</definedName>
    <definedName name="RSOFF2" localSheetId="7">#REF!</definedName>
    <definedName name="RSOFF2">#REF!</definedName>
    <definedName name="RSOFF3" localSheetId="7">#REF!</definedName>
    <definedName name="RSOFF3">#REF!</definedName>
    <definedName name="RSOFF4" localSheetId="7">#REF!</definedName>
    <definedName name="RSOFF4">#REF!</definedName>
    <definedName name="RSOFFR" localSheetId="7">#REF!</definedName>
    <definedName name="RSOFFR">#REF!</definedName>
    <definedName name="RTBRNCH" localSheetId="7">#REF!</definedName>
    <definedName name="RTBRNCH">#REF!</definedName>
    <definedName name="RWE" localSheetId="2">#REF!</definedName>
    <definedName name="RWE" localSheetId="7">#REF!</definedName>
    <definedName name="RWE">#REF!</definedName>
    <definedName name="Sat">[19]VARIABLES!$C$8</definedName>
    <definedName name="SAVE" localSheetId="7">#REF!</definedName>
    <definedName name="SAVE">#REF!</definedName>
    <definedName name="SC" localSheetId="2">#REF!</definedName>
    <definedName name="SC" localSheetId="7">#REF!</definedName>
    <definedName name="SC">#REF!</definedName>
    <definedName name="SCSD" localSheetId="2">#REF!</definedName>
    <definedName name="SCSD" localSheetId="7">#REF!</definedName>
    <definedName name="SCSD">#REF!</definedName>
    <definedName name="SD" localSheetId="2">#REF!</definedName>
    <definedName name="SD" localSheetId="7">#REF!</definedName>
    <definedName name="SD">#REF!</definedName>
    <definedName name="sd_table_ax102" localSheetId="7">#REF!</definedName>
    <definedName name="sd_table_ax102">#REF!</definedName>
    <definedName name="sddd" localSheetId="7">#REF!</definedName>
    <definedName name="sddd">#REF!</definedName>
    <definedName name="sdfrt" localSheetId="2">#REF!</definedName>
    <definedName name="sdfrt" localSheetId="0">#REF!</definedName>
    <definedName name="sdfrt" localSheetId="7">#REF!</definedName>
    <definedName name="sdfrt">#REF!</definedName>
    <definedName name="SDS" localSheetId="0">#REF!</definedName>
    <definedName name="SDS" localSheetId="7">#REF!</definedName>
    <definedName name="SDS">#REF!</definedName>
    <definedName name="sdsd" localSheetId="7">{"본부영업.xls"}</definedName>
    <definedName name="sdsd">{"본부영업.xls"}</definedName>
    <definedName name="SEe" localSheetId="2">#REF!</definedName>
    <definedName name="SEe" localSheetId="0">#REF!</definedName>
    <definedName name="SEe" localSheetId="7">#REF!</definedName>
    <definedName name="SEe">#REF!</definedName>
    <definedName name="Serial" localSheetId="0">#REF!</definedName>
    <definedName name="Serial" localSheetId="7">#REF!</definedName>
    <definedName name="Serial">#REF!</definedName>
    <definedName name="Service" localSheetId="7">#REF!</definedName>
    <definedName name="Service">#REF!</definedName>
    <definedName name="SET" localSheetId="7">#REF!</definedName>
    <definedName name="SET">#REF!</definedName>
    <definedName name="SET0" localSheetId="7">#REF!</definedName>
    <definedName name="SET0">#REF!</definedName>
    <definedName name="SFDP1" localSheetId="7">#REF!</definedName>
    <definedName name="SFDP1">#REF!</definedName>
    <definedName name="SFDP2" localSheetId="7">#REF!</definedName>
    <definedName name="SFDP2">#REF!</definedName>
    <definedName name="SFDP3" localSheetId="7">#REF!</definedName>
    <definedName name="SFDP3">#REF!</definedName>
    <definedName name="SFDP4" localSheetId="7">#REF!</definedName>
    <definedName name="SFDP4">#REF!</definedName>
    <definedName name="SFDPR" localSheetId="7">#REF!</definedName>
    <definedName name="SFDPR">#REF!</definedName>
    <definedName name="Sheet_02" localSheetId="0">'[20]ITEM LIST Cover'!#REF!</definedName>
    <definedName name="Sheet_02" localSheetId="7">'[20]ITEM LIST Cover'!#REF!</definedName>
    <definedName name="Sheet_02">'[20]ITEM LIST Cover'!#REF!</definedName>
    <definedName name="Sheet_03" localSheetId="0">'[20]ITEM LIST Cover'!#REF!</definedName>
    <definedName name="Sheet_03" localSheetId="7">'[20]ITEM LIST Cover'!#REF!</definedName>
    <definedName name="Sheet_03">'[20]ITEM LIST Cover'!#REF!</definedName>
    <definedName name="Sheet_04" localSheetId="0">'[20]ITEM LIST Cover'!#REF!</definedName>
    <definedName name="Sheet_04" localSheetId="7">'[20]ITEM LIST Cover'!#REF!</definedName>
    <definedName name="Sheet_04">'[20]ITEM LIST Cover'!#REF!</definedName>
    <definedName name="Sheet_05" localSheetId="0">'[20]ITEM LIST Cover'!#REF!</definedName>
    <definedName name="Sheet_05" localSheetId="7">'[20]ITEM LIST Cover'!#REF!</definedName>
    <definedName name="Sheet_05">'[20]ITEM LIST Cover'!#REF!</definedName>
    <definedName name="SHOOTED" localSheetId="2">#REF!</definedName>
    <definedName name="SHOOTED" localSheetId="7">#REF!</definedName>
    <definedName name="SHOOTED">#REF!</definedName>
    <definedName name="SHOPIN" localSheetId="2">#REF!</definedName>
    <definedName name="SHOPIN" localSheetId="7">#REF!</definedName>
    <definedName name="SHOPIN">#REF!</definedName>
    <definedName name="SHOPJ" localSheetId="2">#REF!</definedName>
    <definedName name="SHOPJ" localSheetId="7">#REF!</definedName>
    <definedName name="SHOPJ">#REF!</definedName>
    <definedName name="SHT" localSheetId="2">#REF!</definedName>
    <definedName name="SHT" localSheetId="7">#REF!</definedName>
    <definedName name="SHT">#REF!</definedName>
    <definedName name="SHUTR" localSheetId="7">#REF!</definedName>
    <definedName name="SHUTR">#REF!</definedName>
    <definedName name="SKETCH" localSheetId="7">#REF!</definedName>
    <definedName name="SKETCH">#REF!</definedName>
    <definedName name="SKK" localSheetId="2">#REF!</definedName>
    <definedName name="SKK" localSheetId="7">#REF!</definedName>
    <definedName name="SKK">#REF!</definedName>
    <definedName name="SKTCH1" localSheetId="7">#REF!</definedName>
    <definedName name="SKTCH1">#REF!</definedName>
    <definedName name="SKTCH2" localSheetId="7">#REF!</definedName>
    <definedName name="SKTCH2">#REF!</definedName>
    <definedName name="SMC" localSheetId="2">#REF!</definedName>
    <definedName name="SMC" localSheetId="7">#REF!</definedName>
    <definedName name="SMC">#REF!</definedName>
    <definedName name="SMD" localSheetId="2">#REF!</definedName>
    <definedName name="SMD" localSheetId="7">#REF!</definedName>
    <definedName name="SMD">#REF!</definedName>
    <definedName name="sort" localSheetId="2">#REF!</definedName>
    <definedName name="SORT" localSheetId="0">#REF!</definedName>
    <definedName name="sort" localSheetId="7">#REF!</definedName>
    <definedName name="sort">#REF!</definedName>
    <definedName name="SPRJ" localSheetId="2">#REF!</definedName>
    <definedName name="SPRJ" localSheetId="7">#REF!</definedName>
    <definedName name="SPRJ">#REF!</definedName>
    <definedName name="SPRJ_MANHOURS" localSheetId="2">#REF!</definedName>
    <definedName name="SPRJ_MANHOURS" localSheetId="7">#REF!</definedName>
    <definedName name="SPRJ_MANHOURS">#REF!</definedName>
    <definedName name="SPRJM" localSheetId="2">#REF!</definedName>
    <definedName name="SPRJM" localSheetId="7">#REF!</definedName>
    <definedName name="SPRJM">#REF!</definedName>
    <definedName name="SRCEP1" localSheetId="7">#REF!</definedName>
    <definedName name="SRCEP1">#REF!</definedName>
    <definedName name="SRCEP2" localSheetId="7">#REF!</definedName>
    <definedName name="SRCEP2">#REF!</definedName>
    <definedName name="SRCEP3" localSheetId="7">#REF!</definedName>
    <definedName name="SRCEP3">#REF!</definedName>
    <definedName name="SRCEP4" localSheetId="7">#REF!</definedName>
    <definedName name="SRCEP4">#REF!</definedName>
    <definedName name="SRCEPR" localSheetId="7">#REF!</definedName>
    <definedName name="SRCEPR">#REF!</definedName>
    <definedName name="SS" localSheetId="2">#REF!</definedName>
    <definedName name="SS" localSheetId="7">#REF!</definedName>
    <definedName name="SS">#REF!</definedName>
    <definedName name="SSC" localSheetId="2">#REF!</definedName>
    <definedName name="SSC" localSheetId="7">#REF!</definedName>
    <definedName name="SSC">#REF!</definedName>
    <definedName name="SSD" localSheetId="2">#REF!</definedName>
    <definedName name="SSD" localSheetId="7">#REF!</definedName>
    <definedName name="SSD">#REF!</definedName>
    <definedName name="ssfsds" localSheetId="2">#REF!</definedName>
    <definedName name="ssfsds" localSheetId="0">#REF!</definedName>
    <definedName name="ssfsds" localSheetId="7">#REF!</definedName>
    <definedName name="ssfsds">#REF!</definedName>
    <definedName name="sss" localSheetId="2">#REF!</definedName>
    <definedName name="sss" localSheetId="7">#REF!</definedName>
    <definedName name="sss">#REF!</definedName>
    <definedName name="SSTHD" localSheetId="7">#REF!</definedName>
    <definedName name="SSTHD">#REF!</definedName>
    <definedName name="SSTHD1" localSheetId="7">#REF!</definedName>
    <definedName name="SSTHD1">#REF!</definedName>
    <definedName name="SSTHD2" localSheetId="7">#REF!</definedName>
    <definedName name="SSTHD2">#REF!</definedName>
    <definedName name="SSTHD3" localSheetId="7">#REF!</definedName>
    <definedName name="SSTHD3">#REF!</definedName>
    <definedName name="SSTHD4" localSheetId="7">#REF!</definedName>
    <definedName name="SSTHD4">#REF!</definedName>
    <definedName name="SSTHDR" localSheetId="7">#REF!</definedName>
    <definedName name="SSTHDR">#REF!</definedName>
    <definedName name="STAN" localSheetId="7">#REF!</definedName>
    <definedName name="STAN">#REF!</definedName>
    <definedName name="StatusReportOf" localSheetId="2">#REF!</definedName>
    <definedName name="StatusReportOf" localSheetId="7">#REF!</definedName>
    <definedName name="StatusReportOf">#REF!</definedName>
    <definedName name="StdReportOutputData" localSheetId="7">#REF!</definedName>
    <definedName name="StdReportOutputData">#REF!</definedName>
    <definedName name="StreamAttributes" localSheetId="7">#REF!</definedName>
    <definedName name="StreamAttributes">#REF!</definedName>
    <definedName name="StreamData" localSheetId="7">#REF!</definedName>
    <definedName name="StreamData">#REF!</definedName>
    <definedName name="STRM1D" localSheetId="7">#REF!</definedName>
    <definedName name="STRM1D">#REF!</definedName>
    <definedName name="STRM1U" localSheetId="7">#REF!</definedName>
    <definedName name="STRM1U">#REF!</definedName>
    <definedName name="STRM2D" localSheetId="7">#REF!</definedName>
    <definedName name="STRM2D">#REF!</definedName>
    <definedName name="STRM2U" localSheetId="7">#REF!</definedName>
    <definedName name="STRM2U">#REF!</definedName>
    <definedName name="STRM3D" localSheetId="7">#REF!</definedName>
    <definedName name="STRM3D">#REF!</definedName>
    <definedName name="STRM3U" localSheetId="7">#REF!</definedName>
    <definedName name="STRM3U">#REF!</definedName>
    <definedName name="STRM4D" localSheetId="7">#REF!</definedName>
    <definedName name="STRM4D">#REF!</definedName>
    <definedName name="STRM4U" localSheetId="7">#REF!</definedName>
    <definedName name="STRM4U">#REF!</definedName>
    <definedName name="STRMESS" localSheetId="7">#REF!</definedName>
    <definedName name="STRMESS">#REF!</definedName>
    <definedName name="STRMNAME" localSheetId="7">#REF!</definedName>
    <definedName name="STRMNAME">#REF!</definedName>
    <definedName name="SUBA" localSheetId="2">#REF!</definedName>
    <definedName name="SUBA" localSheetId="7">#REF!</definedName>
    <definedName name="SUBA">#REF!</definedName>
    <definedName name="SUCDPR" localSheetId="7">#REF!</definedName>
    <definedName name="SUCDPR">#REF!</definedName>
    <definedName name="SUCP1" localSheetId="7">#REF!</definedName>
    <definedName name="SUCP1">#REF!</definedName>
    <definedName name="SUCP2" localSheetId="7">#REF!</definedName>
    <definedName name="SUCP2">#REF!</definedName>
    <definedName name="SUCP3" localSheetId="7">#REF!</definedName>
    <definedName name="SUCP3">#REF!</definedName>
    <definedName name="SUCP4" localSheetId="7">#REF!</definedName>
    <definedName name="SUCP4">#REF!</definedName>
    <definedName name="sum" localSheetId="7">#REF!</definedName>
    <definedName name="sum">#REF!</definedName>
    <definedName name="Sun">[19]VARIABLES!$C$9</definedName>
    <definedName name="SYS" localSheetId="2">#REF!</definedName>
    <definedName name="SYS" localSheetId="7">#REF!</definedName>
    <definedName name="SYS">#REF!</definedName>
    <definedName name="SYSTEM" localSheetId="7">#REF!</definedName>
    <definedName name="SYSTEM">#REF!</definedName>
    <definedName name="sz" localSheetId="2">#REF!</definedName>
    <definedName name="sz" localSheetId="7">#REF!</definedName>
    <definedName name="sz">#REF!</definedName>
    <definedName name="t" localSheetId="7">#REF!</definedName>
    <definedName name="t">#REF!</definedName>
    <definedName name="ta" localSheetId="7">#REF!</definedName>
    <definedName name="ta">#REF!</definedName>
    <definedName name="TASK" localSheetId="2">'[25]Integration MC Dates'!#REF!</definedName>
    <definedName name="TASK" localSheetId="7">'[25]Integration MC Dates'!#REF!</definedName>
    <definedName name="TASK">'[25]Integration MC Dates'!#REF!</definedName>
    <definedName name="tb" localSheetId="7">#REF!</definedName>
    <definedName name="tb">#REF!</definedName>
    <definedName name="tbl" localSheetId="2">#REF!</definedName>
    <definedName name="tbl" localSheetId="7">#REF!</definedName>
    <definedName name="tbl">#REF!</definedName>
    <definedName name="tbl_Disciplines">'[26]Base Tables'!$A$14260:$A$14286</definedName>
    <definedName name="tbl_ExceptionReports">'[19]Base Tables'!$A$28</definedName>
    <definedName name="tbl_HardSoftVend">'[26]Base Tables'!$A$16217:$A$16220</definedName>
    <definedName name="tbl_InspItemClasses">'[19]Base Tables'!$A$32:$A$58</definedName>
    <definedName name="tbl_ITRTypes">'[19]Base Tables'!$A$62:$A$65</definedName>
    <definedName name="tbl_Modules">'[26]Base Tables'!$A$141437:$A$141491</definedName>
    <definedName name="tbl_PunchListActionParties">'[19]Base Tables'!$A$69:$A$80</definedName>
    <definedName name="tbl_PunchListTypes">'[19]Base Tables'!$A$84:$A$93</definedName>
    <definedName name="tbl_Scopes">'[26]Base Tables'!$A$141564:$A$141731</definedName>
    <definedName name="tbl_Yes_No">'[19]Base Tables'!$A$97:$A$99</definedName>
    <definedName name="tblOutputMecQty" localSheetId="7">#REF!</definedName>
    <definedName name="tblOutputMecQty">#REF!</definedName>
    <definedName name="tcm_doc_number_VA">[11]ValueAssistance!$D$2:$D$957</definedName>
    <definedName name="tcm_sheet_number_VA" localSheetId="7">#REF!</definedName>
    <definedName name="tcm_sheet_number_VA">#REF!</definedName>
    <definedName name="tcm_supply_pos_VA" localSheetId="7">#REF!</definedName>
    <definedName name="tcm_supply_pos_VA">#REF!</definedName>
    <definedName name="tcm_tpms_element_picklist_VA" localSheetId="7">#REF!</definedName>
    <definedName name="tcm_tpms_element_picklist_VA">#REF!</definedName>
    <definedName name="tcm_vendor_acc_status_VA" localSheetId="7">#REF!</definedName>
    <definedName name="tcm_vendor_acc_status_VA">#REF!</definedName>
    <definedName name="TECNIMONT" localSheetId="7">[27]PK401!#REF!</definedName>
    <definedName name="TECNIMONT">[27]PK401!#REF!</definedName>
    <definedName name="TECNIMONT_ICB" localSheetId="7">#REF!</definedName>
    <definedName name="TECNIMONT_ICB">#REF!</definedName>
    <definedName name="TEMP1" localSheetId="7">#REF!</definedName>
    <definedName name="TEMP1">#REF!</definedName>
    <definedName name="TEMP2" localSheetId="7">#REF!</definedName>
    <definedName name="TEMP2">#REF!</definedName>
    <definedName name="TEMP3" localSheetId="7">#REF!</definedName>
    <definedName name="TEMP3">#REF!</definedName>
    <definedName name="TEMP4" localSheetId="7">#REF!</definedName>
    <definedName name="TEMP4">#REF!</definedName>
    <definedName name="TEMPR" localSheetId="7">#REF!</definedName>
    <definedName name="TEMPR">#REF!</definedName>
    <definedName name="TEST" localSheetId="7">'[2]Material Submittal'!#REF!</definedName>
    <definedName name="TEST">'[2]Material Submittal'!#REF!</definedName>
    <definedName name="TEST1" localSheetId="7">'[2]Material Submittal'!#REF!</definedName>
    <definedName name="TEST1">'[2]Material Submittal'!#REF!</definedName>
    <definedName name="Thu">[19]VARIABLES!$C$13</definedName>
    <definedName name="TITLE" localSheetId="2">#REF!</definedName>
    <definedName name="TITLE" localSheetId="7">#REF!</definedName>
    <definedName name="TITLE">#REF!</definedName>
    <definedName name="TKW" localSheetId="7">#REF!</definedName>
    <definedName name="TKW">#REF!</definedName>
    <definedName name="TOD">[19]VARIABLES!$C$5</definedName>
    <definedName name="total" localSheetId="7">#REF!</definedName>
    <definedName name="total">#REF!</definedName>
    <definedName name="tr" localSheetId="2">#REF!</definedName>
    <definedName name="tr" localSheetId="7">#REF!</definedName>
    <definedName name="tr">#REF!</definedName>
    <definedName name="Train" localSheetId="7">#REF!</definedName>
    <definedName name="Train">#REF!</definedName>
    <definedName name="TS" localSheetId="2">#REF!</definedName>
    <definedName name="TS" localSheetId="7">#REF!</definedName>
    <definedName name="TS">#REF!</definedName>
    <definedName name="ttttttttttttt" localSheetId="2">#REF!</definedName>
    <definedName name="ttttttttttttt" localSheetId="7">#REF!</definedName>
    <definedName name="ttttttttttttt">#REF!</definedName>
    <definedName name="Tue">[19]VARIABLES!$C$11</definedName>
    <definedName name="TV1_Entity" localSheetId="2">#REF!</definedName>
    <definedName name="TV1_Entity" localSheetId="7">#REF!</definedName>
    <definedName name="TV1_Entity">#REF!</definedName>
    <definedName name="TV2_Entity" localSheetId="2">#REF!</definedName>
    <definedName name="TV2_Entity" localSheetId="7">#REF!</definedName>
    <definedName name="TV2_Entity">#REF!</definedName>
    <definedName name="TV3_D" localSheetId="2">#REF!</definedName>
    <definedName name="TV3_D" localSheetId="7">#REF!</definedName>
    <definedName name="TV3_D">#REF!</definedName>
    <definedName name="TV3_D_Joints" localSheetId="2">#REF!</definedName>
    <definedName name="TV3_D_Joints" localSheetId="7">#REF!</definedName>
    <definedName name="TV3_D_Joints">#REF!</definedName>
    <definedName name="TV3_D_Loops" localSheetId="2">#REF!</definedName>
    <definedName name="TV3_D_Loops" localSheetId="7">#REF!</definedName>
    <definedName name="TV3_D_Loops">#REF!</definedName>
    <definedName name="TV3_D_Tags" localSheetId="2">#REF!</definedName>
    <definedName name="TV3_D_Tags" localSheetId="7">#REF!</definedName>
    <definedName name="TV3_D_Tags">#REF!</definedName>
    <definedName name="TV3_D_TP" localSheetId="2">#REF!</definedName>
    <definedName name="TV3_D_TP" localSheetId="7">#REF!</definedName>
    <definedName name="TV3_D_TP">#REF!</definedName>
    <definedName name="TV3_Entity" localSheetId="2">#REF!</definedName>
    <definedName name="TV3_Entity" localSheetId="7">#REF!</definedName>
    <definedName name="TV3_Entity">#REF!</definedName>
    <definedName name="TV3_SSAcronym" localSheetId="2">#REF!</definedName>
    <definedName name="TV3_SSAcronym" localSheetId="7">#REF!</definedName>
    <definedName name="TV3_SSAcronym">#REF!</definedName>
    <definedName name="TYPE" localSheetId="2">#REF!</definedName>
    <definedName name="type" localSheetId="0">#REF!</definedName>
    <definedName name="TYPE" localSheetId="7">#REF!</definedName>
    <definedName name="TYPE">#REF!</definedName>
    <definedName name="UNIT">[10]listes!$D$2:$D$150</definedName>
    <definedName name="UNIT_1000" localSheetId="0">#REF!</definedName>
    <definedName name="UNIT_1000" localSheetId="7">#REF!</definedName>
    <definedName name="UNIT_1000">#REF!</definedName>
    <definedName name="UNIT_1200" localSheetId="0">#REF!</definedName>
    <definedName name="UNIT_1200" localSheetId="7">#REF!</definedName>
    <definedName name="UNIT_1200">#REF!</definedName>
    <definedName name="UNIT_1300" localSheetId="0">#REF!</definedName>
    <definedName name="UNIT_1300" localSheetId="7">#REF!</definedName>
    <definedName name="UNIT_1300">#REF!</definedName>
    <definedName name="UNIT_1600" localSheetId="0">#REF!</definedName>
    <definedName name="UNIT_1600" localSheetId="7">#REF!</definedName>
    <definedName name="UNIT_1600">#REF!</definedName>
    <definedName name="UNIT_200" localSheetId="0">#REF!</definedName>
    <definedName name="UNIT_200" localSheetId="7">#REF!</definedName>
    <definedName name="UNIT_200">#REF!</definedName>
    <definedName name="UNIT_250" localSheetId="0">#REF!</definedName>
    <definedName name="UNIT_250" localSheetId="7">#REF!</definedName>
    <definedName name="UNIT_250">#REF!</definedName>
    <definedName name="UNIT_300" localSheetId="0">#REF!</definedName>
    <definedName name="UNIT_300" localSheetId="7">#REF!</definedName>
    <definedName name="UNIT_300">#REF!</definedName>
    <definedName name="UNIT_400" localSheetId="0">#REF!</definedName>
    <definedName name="UNIT_400" localSheetId="7">#REF!</definedName>
    <definedName name="UNIT_400">#REF!</definedName>
    <definedName name="UNIT_500" localSheetId="0">#REF!</definedName>
    <definedName name="UNIT_500" localSheetId="7">#REF!</definedName>
    <definedName name="UNIT_500">#REF!</definedName>
    <definedName name="UNIT_600" localSheetId="0">#REF!</definedName>
    <definedName name="UNIT_600" localSheetId="7">#REF!</definedName>
    <definedName name="UNIT_600">#REF!</definedName>
    <definedName name="UNIT_800" localSheetId="0">#REF!</definedName>
    <definedName name="UNIT_800" localSheetId="7">#REF!</definedName>
    <definedName name="UNIT_800">#REF!</definedName>
    <definedName name="UNIT_900" localSheetId="0">#REF!</definedName>
    <definedName name="UNIT_900" localSheetId="7">#REF!</definedName>
    <definedName name="UNIT_900">#REF!</definedName>
    <definedName name="Unit_Dlg_Klick_Ok" localSheetId="7">'Steel Structure W.L.'!Unit_Dlg_Klick_Ok</definedName>
    <definedName name="Unit_Dlg_Klick_Ok">Unit_Dlg_Klick_Ok</definedName>
    <definedName name="Unit_number" localSheetId="7">#REF!</definedName>
    <definedName name="Unit_number">#REF!</definedName>
    <definedName name="UnitsOfMeasure" localSheetId="7">#REF!</definedName>
    <definedName name="UnitsOfMeasure">#REF!</definedName>
    <definedName name="UPPR" localSheetId="7">#REF!</definedName>
    <definedName name="UPPR">#REF!</definedName>
    <definedName name="USERDATA" localSheetId="2">#REF!</definedName>
    <definedName name="USERDATA" localSheetId="7">#REF!</definedName>
    <definedName name="USERDATA">#REF!</definedName>
    <definedName name="UserFilter" localSheetId="2">#REF!</definedName>
    <definedName name="UserFilter" localSheetId="7">#REF!</definedName>
    <definedName name="UserFilter">#REF!</definedName>
    <definedName name="uuuuuuuuuu" localSheetId="2">#REF!</definedName>
    <definedName name="uuuuuuuuuu" localSheetId="7">#REF!</definedName>
    <definedName name="uuuuuuuuuu">#REF!</definedName>
    <definedName name="uuuuuuuuuuuu" localSheetId="2">#REF!</definedName>
    <definedName name="uuuuuuuuuuuu" localSheetId="7">#REF!</definedName>
    <definedName name="uuuuuuuuuuuu">#REF!</definedName>
    <definedName name="uuuuuuuuuuuuuuu" localSheetId="2">#REF!</definedName>
    <definedName name="uuuuuuuuuuuuuuu" localSheetId="7">#REF!</definedName>
    <definedName name="uuuuuuuuuuuuuuu">#REF!</definedName>
    <definedName name="v" localSheetId="7">#REF!</definedName>
    <definedName name="v">#REF!</definedName>
    <definedName name="v_Areas">'[26]Base Tables'!$A$141741:$A$141841</definedName>
    <definedName name="v_EquipmentTypes_Tags">'[26]Base Tables'!$A$141845:$A$142552</definedName>
    <definedName name="v_EquipmentTypes_TestPacks">'[26]Base Tables'!$A$142556:$A$142570</definedName>
    <definedName name="v_Export_Tbl_Yards">'[19]Base Tables'!$A$103:$A$104</definedName>
    <definedName name="v_idLeakTestPack">'[26]Base Tables'!$A$143312:$A$143924</definedName>
    <definedName name="v_InspTagClasses">'[26]Base Tables'!$A$143962:$A$143988</definedName>
    <definedName name="valuevx">42.314159</definedName>
    <definedName name="VapourProps">[21]Settings!$B$24:$B$67</definedName>
    <definedName name="VAPOURS">#N/A</definedName>
    <definedName name="VFLOW1" localSheetId="7">#REF!</definedName>
    <definedName name="VFLOW1">#REF!</definedName>
    <definedName name="VFLOW2" localSheetId="7">#REF!</definedName>
    <definedName name="VFLOW2">#REF!</definedName>
    <definedName name="VFLOW3" localSheetId="7">#REF!</definedName>
    <definedName name="VFLOW3">#REF!</definedName>
    <definedName name="VFLOW4" localSheetId="7">#REF!</definedName>
    <definedName name="VFLOW4">#REF!</definedName>
    <definedName name="VFLOWR" localSheetId="7">#REF!</definedName>
    <definedName name="VFLOWR">#REF!</definedName>
    <definedName name="VISR" localSheetId="7">#REF!</definedName>
    <definedName name="VISR">#REF!</definedName>
    <definedName name="VPR" localSheetId="7">#REF!</definedName>
    <definedName name="VPR">#REF!</definedName>
    <definedName name="vvvvvvvvvvv" localSheetId="2">#REF!</definedName>
    <definedName name="vvvvvvvvvvv" localSheetId="7">#REF!</definedName>
    <definedName name="vvvvvvvvvvv">#REF!</definedName>
    <definedName name="WC">[10]listes!$A$2:$A$25</definedName>
    <definedName name="Wed">[19]VARIABLES!$C$12</definedName>
    <definedName name="WELDER" localSheetId="2">#REF!</definedName>
    <definedName name="WELDER" localSheetId="7">#REF!</definedName>
    <definedName name="WELDER">#REF!</definedName>
    <definedName name="WFLOW" localSheetId="7">#REF!</definedName>
    <definedName name="WFLOW">#REF!</definedName>
    <definedName name="WFLOW1" localSheetId="7">#REF!</definedName>
    <definedName name="WFLOW1">#REF!</definedName>
    <definedName name="WFLOW2" localSheetId="7">#REF!</definedName>
    <definedName name="WFLOW2">#REF!</definedName>
    <definedName name="WFLOW3" localSheetId="7">#REF!</definedName>
    <definedName name="WFLOW3">#REF!</definedName>
    <definedName name="WFLOW4" localSheetId="7">#REF!</definedName>
    <definedName name="WFLOW4">#REF!</definedName>
    <definedName name="WFLOWR" localSheetId="7">#REF!</definedName>
    <definedName name="WFLOWR">#REF!</definedName>
    <definedName name="work_center" localSheetId="7">#REF!</definedName>
    <definedName name="work_center">#REF!</definedName>
    <definedName name="wrn.Equipment._.List." localSheetId="0" hidden="1">{#N/A,#N/A,TRUE,"COVERSHEET";#N/A,#N/A,TRUE,"LEGEND";#N/A,#N/A,TRUE,"LIST"}</definedName>
    <definedName name="wrn.Equipment._.List." localSheetId="7" hidden="1">{#N/A,#N/A,TRUE,"COVERSHEET";#N/A,#N/A,TRUE,"LEGEND";#N/A,#N/A,TRUE,"LIST"}</definedName>
    <definedName name="wrn.Equipment._.List." hidden="1">{#N/A,#N/A,TRUE,"COVERSHEET";#N/A,#N/A,TRUE,"LEGEND";#N/A,#N/A,TRUE,"LIST"}</definedName>
    <definedName name="wss" localSheetId="2">#REF!</definedName>
    <definedName name="wss" localSheetId="7">#REF!</definedName>
    <definedName name="wss">#REF!</definedName>
    <definedName name="www" localSheetId="2">#REF!</definedName>
    <definedName name="www" localSheetId="7">#REF!</definedName>
    <definedName name="www">#REF!</definedName>
    <definedName name="WWWW" localSheetId="7">{"본부영업.xls"}</definedName>
    <definedName name="WWWW">{"본부영업.xls"}</definedName>
    <definedName name="xx" localSheetId="2">#REF!</definedName>
    <definedName name="xx" localSheetId="7">#REF!</definedName>
    <definedName name="xx">#REF!</definedName>
    <definedName name="xxx" localSheetId="2">#REF!</definedName>
    <definedName name="xxx" localSheetId="7">#REF!</definedName>
    <definedName name="xxx">#REF!</definedName>
    <definedName name="xxxxxxxxxxxxxxxxx" localSheetId="2">#REF!</definedName>
    <definedName name="xxxxxxxxxxxxxxxxx" localSheetId="7">#REF!</definedName>
    <definedName name="xxxxxxxxxxxxxxxxx">#REF!</definedName>
    <definedName name="yyyyy" localSheetId="2">#REF!</definedName>
    <definedName name="yyyyy" localSheetId="7">#REF!</definedName>
    <definedName name="yyyyy">#REF!</definedName>
    <definedName name="yyyyyyyyyyyy" localSheetId="2">#REF!</definedName>
    <definedName name="yyyyyyyyyyyy" localSheetId="7">#REF!</definedName>
    <definedName name="yyyyyyyyyyyy">#REF!</definedName>
    <definedName name="zz" localSheetId="2">#REF!</definedName>
    <definedName name="zz" localSheetId="7">#REF!</definedName>
    <definedName name="zz">#REF!</definedName>
    <definedName name="zzz" localSheetId="2">#REF!</definedName>
    <definedName name="zzz" localSheetId="7">#REF!</definedName>
    <definedName name="zzz">#REF!</definedName>
    <definedName name="zzzzzzzzzzzzz" localSheetId="2">#REF!</definedName>
    <definedName name="zzzzzzzzzzzzz" localSheetId="7">#REF!</definedName>
    <definedName name="zzzzzzzzzzzzz">#REF!</definedName>
    <definedName name="Пред_шума" localSheetId="7">#REF!</definedName>
    <definedName name="Пред_шума">#REF!</definedName>
    <definedName name="ق351" localSheetId="2">#REF!</definedName>
    <definedName name="ق351" localSheetId="0">#REF!</definedName>
    <definedName name="ق351" localSheetId="7">#REF!</definedName>
    <definedName name="ق351">#REF!</definedName>
    <definedName name="ل18" localSheetId="2">#REF!</definedName>
    <definedName name="ل18" localSheetId="0">#REF!</definedName>
    <definedName name="ل18" localSheetId="7">#REF!</definedName>
    <definedName name="ل18">#REF!</definedName>
    <definedName name="경쟁사" localSheetId="7">{"본부영업.xls"}</definedName>
    <definedName name="경쟁사">{"본부영업.xls"}</definedName>
    <definedName name="대형공사신" localSheetId="7">{"Book1","세부실천계획2010.xls"}</definedName>
    <definedName name="대형공사신">{"Book1","세부실천계획2010.xls"}</definedName>
    <definedName name="비젼세부실천계획" localSheetId="7">{"Book1","세부실천계획2010.xls"}</definedName>
    <definedName name="비젼세부실천계획">{"Book1","세부실천계획2010.xls"}</definedName>
    <definedName name="삼번" localSheetId="7">{"Book1","세부실천계획2010.xls"}</definedName>
    <definedName name="삼번">{"Book1","세부실천계획2010.xls"}</definedName>
    <definedName name="세부" localSheetId="7">{"Book1","세부실천계획2010.xls"}</definedName>
    <definedName name="세부">{"Book1","세부실천계획2010.xls"}</definedName>
    <definedName name="시황대응" localSheetId="7">{"본부영업.xls"}</definedName>
    <definedName name="시황대응">{"본부영업.xls"}</definedName>
    <definedName name="인도공사" localSheetId="7">{"Book1","세부실천계획2010.xls"}</definedName>
    <definedName name="인도공사">{"Book1","세부실천계획2010.xls"}</definedName>
    <definedName name="진짜" localSheetId="7">{"Book1","세부실천계획2010.xls"}</definedName>
    <definedName name="진짜">{"Book1","세부실천계획2010.xls"}</definedName>
    <definedName name="학교" localSheetId="7">{"Book1","세부실천계획2010.xls"}</definedName>
    <definedName name="학교">{"Book1","세부실천계획2010.xls"}</definedName>
    <definedName name="효율적조직운영" localSheetId="7">{"Book1","세부실천계획2010.xls"}</definedName>
    <definedName name="효율적조직운영">{"Book1","세부실천계획2010.xls"}</definedName>
    <definedName name="未착수_→긴급가공조치요." localSheetId="2">#REF!</definedName>
    <definedName name="未착수_→긴급가공조치요." localSheetId="7">#REF!</definedName>
    <definedName name="未착수_→긴급가공조치요.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20" l="1"/>
  <c r="B20" i="20"/>
  <c r="B21" i="20" s="1"/>
  <c r="U5" i="17"/>
  <c r="L5" i="17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Z9" i="17" l="1"/>
  <c r="Z10" i="17" s="1"/>
  <c r="Z11" i="17" s="1"/>
  <c r="Z12" i="17" s="1"/>
  <c r="Z13" i="17" s="1"/>
  <c r="Z14" i="17" s="1"/>
  <c r="Z15" i="17" s="1"/>
  <c r="Z16" i="17" s="1"/>
  <c r="Z17" i="17" s="1"/>
  <c r="Z18" i="17" s="1"/>
  <c r="Z19" i="17" s="1"/>
  <c r="Z20" i="17" s="1"/>
  <c r="Z21" i="17" s="1"/>
  <c r="Z22" i="17" s="1"/>
  <c r="Z23" i="17" s="1"/>
  <c r="Z24" i="17" s="1"/>
  <c r="Z25" i="17" s="1"/>
  <c r="Z26" i="17" s="1"/>
  <c r="Z27" i="17" s="1"/>
  <c r="Z28" i="17" s="1"/>
  <c r="Z29" i="17" s="1"/>
  <c r="Z30" i="17" s="1"/>
  <c r="Z31" i="17" s="1"/>
  <c r="Z32" i="17" s="1"/>
  <c r="Z33" i="17" s="1"/>
  <c r="Z34" i="17" s="1"/>
  <c r="Z35" i="17" s="1"/>
  <c r="Z36" i="17" s="1"/>
  <c r="Z37" i="17" s="1"/>
  <c r="Z38" i="17" s="1"/>
  <c r="Z39" i="17" s="1"/>
  <c r="Z40" i="17" s="1"/>
  <c r="Z41" i="17" s="1"/>
  <c r="Z42" i="17" s="1"/>
  <c r="Z43" i="17" s="1"/>
  <c r="Z44" i="17" s="1"/>
  <c r="Z45" i="17" s="1"/>
  <c r="Z46" i="17" s="1"/>
  <c r="Z47" i="17" s="1"/>
  <c r="Z48" i="17" s="1"/>
  <c r="Z49" i="17" s="1"/>
  <c r="Z50" i="17" s="1"/>
  <c r="Z51" i="17" s="1"/>
  <c r="Z52" i="17" s="1"/>
  <c r="Z53" i="17" s="1"/>
  <c r="Z54" i="17" s="1"/>
  <c r="Z55" i="17" s="1"/>
  <c r="Z56" i="17" s="1"/>
  <c r="Z57" i="17" s="1"/>
  <c r="Z58" i="17" s="1"/>
  <c r="Z59" i="17" s="1"/>
  <c r="Z60" i="17" s="1"/>
  <c r="Z61" i="17" s="1"/>
  <c r="Z62" i="17" s="1"/>
  <c r="Z63" i="17" s="1"/>
  <c r="Z64" i="17" s="1"/>
  <c r="Z65" i="17" s="1"/>
  <c r="Z66" i="17" s="1"/>
  <c r="Z67" i="17" s="1"/>
  <c r="Z68" i="17" s="1"/>
  <c r="Z69" i="17" s="1"/>
  <c r="Z70" i="17" s="1"/>
  <c r="Z71" i="17" s="1"/>
  <c r="Z72" i="17" s="1"/>
  <c r="Z73" i="17" s="1"/>
  <c r="Z74" i="17" s="1"/>
  <c r="Z75" i="17" s="1"/>
  <c r="Z76" i="17" s="1"/>
  <c r="Z77" i="17" s="1"/>
  <c r="Z78" i="17" s="1"/>
  <c r="Z79" i="17" s="1"/>
  <c r="Z80" i="17" s="1"/>
  <c r="Z81" i="17" s="1"/>
  <c r="Z82" i="17" s="1"/>
  <c r="Z83" i="17" s="1"/>
  <c r="Z84" i="17" s="1"/>
  <c r="Z85" i="17" s="1"/>
  <c r="Z86" i="17" s="1"/>
  <c r="Z87" i="17" s="1"/>
  <c r="Z88" i="17" s="1"/>
  <c r="Z89" i="17" s="1"/>
  <c r="Z90" i="17" s="1"/>
  <c r="Z91" i="17" s="1"/>
  <c r="Z92" i="17" s="1"/>
  <c r="Z93" i="17" s="1"/>
  <c r="Z94" i="17" s="1"/>
  <c r="Z95" i="17" s="1"/>
  <c r="Z96" i="17" s="1"/>
  <c r="Z97" i="17" s="1"/>
  <c r="Z98" i="17" s="1"/>
  <c r="Z99" i="17" s="1"/>
  <c r="Z100" i="17" s="1"/>
  <c r="Y548" i="17"/>
  <c r="Y549" i="17"/>
  <c r="Y550" i="17"/>
  <c r="Y555" i="17"/>
  <c r="Y557" i="17"/>
  <c r="Y574" i="17"/>
  <c r="Y576" i="17"/>
  <c r="Y578" i="17"/>
  <c r="Y580" i="17"/>
  <c r="Y582" i="17"/>
  <c r="Y583" i="17"/>
  <c r="Y591" i="17"/>
  <c r="Y592" i="17"/>
  <c r="Y600" i="17"/>
  <c r="Y608" i="17"/>
  <c r="Y616" i="17"/>
  <c r="Y624" i="17"/>
  <c r="Y625" i="17"/>
  <c r="Y633" i="17"/>
  <c r="Y641" i="17"/>
  <c r="Y649" i="17"/>
  <c r="Y666" i="17"/>
  <c r="Y674" i="17"/>
  <c r="Y10" i="17"/>
  <c r="Y11" i="17"/>
  <c r="Y12" i="17"/>
  <c r="Y13" i="17"/>
  <c r="Y14" i="17"/>
  <c r="Y15" i="17"/>
  <c r="Y16" i="17"/>
  <c r="Y17" i="17"/>
  <c r="Y18" i="17"/>
  <c r="Y19" i="17"/>
  <c r="Y20" i="17"/>
  <c r="Y21" i="17"/>
  <c r="Y22" i="17"/>
  <c r="Y30" i="17"/>
  <c r="Y50" i="17"/>
  <c r="Y63" i="17"/>
  <c r="Y82" i="17"/>
  <c r="Y83" i="17"/>
  <c r="Y84" i="17"/>
  <c r="Y112" i="17"/>
  <c r="Y124" i="17"/>
  <c r="Y151" i="17"/>
  <c r="Y154" i="17"/>
  <c r="Y155" i="17"/>
  <c r="Y162" i="17"/>
  <c r="Y163" i="17"/>
  <c r="Y167" i="17"/>
  <c r="Y171" i="17"/>
  <c r="Y175" i="17"/>
  <c r="Y199" i="17"/>
  <c r="Y200" i="17"/>
  <c r="Y201" i="17"/>
  <c r="Y209" i="17"/>
  <c r="Y217" i="17"/>
  <c r="Y218" i="17"/>
  <c r="Y221" i="17"/>
  <c r="Y228" i="17"/>
  <c r="Y231" i="17"/>
  <c r="Y234" i="17"/>
  <c r="Y241" i="17"/>
  <c r="Y246" i="17"/>
  <c r="Y247" i="17"/>
  <c r="Y257" i="17"/>
  <c r="Y260" i="17"/>
  <c r="Y261" i="17"/>
  <c r="Y266" i="17"/>
  <c r="Y271" i="17"/>
  <c r="Y274" i="17"/>
  <c r="Y277" i="17"/>
  <c r="Y278" i="17"/>
  <c r="Y281" i="17"/>
  <c r="Y284" i="17"/>
  <c r="Y285" i="17"/>
  <c r="Y288" i="17"/>
  <c r="Y291" i="17"/>
  <c r="Y292" i="17"/>
  <c r="Y298" i="17"/>
  <c r="Y299" i="17"/>
  <c r="Y304" i="17"/>
  <c r="Y310" i="17"/>
  <c r="Y311" i="17"/>
  <c r="Y312" i="17"/>
  <c r="Y321" i="17"/>
  <c r="Y327" i="17"/>
  <c r="Y328" i="17"/>
  <c r="Y329" i="17"/>
  <c r="Y334" i="17"/>
  <c r="Y340" i="17"/>
  <c r="Y346" i="17"/>
  <c r="Y348" i="17"/>
  <c r="Y350" i="17"/>
  <c r="Y351" i="17"/>
  <c r="Y388" i="17"/>
  <c r="Y389" i="17"/>
  <c r="Y391" i="17"/>
  <c r="Y392" i="17"/>
  <c r="Y393" i="17"/>
  <c r="Y396" i="17"/>
  <c r="Y401" i="17"/>
  <c r="Y412" i="17"/>
  <c r="Y415" i="17"/>
  <c r="Y424" i="17"/>
  <c r="Y426" i="17"/>
  <c r="Y427" i="17"/>
  <c r="Y428" i="17"/>
  <c r="Y443" i="17"/>
  <c r="Y450" i="17"/>
  <c r="Y451" i="17"/>
  <c r="Y466" i="17"/>
  <c r="Y473" i="17"/>
  <c r="Y474" i="17"/>
  <c r="Y491" i="17"/>
  <c r="Y498" i="17"/>
  <c r="Y499" i="17"/>
  <c r="Y516" i="17"/>
  <c r="Y523" i="17"/>
  <c r="Y524" i="17"/>
  <c r="Y541" i="17"/>
  <c r="Y9" i="17"/>
  <c r="N230" i="17" l="1"/>
  <c r="M13" i="11" l="1"/>
  <c r="H12" i="19" l="1"/>
  <c r="I12" i="19"/>
  <c r="J12" i="19"/>
  <c r="K12" i="19"/>
  <c r="L12" i="19"/>
  <c r="M12" i="19"/>
  <c r="N12" i="19"/>
  <c r="O12" i="19"/>
  <c r="P12" i="19"/>
  <c r="Q12" i="19"/>
  <c r="R12" i="19"/>
  <c r="G12" i="19"/>
  <c r="E7" i="19"/>
  <c r="E8" i="19"/>
  <c r="E9" i="19"/>
  <c r="E10" i="19"/>
  <c r="E11" i="19"/>
  <c r="E12" i="19" l="1"/>
  <c r="O331" i="17"/>
  <c r="O287" i="17"/>
  <c r="O273" i="17"/>
  <c r="O249" i="17"/>
  <c r="N196" i="17"/>
  <c r="Y196" i="17" s="1"/>
  <c r="N195" i="17"/>
  <c r="Y195" i="17" s="1"/>
  <c r="O196" i="17"/>
  <c r="O195" i="17"/>
  <c r="O356" i="17" l="1"/>
  <c r="O352" i="17"/>
  <c r="J162" i="17"/>
  <c r="K162" i="17"/>
  <c r="L176" i="17"/>
  <c r="L175" i="17"/>
  <c r="L171" i="17"/>
  <c r="L167" i="17"/>
  <c r="L163" i="17"/>
  <c r="L155" i="17"/>
  <c r="L154" i="17"/>
  <c r="L151" i="17"/>
  <c r="L124" i="17"/>
  <c r="L112" i="17"/>
  <c r="L84" i="17"/>
  <c r="L83" i="17"/>
  <c r="L82" i="17"/>
  <c r="L63" i="17"/>
  <c r="L50" i="17"/>
  <c r="L30" i="17"/>
  <c r="L22" i="17"/>
  <c r="L21" i="17"/>
  <c r="L8" i="17"/>
  <c r="L7" i="17"/>
  <c r="L162" i="17" l="1"/>
  <c r="U587" i="17"/>
  <c r="Y587" i="17" s="1"/>
  <c r="U573" i="17"/>
  <c r="Y573" i="17" s="1"/>
  <c r="J174" i="17"/>
  <c r="U174" i="17" s="1"/>
  <c r="Y174" i="17" s="1"/>
  <c r="J173" i="17"/>
  <c r="U173" i="17" s="1"/>
  <c r="Y173" i="17" s="1"/>
  <c r="J172" i="17"/>
  <c r="U172" i="17" s="1"/>
  <c r="Y172" i="17" s="1"/>
  <c r="J169" i="17"/>
  <c r="U169" i="17" s="1"/>
  <c r="Y169" i="17" s="1"/>
  <c r="J170" i="17"/>
  <c r="U170" i="17" s="1"/>
  <c r="Y170" i="17" s="1"/>
  <c r="J168" i="17"/>
  <c r="U168" i="17" s="1"/>
  <c r="Y168" i="17" s="1"/>
  <c r="S171" i="17"/>
  <c r="T174" i="17" s="1"/>
  <c r="S167" i="17"/>
  <c r="T170" i="17" s="1"/>
  <c r="S163" i="17"/>
  <c r="T165" i="17" s="1"/>
  <c r="U166" i="17"/>
  <c r="Y166" i="17" s="1"/>
  <c r="V174" i="17"/>
  <c r="V173" i="17"/>
  <c r="V172" i="17"/>
  <c r="V170" i="17"/>
  <c r="V169" i="17"/>
  <c r="V168" i="17"/>
  <c r="V166" i="17"/>
  <c r="V165" i="17"/>
  <c r="U165" i="17"/>
  <c r="Y165" i="17" s="1"/>
  <c r="V164" i="17"/>
  <c r="U164" i="17"/>
  <c r="Y164" i="17" s="1"/>
  <c r="V161" i="17"/>
  <c r="U161" i="17"/>
  <c r="Y161" i="17" s="1"/>
  <c r="V160" i="17"/>
  <c r="U160" i="17"/>
  <c r="Y160" i="17" s="1"/>
  <c r="V159" i="17"/>
  <c r="U159" i="17"/>
  <c r="Y159" i="17" s="1"/>
  <c r="V158" i="17"/>
  <c r="U158" i="17"/>
  <c r="Y158" i="17" s="1"/>
  <c r="V157" i="17"/>
  <c r="U157" i="17"/>
  <c r="Y157" i="17" s="1"/>
  <c r="V156" i="17"/>
  <c r="U156" i="17"/>
  <c r="Y156" i="17" s="1"/>
  <c r="V153" i="17"/>
  <c r="U153" i="17"/>
  <c r="Y153" i="17" s="1"/>
  <c r="V152" i="17"/>
  <c r="U152" i="17"/>
  <c r="Y152" i="17" s="1"/>
  <c r="V150" i="17"/>
  <c r="U150" i="17"/>
  <c r="Y150" i="17" s="1"/>
  <c r="V149" i="17"/>
  <c r="U149" i="17"/>
  <c r="Y149" i="17" s="1"/>
  <c r="V148" i="17"/>
  <c r="U148" i="17"/>
  <c r="Y148" i="17" s="1"/>
  <c r="V147" i="17"/>
  <c r="U147" i="17"/>
  <c r="Y147" i="17" s="1"/>
  <c r="V146" i="17"/>
  <c r="U146" i="17"/>
  <c r="Y146" i="17" s="1"/>
  <c r="V145" i="17"/>
  <c r="U145" i="17"/>
  <c r="Y145" i="17" s="1"/>
  <c r="V144" i="17"/>
  <c r="U144" i="17"/>
  <c r="Y144" i="17" s="1"/>
  <c r="V143" i="17"/>
  <c r="U143" i="17"/>
  <c r="Y143" i="17" s="1"/>
  <c r="V142" i="17"/>
  <c r="U142" i="17"/>
  <c r="Y142" i="17" s="1"/>
  <c r="V141" i="17"/>
  <c r="U141" i="17"/>
  <c r="Y141" i="17" s="1"/>
  <c r="V140" i="17"/>
  <c r="U140" i="17"/>
  <c r="Y140" i="17" s="1"/>
  <c r="V139" i="17"/>
  <c r="U139" i="17"/>
  <c r="Y139" i="17" s="1"/>
  <c r="V138" i="17"/>
  <c r="U138" i="17"/>
  <c r="Y138" i="17" s="1"/>
  <c r="V137" i="17"/>
  <c r="U137" i="17"/>
  <c r="Y137" i="17" s="1"/>
  <c r="V136" i="17"/>
  <c r="U136" i="17"/>
  <c r="Y136" i="17" s="1"/>
  <c r="V135" i="17"/>
  <c r="U135" i="17"/>
  <c r="Y135" i="17" s="1"/>
  <c r="V134" i="17"/>
  <c r="U134" i="17"/>
  <c r="Y134" i="17" s="1"/>
  <c r="V133" i="17"/>
  <c r="U133" i="17"/>
  <c r="Y133" i="17" s="1"/>
  <c r="V132" i="17"/>
  <c r="U132" i="17"/>
  <c r="Y132" i="17" s="1"/>
  <c r="V131" i="17"/>
  <c r="U131" i="17"/>
  <c r="Y131" i="17" s="1"/>
  <c r="V130" i="17"/>
  <c r="U130" i="17"/>
  <c r="Y130" i="17" s="1"/>
  <c r="V129" i="17"/>
  <c r="U129" i="17"/>
  <c r="Y129" i="17" s="1"/>
  <c r="V128" i="17"/>
  <c r="U128" i="17"/>
  <c r="Y128" i="17" s="1"/>
  <c r="V127" i="17"/>
  <c r="U127" i="17"/>
  <c r="Y127" i="17" s="1"/>
  <c r="V126" i="17"/>
  <c r="U126" i="17"/>
  <c r="Y126" i="17" s="1"/>
  <c r="V125" i="17"/>
  <c r="U125" i="17"/>
  <c r="Y125" i="17" s="1"/>
  <c r="V123" i="17"/>
  <c r="U123" i="17"/>
  <c r="Y123" i="17" s="1"/>
  <c r="V122" i="17"/>
  <c r="U122" i="17"/>
  <c r="Y122" i="17" s="1"/>
  <c r="V121" i="17"/>
  <c r="U121" i="17"/>
  <c r="Y121" i="17" s="1"/>
  <c r="V120" i="17"/>
  <c r="U120" i="17"/>
  <c r="Y120" i="17" s="1"/>
  <c r="V119" i="17"/>
  <c r="U119" i="17"/>
  <c r="Y119" i="17" s="1"/>
  <c r="V118" i="17"/>
  <c r="U118" i="17"/>
  <c r="Y118" i="17" s="1"/>
  <c r="V117" i="17"/>
  <c r="U117" i="17"/>
  <c r="Y117" i="17" s="1"/>
  <c r="V116" i="17"/>
  <c r="U116" i="17"/>
  <c r="Y116" i="17" s="1"/>
  <c r="V115" i="17"/>
  <c r="U115" i="17"/>
  <c r="Y115" i="17" s="1"/>
  <c r="V114" i="17"/>
  <c r="U114" i="17"/>
  <c r="Y114" i="17" s="1"/>
  <c r="V113" i="17"/>
  <c r="U113" i="17"/>
  <c r="Y113" i="17" s="1"/>
  <c r="V111" i="17"/>
  <c r="U111" i="17"/>
  <c r="Y111" i="17" s="1"/>
  <c r="V110" i="17"/>
  <c r="U110" i="17"/>
  <c r="Y110" i="17" s="1"/>
  <c r="V109" i="17"/>
  <c r="U109" i="17"/>
  <c r="Y109" i="17" s="1"/>
  <c r="V108" i="17"/>
  <c r="U108" i="17"/>
  <c r="Y108" i="17" s="1"/>
  <c r="V107" i="17"/>
  <c r="U107" i="17"/>
  <c r="Y107" i="17" s="1"/>
  <c r="V106" i="17"/>
  <c r="U106" i="17"/>
  <c r="Y106" i="17" s="1"/>
  <c r="V105" i="17"/>
  <c r="U105" i="17"/>
  <c r="Y105" i="17" s="1"/>
  <c r="V104" i="17"/>
  <c r="U104" i="17"/>
  <c r="Y104" i="17" s="1"/>
  <c r="V103" i="17"/>
  <c r="U103" i="17"/>
  <c r="Y103" i="17" s="1"/>
  <c r="V102" i="17"/>
  <c r="U102" i="17"/>
  <c r="Y102" i="17" s="1"/>
  <c r="V101" i="17"/>
  <c r="U101" i="17"/>
  <c r="Y101" i="17" s="1"/>
  <c r="V100" i="17"/>
  <c r="U100" i="17"/>
  <c r="Y100" i="17" s="1"/>
  <c r="V99" i="17"/>
  <c r="U99" i="17"/>
  <c r="Y99" i="17" s="1"/>
  <c r="V98" i="17"/>
  <c r="U98" i="17"/>
  <c r="Y98" i="17" s="1"/>
  <c r="V97" i="17"/>
  <c r="U97" i="17"/>
  <c r="Y97" i="17" s="1"/>
  <c r="V96" i="17"/>
  <c r="U96" i="17"/>
  <c r="Y96" i="17" s="1"/>
  <c r="V95" i="17"/>
  <c r="U95" i="17"/>
  <c r="Y95" i="17" s="1"/>
  <c r="V94" i="17"/>
  <c r="U94" i="17"/>
  <c r="Y94" i="17" s="1"/>
  <c r="V93" i="17"/>
  <c r="U93" i="17"/>
  <c r="Y93" i="17" s="1"/>
  <c r="V92" i="17"/>
  <c r="U92" i="17"/>
  <c r="Y92" i="17" s="1"/>
  <c r="V91" i="17"/>
  <c r="U91" i="17"/>
  <c r="Y91" i="17" s="1"/>
  <c r="V90" i="17"/>
  <c r="U90" i="17"/>
  <c r="Y90" i="17" s="1"/>
  <c r="V89" i="17"/>
  <c r="U89" i="17"/>
  <c r="Y89" i="17" s="1"/>
  <c r="V88" i="17"/>
  <c r="U88" i="17"/>
  <c r="Y88" i="17" s="1"/>
  <c r="V87" i="17"/>
  <c r="U87" i="17"/>
  <c r="Y87" i="17" s="1"/>
  <c r="V86" i="17"/>
  <c r="U86" i="17"/>
  <c r="Y86" i="17" s="1"/>
  <c r="V85" i="17"/>
  <c r="U85" i="17"/>
  <c r="Y85" i="17" s="1"/>
  <c r="V81" i="17"/>
  <c r="U81" i="17"/>
  <c r="Y81" i="17" s="1"/>
  <c r="V80" i="17"/>
  <c r="U80" i="17"/>
  <c r="Y80" i="17" s="1"/>
  <c r="V79" i="17"/>
  <c r="U79" i="17"/>
  <c r="Y79" i="17" s="1"/>
  <c r="V78" i="17"/>
  <c r="U78" i="17"/>
  <c r="Y78" i="17" s="1"/>
  <c r="V77" i="17"/>
  <c r="U77" i="17"/>
  <c r="Y77" i="17" s="1"/>
  <c r="V76" i="17"/>
  <c r="U76" i="17"/>
  <c r="Y76" i="17" s="1"/>
  <c r="V75" i="17"/>
  <c r="U75" i="17"/>
  <c r="Y75" i="17" s="1"/>
  <c r="V74" i="17"/>
  <c r="U74" i="17"/>
  <c r="Y74" i="17" s="1"/>
  <c r="V73" i="17"/>
  <c r="U73" i="17"/>
  <c r="Y73" i="17" s="1"/>
  <c r="V72" i="17"/>
  <c r="U72" i="17"/>
  <c r="Y72" i="17" s="1"/>
  <c r="V71" i="17"/>
  <c r="U71" i="17"/>
  <c r="Y71" i="17" s="1"/>
  <c r="V70" i="17"/>
  <c r="U70" i="17"/>
  <c r="Y70" i="17" s="1"/>
  <c r="V69" i="17"/>
  <c r="U69" i="17"/>
  <c r="Y69" i="17" s="1"/>
  <c r="V68" i="17"/>
  <c r="U68" i="17"/>
  <c r="Y68" i="17" s="1"/>
  <c r="V67" i="17"/>
  <c r="U67" i="17"/>
  <c r="Y67" i="17" s="1"/>
  <c r="V66" i="17"/>
  <c r="U66" i="17"/>
  <c r="Y66" i="17" s="1"/>
  <c r="V65" i="17"/>
  <c r="U65" i="17"/>
  <c r="Y65" i="17" s="1"/>
  <c r="V64" i="17"/>
  <c r="U64" i="17"/>
  <c r="Y64" i="17" s="1"/>
  <c r="V62" i="17"/>
  <c r="U62" i="17"/>
  <c r="Y62" i="17" s="1"/>
  <c r="V61" i="17"/>
  <c r="U61" i="17"/>
  <c r="Y61" i="17" s="1"/>
  <c r="V60" i="17"/>
  <c r="U60" i="17"/>
  <c r="Y60" i="17" s="1"/>
  <c r="V59" i="17"/>
  <c r="U59" i="17"/>
  <c r="Y59" i="17" s="1"/>
  <c r="V58" i="17"/>
  <c r="U58" i="17"/>
  <c r="Y58" i="17" s="1"/>
  <c r="V57" i="17"/>
  <c r="U57" i="17"/>
  <c r="Y57" i="17" s="1"/>
  <c r="V56" i="17"/>
  <c r="U56" i="17"/>
  <c r="Y56" i="17" s="1"/>
  <c r="V55" i="17"/>
  <c r="U55" i="17"/>
  <c r="Y55" i="17" s="1"/>
  <c r="V54" i="17"/>
  <c r="U54" i="17"/>
  <c r="Y54" i="17" s="1"/>
  <c r="V53" i="17"/>
  <c r="U53" i="17"/>
  <c r="Y53" i="17" s="1"/>
  <c r="V52" i="17"/>
  <c r="U52" i="17"/>
  <c r="Y52" i="17" s="1"/>
  <c r="V51" i="17"/>
  <c r="U51" i="17"/>
  <c r="Y51" i="17" s="1"/>
  <c r="V49" i="17"/>
  <c r="U49" i="17"/>
  <c r="Y49" i="17" s="1"/>
  <c r="V48" i="17"/>
  <c r="U48" i="17"/>
  <c r="Y48" i="17" s="1"/>
  <c r="V47" i="17"/>
  <c r="U47" i="17"/>
  <c r="Y47" i="17" s="1"/>
  <c r="V46" i="17"/>
  <c r="U46" i="17"/>
  <c r="Y46" i="17" s="1"/>
  <c r="V45" i="17"/>
  <c r="U45" i="17"/>
  <c r="Y45" i="17" s="1"/>
  <c r="V44" i="17"/>
  <c r="U44" i="17"/>
  <c r="Y44" i="17" s="1"/>
  <c r="V43" i="17"/>
  <c r="U43" i="17"/>
  <c r="Y43" i="17" s="1"/>
  <c r="V42" i="17"/>
  <c r="U42" i="17"/>
  <c r="Y42" i="17" s="1"/>
  <c r="V41" i="17"/>
  <c r="U41" i="17"/>
  <c r="Y41" i="17" s="1"/>
  <c r="V40" i="17"/>
  <c r="U40" i="17"/>
  <c r="Y40" i="17" s="1"/>
  <c r="V39" i="17"/>
  <c r="U39" i="17"/>
  <c r="Y39" i="17" s="1"/>
  <c r="V38" i="17"/>
  <c r="U38" i="17"/>
  <c r="Y38" i="17" s="1"/>
  <c r="V37" i="17"/>
  <c r="U37" i="17"/>
  <c r="Y37" i="17" s="1"/>
  <c r="V36" i="17"/>
  <c r="U36" i="17"/>
  <c r="Y36" i="17" s="1"/>
  <c r="V35" i="17"/>
  <c r="U35" i="17"/>
  <c r="Y35" i="17" s="1"/>
  <c r="V34" i="17"/>
  <c r="U34" i="17"/>
  <c r="Y34" i="17" s="1"/>
  <c r="V33" i="17"/>
  <c r="U33" i="17"/>
  <c r="Y33" i="17" s="1"/>
  <c r="V32" i="17"/>
  <c r="U32" i="17"/>
  <c r="Y32" i="17" s="1"/>
  <c r="V31" i="17"/>
  <c r="U31" i="17"/>
  <c r="Y31" i="17" s="1"/>
  <c r="V29" i="17"/>
  <c r="U29" i="17"/>
  <c r="Y29" i="17" s="1"/>
  <c r="V28" i="17"/>
  <c r="U28" i="17"/>
  <c r="Y28" i="17" s="1"/>
  <c r="V27" i="17"/>
  <c r="U27" i="17"/>
  <c r="Y27" i="17" s="1"/>
  <c r="V26" i="17"/>
  <c r="U26" i="17"/>
  <c r="Y26" i="17" s="1"/>
  <c r="V25" i="17"/>
  <c r="U25" i="17"/>
  <c r="Y25" i="17" s="1"/>
  <c r="V24" i="17"/>
  <c r="U24" i="17"/>
  <c r="Y24" i="17" s="1"/>
  <c r="V23" i="17"/>
  <c r="U23" i="17"/>
  <c r="Y23" i="17" s="1"/>
  <c r="S63" i="17"/>
  <c r="T67" i="17" s="1"/>
  <c r="S50" i="17"/>
  <c r="T52" i="17" s="1"/>
  <c r="S30" i="17"/>
  <c r="T33" i="17" s="1"/>
  <c r="S22" i="17"/>
  <c r="T25" i="17" s="1"/>
  <c r="S155" i="17"/>
  <c r="T160" i="17" s="1"/>
  <c r="S151" i="17"/>
  <c r="T153" i="17" s="1"/>
  <c r="S124" i="17"/>
  <c r="T128" i="17" s="1"/>
  <c r="S112" i="17"/>
  <c r="T114" i="17" s="1"/>
  <c r="N651" i="17"/>
  <c r="M530" i="17"/>
  <c r="N506" i="17"/>
  <c r="N510" i="17" s="1"/>
  <c r="N425" i="17"/>
  <c r="S21" i="17" l="1"/>
  <c r="T30" i="17" s="1"/>
  <c r="T164" i="17"/>
  <c r="W164" i="17" s="1"/>
  <c r="T42" i="17"/>
  <c r="W42" i="17" s="1"/>
  <c r="T173" i="17"/>
  <c r="X173" i="17" s="1"/>
  <c r="T141" i="17"/>
  <c r="X141" i="17" s="1"/>
  <c r="T125" i="17"/>
  <c r="W125" i="17" s="1"/>
  <c r="T166" i="17"/>
  <c r="W166" i="17" s="1"/>
  <c r="T130" i="17"/>
  <c r="X130" i="17" s="1"/>
  <c r="T146" i="17"/>
  <c r="W146" i="17" s="1"/>
  <c r="S162" i="17"/>
  <c r="T171" i="17" s="1"/>
  <c r="T135" i="17"/>
  <c r="X135" i="17" s="1"/>
  <c r="T156" i="17"/>
  <c r="X156" i="17" s="1"/>
  <c r="T62" i="17"/>
  <c r="X62" i="17" s="1"/>
  <c r="T172" i="17"/>
  <c r="W172" i="17" s="1"/>
  <c r="T74" i="17"/>
  <c r="X74" i="17" s="1"/>
  <c r="T150" i="17"/>
  <c r="X150" i="17" s="1"/>
  <c r="T139" i="17"/>
  <c r="X139" i="17" s="1"/>
  <c r="T129" i="17"/>
  <c r="X129" i="17" s="1"/>
  <c r="T169" i="17"/>
  <c r="W169" i="17" s="1"/>
  <c r="T36" i="17"/>
  <c r="W36" i="17" s="1"/>
  <c r="T58" i="17"/>
  <c r="W58" i="17" s="1"/>
  <c r="T64" i="17"/>
  <c r="X64" i="17" s="1"/>
  <c r="T72" i="17"/>
  <c r="W72" i="17" s="1"/>
  <c r="T70" i="17"/>
  <c r="X70" i="17" s="1"/>
  <c r="T57" i="17"/>
  <c r="X57" i="17" s="1"/>
  <c r="T80" i="17"/>
  <c r="W80" i="17" s="1"/>
  <c r="T145" i="17"/>
  <c r="W145" i="17" s="1"/>
  <c r="T134" i="17"/>
  <c r="X134" i="17" s="1"/>
  <c r="T48" i="17"/>
  <c r="X48" i="17" s="1"/>
  <c r="T51" i="17"/>
  <c r="W51" i="17" s="1"/>
  <c r="T53" i="17"/>
  <c r="W53" i="17" s="1"/>
  <c r="T78" i="17"/>
  <c r="X78" i="17" s="1"/>
  <c r="T66" i="17"/>
  <c r="X66" i="17" s="1"/>
  <c r="X33" i="17"/>
  <c r="T168" i="17"/>
  <c r="X168" i="17" s="1"/>
  <c r="T24" i="17"/>
  <c r="X24" i="17" s="1"/>
  <c r="T159" i="17"/>
  <c r="W159" i="17" s="1"/>
  <c r="T23" i="17"/>
  <c r="X23" i="17" s="1"/>
  <c r="T41" i="17"/>
  <c r="X41" i="17" s="1"/>
  <c r="T149" i="17"/>
  <c r="X149" i="17" s="1"/>
  <c r="T143" i="17"/>
  <c r="X143" i="17" s="1"/>
  <c r="T138" i="17"/>
  <c r="X138" i="17" s="1"/>
  <c r="T133" i="17"/>
  <c r="X133" i="17" s="1"/>
  <c r="T127" i="17"/>
  <c r="W127" i="17" s="1"/>
  <c r="T158" i="17"/>
  <c r="W158" i="17" s="1"/>
  <c r="T28" i="17"/>
  <c r="X28" i="17" s="1"/>
  <c r="T31" i="17"/>
  <c r="W31" i="17" s="1"/>
  <c r="T45" i="17"/>
  <c r="W45" i="17" s="1"/>
  <c r="T40" i="17"/>
  <c r="X40" i="17" s="1"/>
  <c r="T32" i="17"/>
  <c r="X32" i="17" s="1"/>
  <c r="T61" i="17"/>
  <c r="X61" i="17" s="1"/>
  <c r="T55" i="17"/>
  <c r="X55" i="17" s="1"/>
  <c r="T76" i="17"/>
  <c r="W76" i="17" s="1"/>
  <c r="T68" i="17"/>
  <c r="W68" i="17" s="1"/>
  <c r="W160" i="17"/>
  <c r="W174" i="17"/>
  <c r="T147" i="17"/>
  <c r="X147" i="17" s="1"/>
  <c r="T142" i="17"/>
  <c r="W142" i="17" s="1"/>
  <c r="T137" i="17"/>
  <c r="W137" i="17" s="1"/>
  <c r="T131" i="17"/>
  <c r="X131" i="17" s="1"/>
  <c r="T126" i="17"/>
  <c r="X126" i="17" s="1"/>
  <c r="T26" i="17"/>
  <c r="W26" i="17" s="1"/>
  <c r="T49" i="17"/>
  <c r="X49" i="17" s="1"/>
  <c r="T44" i="17"/>
  <c r="X44" i="17" s="1"/>
  <c r="T38" i="17"/>
  <c r="X38" i="17" s="1"/>
  <c r="T59" i="17"/>
  <c r="W59" i="17" s="1"/>
  <c r="T54" i="17"/>
  <c r="X54" i="17" s="1"/>
  <c r="X160" i="17"/>
  <c r="X174" i="17"/>
  <c r="T46" i="17"/>
  <c r="W46" i="17" s="1"/>
  <c r="T34" i="17"/>
  <c r="X34" i="17" s="1"/>
  <c r="W153" i="17"/>
  <c r="W165" i="17"/>
  <c r="T148" i="17"/>
  <c r="X148" i="17" s="1"/>
  <c r="T144" i="17"/>
  <c r="W144" i="17" s="1"/>
  <c r="T140" i="17"/>
  <c r="W140" i="17" s="1"/>
  <c r="T136" i="17"/>
  <c r="W136" i="17" s="1"/>
  <c r="T132" i="17"/>
  <c r="W132" i="17" s="1"/>
  <c r="W114" i="17"/>
  <c r="W128" i="17"/>
  <c r="X153" i="17"/>
  <c r="X165" i="17"/>
  <c r="W170" i="17"/>
  <c r="X114" i="17"/>
  <c r="X128" i="17"/>
  <c r="X170" i="17"/>
  <c r="W25" i="17"/>
  <c r="X25" i="17"/>
  <c r="W33" i="17"/>
  <c r="T27" i="17"/>
  <c r="X27" i="17" s="1"/>
  <c r="T47" i="17"/>
  <c r="X47" i="17" s="1"/>
  <c r="T43" i="17"/>
  <c r="W43" i="17" s="1"/>
  <c r="T39" i="17"/>
  <c r="W39" i="17" s="1"/>
  <c r="T35" i="17"/>
  <c r="X35" i="17" s="1"/>
  <c r="T60" i="17"/>
  <c r="W60" i="17" s="1"/>
  <c r="T56" i="17"/>
  <c r="X56" i="17" s="1"/>
  <c r="T81" i="17"/>
  <c r="X81" i="17" s="1"/>
  <c r="T77" i="17"/>
  <c r="X77" i="17" s="1"/>
  <c r="T73" i="17"/>
  <c r="X73" i="17" s="1"/>
  <c r="T69" i="17"/>
  <c r="W69" i="17" s="1"/>
  <c r="T65" i="17"/>
  <c r="W65" i="17" s="1"/>
  <c r="W52" i="17"/>
  <c r="W67" i="17"/>
  <c r="X52" i="17"/>
  <c r="X67" i="17"/>
  <c r="T29" i="17"/>
  <c r="X29" i="17" s="1"/>
  <c r="T37" i="17"/>
  <c r="X37" i="17" s="1"/>
  <c r="T79" i="17"/>
  <c r="X79" i="17" s="1"/>
  <c r="T75" i="17"/>
  <c r="W75" i="17" s="1"/>
  <c r="T71" i="17"/>
  <c r="W71" i="17" s="1"/>
  <c r="T161" i="17"/>
  <c r="W161" i="17" s="1"/>
  <c r="T157" i="17"/>
  <c r="X157" i="17" s="1"/>
  <c r="S154" i="17"/>
  <c r="T155" i="17" s="1"/>
  <c r="T152" i="17"/>
  <c r="X152" i="17" s="1"/>
  <c r="T121" i="17"/>
  <c r="W121" i="17" s="1"/>
  <c r="T120" i="17"/>
  <c r="X120" i="17" s="1"/>
  <c r="T117" i="17"/>
  <c r="W117" i="17" s="1"/>
  <c r="T113" i="17"/>
  <c r="X113" i="17" s="1"/>
  <c r="T116" i="17"/>
  <c r="W116" i="17" s="1"/>
  <c r="T123" i="17"/>
  <c r="W123" i="17" s="1"/>
  <c r="T119" i="17"/>
  <c r="W119" i="17" s="1"/>
  <c r="T115" i="17"/>
  <c r="W115" i="17" s="1"/>
  <c r="T122" i="17"/>
  <c r="X122" i="17" s="1"/>
  <c r="T118" i="17"/>
  <c r="W118" i="17" s="1"/>
  <c r="X125" i="17" l="1"/>
  <c r="W57" i="17"/>
  <c r="X164" i="17"/>
  <c r="W134" i="17"/>
  <c r="X146" i="17"/>
  <c r="W70" i="17"/>
  <c r="X36" i="17"/>
  <c r="X142" i="17"/>
  <c r="W173" i="17"/>
  <c r="W171" i="17" s="1"/>
  <c r="W138" i="17"/>
  <c r="W135" i="17"/>
  <c r="X42" i="17"/>
  <c r="W139" i="17"/>
  <c r="W55" i="17"/>
  <c r="W38" i="17"/>
  <c r="W78" i="17"/>
  <c r="W62" i="17"/>
  <c r="W149" i="17"/>
  <c r="W150" i="17"/>
  <c r="X166" i="17"/>
  <c r="X68" i="17"/>
  <c r="W141" i="17"/>
  <c r="W28" i="17"/>
  <c r="X65" i="17"/>
  <c r="W56" i="17"/>
  <c r="T163" i="17"/>
  <c r="X58" i="17"/>
  <c r="W24" i="17"/>
  <c r="W74" i="17"/>
  <c r="X169" i="17"/>
  <c r="X167" i="17" s="1"/>
  <c r="W48" i="17"/>
  <c r="W23" i="17"/>
  <c r="W81" i="17"/>
  <c r="T167" i="17"/>
  <c r="X151" i="17"/>
  <c r="W54" i="17"/>
  <c r="X53" i="17"/>
  <c r="W156" i="17"/>
  <c r="X145" i="17"/>
  <c r="W152" i="17"/>
  <c r="W151" i="17" s="1"/>
  <c r="W130" i="17"/>
  <c r="X26" i="17"/>
  <c r="X22" i="17" s="1"/>
  <c r="X72" i="17"/>
  <c r="W129" i="17"/>
  <c r="X127" i="17"/>
  <c r="T22" i="17"/>
  <c r="W64" i="17"/>
  <c r="X158" i="17"/>
  <c r="W49" i="17"/>
  <c r="X51" i="17"/>
  <c r="W61" i="17"/>
  <c r="X80" i="17"/>
  <c r="X59" i="17"/>
  <c r="X172" i="17"/>
  <c r="X171" i="17" s="1"/>
  <c r="W126" i="17"/>
  <c r="W113" i="17"/>
  <c r="X45" i="17"/>
  <c r="X31" i="17"/>
  <c r="X115" i="17"/>
  <c r="W66" i="17"/>
  <c r="X159" i="17"/>
  <c r="X46" i="17"/>
  <c r="X76" i="17"/>
  <c r="X69" i="17"/>
  <c r="X60" i="17"/>
  <c r="W143" i="17"/>
  <c r="W147" i="17"/>
  <c r="X132" i="17"/>
  <c r="W44" i="17"/>
  <c r="W47" i="17"/>
  <c r="W73" i="17"/>
  <c r="W29" i="17"/>
  <c r="W168" i="17"/>
  <c r="W167" i="17" s="1"/>
  <c r="W131" i="17"/>
  <c r="W34" i="17"/>
  <c r="W41" i="17"/>
  <c r="W37" i="17"/>
  <c r="W157" i="17"/>
  <c r="X71" i="17"/>
  <c r="X144" i="17"/>
  <c r="X161" i="17"/>
  <c r="W133" i="17"/>
  <c r="W122" i="17"/>
  <c r="X119" i="17"/>
  <c r="W148" i="17"/>
  <c r="W40" i="17"/>
  <c r="W32" i="17"/>
  <c r="X137" i="17"/>
  <c r="T50" i="17"/>
  <c r="T63" i="17"/>
  <c r="X118" i="17"/>
  <c r="X123" i="17"/>
  <c r="W163" i="17"/>
  <c r="X136" i="17"/>
  <c r="X116" i="17"/>
  <c r="W120" i="17"/>
  <c r="X121" i="17"/>
  <c r="X140" i="17"/>
  <c r="X117" i="17"/>
  <c r="W79" i="17"/>
  <c r="W35" i="17"/>
  <c r="W27" i="17"/>
  <c r="X43" i="17"/>
  <c r="X75" i="17"/>
  <c r="X39" i="17"/>
  <c r="W77" i="17"/>
  <c r="T162" i="17"/>
  <c r="X163" i="17" l="1"/>
  <c r="X162" i="17" s="1"/>
  <c r="W50" i="17"/>
  <c r="W155" i="17"/>
  <c r="X155" i="17"/>
  <c r="W22" i="17"/>
  <c r="C1" i="20" s="1"/>
  <c r="X124" i="17"/>
  <c r="X112" i="17"/>
  <c r="X30" i="17"/>
  <c r="X63" i="17"/>
  <c r="X50" i="17"/>
  <c r="W124" i="17"/>
  <c r="W63" i="17"/>
  <c r="W30" i="17"/>
  <c r="W162" i="17"/>
  <c r="W112" i="17"/>
  <c r="N632" i="17"/>
  <c r="N640" i="17" s="1"/>
  <c r="N669" i="17"/>
  <c r="W154" i="17" l="1"/>
  <c r="X154" i="17"/>
  <c r="X21" i="17"/>
  <c r="W21" i="17"/>
  <c r="N648" i="17"/>
  <c r="N644" i="17"/>
  <c r="N636" i="17"/>
  <c r="N628" i="17"/>
  <c r="N631" i="17"/>
  <c r="N630" i="17"/>
  <c r="N629" i="17"/>
  <c r="N627" i="17"/>
  <c r="N626" i="17"/>
  <c r="N586" i="17"/>
  <c r="V587" i="17"/>
  <c r="N481" i="17" l="1"/>
  <c r="N485" i="17" l="1"/>
  <c r="M232" i="17" l="1"/>
  <c r="N223" i="17"/>
  <c r="N224" i="17" s="1"/>
  <c r="N193" i="17"/>
  <c r="Y193" i="17" s="1"/>
  <c r="O193" i="17"/>
  <c r="N190" i="17"/>
  <c r="Y190" i="17" s="1"/>
  <c r="O190" i="17"/>
  <c r="N177" i="17"/>
  <c r="Y177" i="17" s="1"/>
  <c r="O177" i="17"/>
  <c r="O179" i="17"/>
  <c r="N179" i="17"/>
  <c r="Y179" i="17" s="1"/>
  <c r="O185" i="17"/>
  <c r="N185" i="17"/>
  <c r="Y185" i="17" s="1"/>
  <c r="N176" i="17" l="1"/>
  <c r="Y176" i="17" s="1"/>
  <c r="O176" i="17"/>
  <c r="V188" i="17"/>
  <c r="N356" i="17"/>
  <c r="N385" i="17"/>
  <c r="N370" i="17"/>
  <c r="Y370" i="17" s="1"/>
  <c r="N374" i="17"/>
  <c r="Y374" i="17" s="1"/>
  <c r="N382" i="17"/>
  <c r="Y382" i="17" s="1"/>
  <c r="L685" i="17"/>
  <c r="P685" i="17" s="1"/>
  <c r="S685" i="17" s="1"/>
  <c r="L684" i="17"/>
  <c r="P684" i="17" s="1"/>
  <c r="S684" i="17" s="1"/>
  <c r="L683" i="17"/>
  <c r="P683" i="17" s="1"/>
  <c r="S683" i="17" s="1"/>
  <c r="L682" i="17"/>
  <c r="P682" i="17" s="1"/>
  <c r="S682" i="17" s="1"/>
  <c r="L681" i="17"/>
  <c r="P681" i="17" s="1"/>
  <c r="S681" i="17" s="1"/>
  <c r="L680" i="17"/>
  <c r="P680" i="17" s="1"/>
  <c r="S680" i="17" s="1"/>
  <c r="L679" i="17"/>
  <c r="P679" i="17" s="1"/>
  <c r="S679" i="17" s="1"/>
  <c r="L678" i="17"/>
  <c r="P678" i="17" s="1"/>
  <c r="S678" i="17" s="1"/>
  <c r="L677" i="17"/>
  <c r="P677" i="17" s="1"/>
  <c r="S677" i="17" s="1"/>
  <c r="L676" i="17"/>
  <c r="P676" i="17" s="1"/>
  <c r="S676" i="17" s="1"/>
  <c r="L675" i="17"/>
  <c r="P675" i="17" s="1"/>
  <c r="L674" i="17"/>
  <c r="L673" i="17"/>
  <c r="L671" i="17"/>
  <c r="L672" i="17"/>
  <c r="L670" i="17"/>
  <c r="L669" i="17"/>
  <c r="L668" i="17"/>
  <c r="L667" i="17"/>
  <c r="L666" i="17"/>
  <c r="L665" i="17"/>
  <c r="P665" i="17" s="1"/>
  <c r="S665" i="17" s="1"/>
  <c r="L664" i="17"/>
  <c r="L663" i="17"/>
  <c r="L662" i="17"/>
  <c r="P662" i="17" s="1"/>
  <c r="S662" i="17" s="1"/>
  <c r="L661" i="17"/>
  <c r="L660" i="17"/>
  <c r="P660" i="17" s="1"/>
  <c r="S660" i="17" s="1"/>
  <c r="L659" i="17"/>
  <c r="L658" i="17"/>
  <c r="L657" i="17"/>
  <c r="L656" i="17"/>
  <c r="L655" i="17"/>
  <c r="L654" i="17"/>
  <c r="L653" i="17"/>
  <c r="L652" i="17"/>
  <c r="L651" i="17"/>
  <c r="L650" i="17"/>
  <c r="L649" i="17"/>
  <c r="L648" i="17"/>
  <c r="L647" i="17"/>
  <c r="L646" i="17"/>
  <c r="L645" i="17"/>
  <c r="L644" i="17"/>
  <c r="L643" i="17"/>
  <c r="L642" i="17"/>
  <c r="L641" i="17"/>
  <c r="L640" i="17"/>
  <c r="L639" i="17"/>
  <c r="L638" i="17"/>
  <c r="L637" i="17"/>
  <c r="L636" i="17"/>
  <c r="L635" i="17"/>
  <c r="L634" i="17"/>
  <c r="L633" i="17"/>
  <c r="L632" i="17"/>
  <c r="L631" i="17"/>
  <c r="L630" i="17"/>
  <c r="L629" i="17"/>
  <c r="L628" i="17"/>
  <c r="L627" i="17"/>
  <c r="L626" i="17"/>
  <c r="L625" i="17"/>
  <c r="L624" i="17"/>
  <c r="L623" i="17"/>
  <c r="L622" i="17"/>
  <c r="L621" i="17"/>
  <c r="L620" i="17"/>
  <c r="L619" i="17"/>
  <c r="L618" i="17"/>
  <c r="L617" i="17"/>
  <c r="L616" i="17"/>
  <c r="L615" i="17"/>
  <c r="L614" i="17"/>
  <c r="L613" i="17"/>
  <c r="L612" i="17"/>
  <c r="L611" i="17"/>
  <c r="L610" i="17"/>
  <c r="L609" i="17"/>
  <c r="L608" i="17"/>
  <c r="L607" i="17"/>
  <c r="L606" i="17"/>
  <c r="L605" i="17"/>
  <c r="L604" i="17"/>
  <c r="L603" i="17"/>
  <c r="L602" i="17"/>
  <c r="L601" i="17"/>
  <c r="L600" i="17"/>
  <c r="L599" i="17"/>
  <c r="L598" i="17"/>
  <c r="L597" i="17"/>
  <c r="L596" i="17"/>
  <c r="L595" i="17"/>
  <c r="L594" i="17"/>
  <c r="L593" i="17"/>
  <c r="L592" i="17"/>
  <c r="L591" i="17"/>
  <c r="L587" i="17"/>
  <c r="L590" i="17"/>
  <c r="L588" i="17"/>
  <c r="L589" i="17"/>
  <c r="L586" i="17"/>
  <c r="L585" i="17"/>
  <c r="L584" i="17"/>
  <c r="L583" i="17"/>
  <c r="L582" i="17"/>
  <c r="L581" i="17"/>
  <c r="P581" i="17" s="1"/>
  <c r="L580" i="17"/>
  <c r="L579" i="17"/>
  <c r="P579" i="17" s="1"/>
  <c r="L578" i="17"/>
  <c r="L577" i="17"/>
  <c r="P577" i="17" s="1"/>
  <c r="L576" i="17"/>
  <c r="L575" i="17"/>
  <c r="P575" i="17" s="1"/>
  <c r="L574" i="17"/>
  <c r="L573" i="17"/>
  <c r="P573" i="17" s="1"/>
  <c r="S573" i="17" s="1"/>
  <c r="L572" i="17"/>
  <c r="P572" i="17" s="1"/>
  <c r="S572" i="17" s="1"/>
  <c r="L571" i="17"/>
  <c r="P571" i="17" s="1"/>
  <c r="S571" i="17" s="1"/>
  <c r="L570" i="17"/>
  <c r="P570" i="17" s="1"/>
  <c r="S570" i="17" s="1"/>
  <c r="L569" i="17"/>
  <c r="P569" i="17" s="1"/>
  <c r="S569" i="17" s="1"/>
  <c r="L568" i="17"/>
  <c r="P568" i="17" s="1"/>
  <c r="S568" i="17" s="1"/>
  <c r="L567" i="17"/>
  <c r="P567" i="17" s="1"/>
  <c r="S567" i="17" s="1"/>
  <c r="L566" i="17"/>
  <c r="P566" i="17" s="1"/>
  <c r="S566" i="17" s="1"/>
  <c r="L565" i="17"/>
  <c r="P565" i="17" s="1"/>
  <c r="S565" i="17" s="1"/>
  <c r="L564" i="17"/>
  <c r="P564" i="17" s="1"/>
  <c r="S564" i="17" s="1"/>
  <c r="L563" i="17"/>
  <c r="P563" i="17" s="1"/>
  <c r="S563" i="17" s="1"/>
  <c r="L562" i="17"/>
  <c r="P562" i="17" s="1"/>
  <c r="S562" i="17" s="1"/>
  <c r="L561" i="17"/>
  <c r="P561" i="17" s="1"/>
  <c r="S561" i="17" s="1"/>
  <c r="L560" i="17"/>
  <c r="P560" i="17" s="1"/>
  <c r="S560" i="17" s="1"/>
  <c r="L559" i="17"/>
  <c r="P559" i="17" s="1"/>
  <c r="S559" i="17" s="1"/>
  <c r="L558" i="17"/>
  <c r="P558" i="17" s="1"/>
  <c r="S558" i="17" s="1"/>
  <c r="L557" i="17"/>
  <c r="L556" i="17"/>
  <c r="P556" i="17" s="1"/>
  <c r="L555" i="17"/>
  <c r="L554" i="17"/>
  <c r="P554" i="17" s="1"/>
  <c r="S554" i="17" s="1"/>
  <c r="L553" i="17"/>
  <c r="P553" i="17" s="1"/>
  <c r="S553" i="17" s="1"/>
  <c r="L552" i="17"/>
  <c r="P552" i="17" s="1"/>
  <c r="S552" i="17" s="1"/>
  <c r="L551" i="17"/>
  <c r="L550" i="17"/>
  <c r="L547" i="17"/>
  <c r="L546" i="17"/>
  <c r="L545" i="17"/>
  <c r="L544" i="17"/>
  <c r="L543" i="17"/>
  <c r="L542" i="17"/>
  <c r="P542" i="17" s="1"/>
  <c r="L541" i="17"/>
  <c r="L540" i="17"/>
  <c r="L539" i="17"/>
  <c r="L538" i="17"/>
  <c r="L537" i="17"/>
  <c r="L536" i="17"/>
  <c r="L535" i="17"/>
  <c r="L534" i="17"/>
  <c r="L533" i="17"/>
  <c r="L532" i="17"/>
  <c r="L531" i="17"/>
  <c r="L530" i="17"/>
  <c r="L529" i="17"/>
  <c r="L528" i="17"/>
  <c r="L527" i="17"/>
  <c r="L526" i="17"/>
  <c r="L525" i="17"/>
  <c r="L524" i="17"/>
  <c r="L523" i="17"/>
  <c r="L522" i="17"/>
  <c r="R522" i="17" s="1"/>
  <c r="L521" i="17"/>
  <c r="P521" i="17" s="1"/>
  <c r="S521" i="17" s="1"/>
  <c r="L520" i="17"/>
  <c r="P520" i="17" s="1"/>
  <c r="S520" i="17" s="1"/>
  <c r="L519" i="17"/>
  <c r="P519" i="17" s="1"/>
  <c r="S519" i="17" s="1"/>
  <c r="L518" i="17"/>
  <c r="P518" i="17" s="1"/>
  <c r="S518" i="17" s="1"/>
  <c r="L517" i="17"/>
  <c r="P517" i="17" s="1"/>
  <c r="S517" i="17" s="1"/>
  <c r="L516" i="17"/>
  <c r="L515" i="17"/>
  <c r="P515" i="17" s="1"/>
  <c r="S515" i="17" s="1"/>
  <c r="L514" i="17"/>
  <c r="P514" i="17" s="1"/>
  <c r="S514" i="17" s="1"/>
  <c r="L513" i="17"/>
  <c r="P513" i="17" s="1"/>
  <c r="L512" i="17"/>
  <c r="R512" i="17" s="1"/>
  <c r="L511" i="17"/>
  <c r="P511" i="17" s="1"/>
  <c r="S511" i="17" s="1"/>
  <c r="L510" i="17"/>
  <c r="R510" i="17" s="1"/>
  <c r="L509" i="17"/>
  <c r="R509" i="17" s="1"/>
  <c r="L508" i="17"/>
  <c r="R508" i="17" s="1"/>
  <c r="L507" i="17"/>
  <c r="L506" i="17"/>
  <c r="R506" i="17" s="1"/>
  <c r="L505" i="17"/>
  <c r="L504" i="17"/>
  <c r="P504" i="17" s="1"/>
  <c r="S504" i="17" s="1"/>
  <c r="L503" i="17"/>
  <c r="R503" i="17" s="1"/>
  <c r="L502" i="17"/>
  <c r="P502" i="17" s="1"/>
  <c r="S502" i="17" s="1"/>
  <c r="L501" i="17"/>
  <c r="R501" i="17" s="1"/>
  <c r="L500" i="17"/>
  <c r="L499" i="17"/>
  <c r="L498" i="17"/>
  <c r="L497" i="17"/>
  <c r="R497" i="17" s="1"/>
  <c r="L496" i="17"/>
  <c r="P496" i="17" s="1"/>
  <c r="L495" i="17"/>
  <c r="P495" i="17" s="1"/>
  <c r="S495" i="17" s="1"/>
  <c r="L494" i="17"/>
  <c r="P494" i="17" s="1"/>
  <c r="S494" i="17" s="1"/>
  <c r="L493" i="17"/>
  <c r="P493" i="17" s="1"/>
  <c r="S493" i="17" s="1"/>
  <c r="L492" i="17"/>
  <c r="P492" i="17" s="1"/>
  <c r="S492" i="17" s="1"/>
  <c r="L491" i="17"/>
  <c r="L490" i="17"/>
  <c r="P490" i="17" s="1"/>
  <c r="S490" i="17" s="1"/>
  <c r="L489" i="17"/>
  <c r="P489" i="17" s="1"/>
  <c r="S489" i="17" s="1"/>
  <c r="L488" i="17"/>
  <c r="P488" i="17" s="1"/>
  <c r="L487" i="17"/>
  <c r="R487" i="17" s="1"/>
  <c r="L486" i="17"/>
  <c r="P486" i="17" s="1"/>
  <c r="S486" i="17" s="1"/>
  <c r="L485" i="17"/>
  <c r="R485" i="17" s="1"/>
  <c r="L484" i="17"/>
  <c r="R484" i="17" s="1"/>
  <c r="L483" i="17"/>
  <c r="R483" i="17" s="1"/>
  <c r="L482" i="17"/>
  <c r="L481" i="17"/>
  <c r="L480" i="17"/>
  <c r="L479" i="17"/>
  <c r="P479" i="17" s="1"/>
  <c r="S479" i="17" s="1"/>
  <c r="L478" i="17"/>
  <c r="R478" i="17" s="1"/>
  <c r="L477" i="17"/>
  <c r="P477" i="17" s="1"/>
  <c r="S477" i="17" s="1"/>
  <c r="L476" i="17"/>
  <c r="R476" i="17" s="1"/>
  <c r="L475" i="17"/>
  <c r="L474" i="17"/>
  <c r="L473" i="17"/>
  <c r="L472" i="17"/>
  <c r="R472" i="17" s="1"/>
  <c r="L471" i="17"/>
  <c r="L470" i="17"/>
  <c r="L469" i="17"/>
  <c r="L468" i="17"/>
  <c r="L467" i="17"/>
  <c r="L466" i="17"/>
  <c r="L465" i="17"/>
  <c r="L464" i="17"/>
  <c r="L463" i="17"/>
  <c r="L462" i="17"/>
  <c r="R462" i="17" s="1"/>
  <c r="P462" i="17" s="1"/>
  <c r="L461" i="17"/>
  <c r="L460" i="17"/>
  <c r="L459" i="17"/>
  <c r="R459" i="17" s="1"/>
  <c r="P459" i="17" s="1"/>
  <c r="L458" i="17"/>
  <c r="L457" i="17"/>
  <c r="R457" i="17" s="1"/>
  <c r="P457" i="17" s="1"/>
  <c r="L456" i="17"/>
  <c r="L455" i="17"/>
  <c r="R455" i="17" s="1"/>
  <c r="P455" i="17" s="1"/>
  <c r="L454" i="17"/>
  <c r="L453" i="17"/>
  <c r="L452" i="17"/>
  <c r="R452" i="17" s="1"/>
  <c r="L451" i="17"/>
  <c r="L450" i="17"/>
  <c r="L449" i="17"/>
  <c r="R449" i="17" s="1"/>
  <c r="L448" i="17"/>
  <c r="P448" i="17" s="1"/>
  <c r="S448" i="17" s="1"/>
  <c r="L447" i="17"/>
  <c r="P447" i="17" s="1"/>
  <c r="S447" i="17" s="1"/>
  <c r="L446" i="17"/>
  <c r="P446" i="17" s="1"/>
  <c r="S446" i="17" s="1"/>
  <c r="L445" i="17"/>
  <c r="P445" i="17" s="1"/>
  <c r="S445" i="17" s="1"/>
  <c r="L444" i="17"/>
  <c r="P444" i="17" s="1"/>
  <c r="S444" i="17" s="1"/>
  <c r="L443" i="17"/>
  <c r="L442" i="17"/>
  <c r="P442" i="17" s="1"/>
  <c r="S442" i="17" s="1"/>
  <c r="L441" i="17"/>
  <c r="P441" i="17" s="1"/>
  <c r="S441" i="17" s="1"/>
  <c r="L440" i="17"/>
  <c r="P440" i="17" s="1"/>
  <c r="S440" i="17" s="1"/>
  <c r="L439" i="17"/>
  <c r="L438" i="17"/>
  <c r="P438" i="17" s="1"/>
  <c r="S438" i="17" s="1"/>
  <c r="L437" i="17"/>
  <c r="R437" i="17" s="1"/>
  <c r="L436" i="17"/>
  <c r="L435" i="17"/>
  <c r="R435" i="17" s="1"/>
  <c r="L434" i="17"/>
  <c r="R434" i="17" s="1"/>
  <c r="L433" i="17"/>
  <c r="P433" i="17" s="1"/>
  <c r="S433" i="17" s="1"/>
  <c r="L432" i="17"/>
  <c r="R432" i="17" s="1"/>
  <c r="L431" i="17"/>
  <c r="P431" i="17" s="1"/>
  <c r="S431" i="17" s="1"/>
  <c r="L430" i="17"/>
  <c r="R430" i="17" s="1"/>
  <c r="L429" i="17"/>
  <c r="L428" i="17"/>
  <c r="L427" i="17"/>
  <c r="L426" i="17"/>
  <c r="L425" i="17"/>
  <c r="R425" i="17" s="1"/>
  <c r="L424" i="17"/>
  <c r="L423" i="17"/>
  <c r="L422" i="17"/>
  <c r="P422" i="17" s="1"/>
  <c r="S422" i="17" s="1"/>
  <c r="L421" i="17"/>
  <c r="P421" i="17" s="1"/>
  <c r="S421" i="17" s="1"/>
  <c r="L420" i="17"/>
  <c r="P420" i="17" s="1"/>
  <c r="S420" i="17" s="1"/>
  <c r="L419" i="17"/>
  <c r="P419" i="17" s="1"/>
  <c r="S419" i="17" s="1"/>
  <c r="L418" i="17"/>
  <c r="P418" i="17" s="1"/>
  <c r="S418" i="17" s="1"/>
  <c r="L417" i="17"/>
  <c r="P417" i="17" s="1"/>
  <c r="S417" i="17" s="1"/>
  <c r="L416" i="17"/>
  <c r="L415" i="17"/>
  <c r="L414" i="17"/>
  <c r="L413" i="17"/>
  <c r="R413" i="17" s="1"/>
  <c r="L412" i="17"/>
  <c r="L411" i="17"/>
  <c r="R411" i="17" s="1"/>
  <c r="L410" i="17"/>
  <c r="R410" i="17" s="1"/>
  <c r="L409" i="17"/>
  <c r="R409" i="17" s="1"/>
  <c r="L408" i="17"/>
  <c r="R408" i="17" s="1"/>
  <c r="L407" i="17"/>
  <c r="R407" i="17" s="1"/>
  <c r="L406" i="17"/>
  <c r="R406" i="17" s="1"/>
  <c r="L405" i="17"/>
  <c r="R405" i="17" s="1"/>
  <c r="L404" i="17"/>
  <c r="R404" i="17" s="1"/>
  <c r="L403" i="17"/>
  <c r="R403" i="17" s="1"/>
  <c r="L402" i="17"/>
  <c r="R402" i="17" s="1"/>
  <c r="L401" i="17"/>
  <c r="L400" i="17"/>
  <c r="L399" i="17"/>
  <c r="R399" i="17" s="1"/>
  <c r="L398" i="17"/>
  <c r="L397" i="17"/>
  <c r="R397" i="17" s="1"/>
  <c r="L396" i="17"/>
  <c r="L395" i="17"/>
  <c r="L394" i="17"/>
  <c r="L393" i="17"/>
  <c r="L392" i="17"/>
  <c r="L391" i="17"/>
  <c r="L390" i="17"/>
  <c r="L389" i="17"/>
  <c r="L388" i="17"/>
  <c r="L387" i="17"/>
  <c r="R387" i="17" s="1"/>
  <c r="L386" i="17"/>
  <c r="L385" i="17"/>
  <c r="L384" i="17"/>
  <c r="L383" i="17"/>
  <c r="L382" i="17"/>
  <c r="L381" i="17"/>
  <c r="R381" i="17" s="1"/>
  <c r="L380" i="17"/>
  <c r="R380" i="17" s="1"/>
  <c r="L379" i="17"/>
  <c r="L378" i="17"/>
  <c r="R378" i="17" s="1"/>
  <c r="L377" i="17"/>
  <c r="R377" i="17" s="1"/>
  <c r="L376" i="17"/>
  <c r="R376" i="17" s="1"/>
  <c r="L375" i="17"/>
  <c r="L374" i="17"/>
  <c r="L373" i="17"/>
  <c r="L372" i="17"/>
  <c r="L371" i="17"/>
  <c r="L370" i="17"/>
  <c r="L369" i="17"/>
  <c r="L368" i="17"/>
  <c r="L367" i="17"/>
  <c r="L366" i="17"/>
  <c r="L365" i="17"/>
  <c r="L364" i="17"/>
  <c r="R364" i="17" s="1"/>
  <c r="L363" i="17"/>
  <c r="L362" i="17"/>
  <c r="L361" i="17"/>
  <c r="L360" i="17"/>
  <c r="R360" i="17" s="1"/>
  <c r="L359" i="17"/>
  <c r="L358" i="17"/>
  <c r="L357" i="17"/>
  <c r="L356" i="17"/>
  <c r="L355" i="17"/>
  <c r="P355" i="17" s="1"/>
  <c r="S355" i="17" s="1"/>
  <c r="L354" i="17"/>
  <c r="L353" i="17"/>
  <c r="L352" i="17"/>
  <c r="L351" i="17"/>
  <c r="L350" i="17"/>
  <c r="L349" i="17"/>
  <c r="P349" i="17" s="1"/>
  <c r="S349" i="17" s="1"/>
  <c r="S348" i="17" s="1"/>
  <c r="L348" i="17"/>
  <c r="L347" i="17"/>
  <c r="P347" i="17" s="1"/>
  <c r="S347" i="17" s="1"/>
  <c r="L346" i="17"/>
  <c r="L345" i="17"/>
  <c r="P345" i="17" s="1"/>
  <c r="S345" i="17" s="1"/>
  <c r="L344" i="17"/>
  <c r="P344" i="17" s="1"/>
  <c r="S344" i="17" s="1"/>
  <c r="L343" i="17"/>
  <c r="P343" i="17" s="1"/>
  <c r="S343" i="17" s="1"/>
  <c r="L342" i="17"/>
  <c r="P342" i="17" s="1"/>
  <c r="S342" i="17" s="1"/>
  <c r="U355" i="17"/>
  <c r="V178" i="17"/>
  <c r="X178" i="17" s="1"/>
  <c r="X177" i="17" s="1"/>
  <c r="U178" i="17"/>
  <c r="V184" i="17"/>
  <c r="U184" i="17"/>
  <c r="Y184" i="17" s="1"/>
  <c r="V183" i="17"/>
  <c r="U183" i="17"/>
  <c r="Y183" i="17" s="1"/>
  <c r="V182" i="17"/>
  <c r="U182" i="17"/>
  <c r="Y182" i="17" s="1"/>
  <c r="V181" i="17"/>
  <c r="U181" i="17"/>
  <c r="Y181" i="17" s="1"/>
  <c r="V180" i="17"/>
  <c r="U180" i="17"/>
  <c r="Y180" i="17" s="1"/>
  <c r="V189" i="17"/>
  <c r="U189" i="17"/>
  <c r="Y189" i="17" s="1"/>
  <c r="U188" i="17"/>
  <c r="Y188" i="17" s="1"/>
  <c r="V187" i="17"/>
  <c r="U187" i="17"/>
  <c r="Y187" i="17" s="1"/>
  <c r="V186" i="17"/>
  <c r="U186" i="17"/>
  <c r="Y186" i="17" s="1"/>
  <c r="V192" i="17"/>
  <c r="U192" i="17"/>
  <c r="Y192" i="17" s="1"/>
  <c r="V191" i="17"/>
  <c r="U191" i="17"/>
  <c r="Y191" i="17" s="1"/>
  <c r="V194" i="17"/>
  <c r="U194" i="17"/>
  <c r="Y194" i="17" s="1"/>
  <c r="V198" i="17"/>
  <c r="U198" i="17"/>
  <c r="Y198" i="17" s="1"/>
  <c r="V197" i="17"/>
  <c r="U197" i="17"/>
  <c r="Y197" i="17" s="1"/>
  <c r="V208" i="17"/>
  <c r="V207" i="17"/>
  <c r="V206" i="17"/>
  <c r="V205" i="17"/>
  <c r="V204" i="17"/>
  <c r="V203" i="17"/>
  <c r="V202" i="17"/>
  <c r="V216" i="17"/>
  <c r="V215" i="17"/>
  <c r="V214" i="17"/>
  <c r="V213" i="17"/>
  <c r="V212" i="17"/>
  <c r="V211" i="17"/>
  <c r="V210" i="17"/>
  <c r="V220" i="17"/>
  <c r="V219" i="17"/>
  <c r="V227" i="17"/>
  <c r="V226" i="17"/>
  <c r="V225" i="17"/>
  <c r="V224" i="17"/>
  <c r="V223" i="17"/>
  <c r="V222" i="17"/>
  <c r="V230" i="17"/>
  <c r="V229" i="17"/>
  <c r="V233" i="17"/>
  <c r="V232" i="17"/>
  <c r="V240" i="17"/>
  <c r="V239" i="17"/>
  <c r="V238" i="17"/>
  <c r="V237" i="17"/>
  <c r="V236" i="17"/>
  <c r="V235" i="17"/>
  <c r="V245" i="17"/>
  <c r="V244" i="17"/>
  <c r="V243" i="17"/>
  <c r="V242" i="17"/>
  <c r="V259" i="17"/>
  <c r="V258" i="17"/>
  <c r="V256" i="17"/>
  <c r="V255" i="17"/>
  <c r="V254" i="17"/>
  <c r="V253" i="17"/>
  <c r="V252" i="17"/>
  <c r="V251" i="17"/>
  <c r="V250" i="17"/>
  <c r="V249" i="17"/>
  <c r="V248" i="17"/>
  <c r="V265" i="17"/>
  <c r="V264" i="17"/>
  <c r="V263" i="17"/>
  <c r="V262" i="17"/>
  <c r="V270" i="17"/>
  <c r="V269" i="17"/>
  <c r="V268" i="17"/>
  <c r="V267" i="17"/>
  <c r="V273" i="17"/>
  <c r="V272" i="17"/>
  <c r="V276" i="17"/>
  <c r="V275" i="17"/>
  <c r="V280" i="17"/>
  <c r="V279" i="17"/>
  <c r="V283" i="17"/>
  <c r="V282" i="17"/>
  <c r="V287" i="17"/>
  <c r="V286" i="17"/>
  <c r="V290" i="17"/>
  <c r="V289" i="17"/>
  <c r="V297" i="17"/>
  <c r="V296" i="17"/>
  <c r="V295" i="17"/>
  <c r="V294" i="17"/>
  <c r="V293" i="17"/>
  <c r="V303" i="17"/>
  <c r="V302" i="17"/>
  <c r="V301" i="17"/>
  <c r="V300" i="17"/>
  <c r="V309" i="17"/>
  <c r="V308" i="17"/>
  <c r="V307" i="17"/>
  <c r="V306" i="17"/>
  <c r="V305" i="17"/>
  <c r="V320" i="17"/>
  <c r="V319" i="17"/>
  <c r="V318" i="17"/>
  <c r="V317" i="17"/>
  <c r="V316" i="17"/>
  <c r="V315" i="17"/>
  <c r="V314" i="17"/>
  <c r="V313" i="17"/>
  <c r="V326" i="17"/>
  <c r="V325" i="17"/>
  <c r="V324" i="17"/>
  <c r="V323" i="17"/>
  <c r="V322" i="17"/>
  <c r="V333" i="17"/>
  <c r="V332" i="17"/>
  <c r="V331" i="17"/>
  <c r="V330" i="17"/>
  <c r="V339" i="17"/>
  <c r="V338" i="17"/>
  <c r="V337" i="17"/>
  <c r="V336" i="17"/>
  <c r="V335" i="17"/>
  <c r="V345" i="17"/>
  <c r="V344" i="17"/>
  <c r="V343" i="17"/>
  <c r="V342" i="17"/>
  <c r="V341" i="17"/>
  <c r="V347" i="17"/>
  <c r="V349" i="17"/>
  <c r="V367" i="17"/>
  <c r="V366" i="17"/>
  <c r="V365" i="17"/>
  <c r="V364" i="17"/>
  <c r="V363" i="17"/>
  <c r="V362" i="17"/>
  <c r="V361" i="17"/>
  <c r="V360" i="17"/>
  <c r="V359" i="17"/>
  <c r="V358" i="17"/>
  <c r="V357" i="17"/>
  <c r="V373" i="17"/>
  <c r="V372" i="17"/>
  <c r="V371" i="17"/>
  <c r="V381" i="17"/>
  <c r="V380" i="17"/>
  <c r="V379" i="17"/>
  <c r="V378" i="17"/>
  <c r="V377" i="17"/>
  <c r="V376" i="17"/>
  <c r="V375" i="17"/>
  <c r="V383" i="17"/>
  <c r="V387" i="17"/>
  <c r="V386" i="17"/>
  <c r="V414" i="17"/>
  <c r="V413" i="17"/>
  <c r="V411" i="17"/>
  <c r="V410" i="17"/>
  <c r="V409" i="17"/>
  <c r="V408" i="17"/>
  <c r="V407" i="17"/>
  <c r="V406" i="17"/>
  <c r="V405" i="17"/>
  <c r="V404" i="17"/>
  <c r="V403" i="17"/>
  <c r="V402" i="17"/>
  <c r="V400" i="17"/>
  <c r="V399" i="17"/>
  <c r="V398" i="17"/>
  <c r="V397" i="17"/>
  <c r="V395" i="17"/>
  <c r="V394" i="17"/>
  <c r="V425" i="17"/>
  <c r="V423" i="17"/>
  <c r="V422" i="17"/>
  <c r="V421" i="17"/>
  <c r="V420" i="17"/>
  <c r="V419" i="17"/>
  <c r="V418" i="17"/>
  <c r="V417" i="17"/>
  <c r="V416" i="17"/>
  <c r="V685" i="17"/>
  <c r="V684" i="17"/>
  <c r="V683" i="17"/>
  <c r="V682" i="17"/>
  <c r="V681" i="17"/>
  <c r="V680" i="17"/>
  <c r="V679" i="17"/>
  <c r="V678" i="17"/>
  <c r="V677" i="17"/>
  <c r="V676" i="17"/>
  <c r="V675" i="17"/>
  <c r="V673" i="17"/>
  <c r="V671" i="17"/>
  <c r="V672" i="17"/>
  <c r="V670" i="17"/>
  <c r="V669" i="17"/>
  <c r="V668" i="17"/>
  <c r="V667" i="17"/>
  <c r="V665" i="17"/>
  <c r="V664" i="17"/>
  <c r="V663" i="17"/>
  <c r="V662" i="17"/>
  <c r="V661" i="17"/>
  <c r="V660" i="17"/>
  <c r="V659" i="17"/>
  <c r="V658" i="17"/>
  <c r="V657" i="17"/>
  <c r="V656" i="17"/>
  <c r="V655" i="17"/>
  <c r="V654" i="17"/>
  <c r="V653" i="17"/>
  <c r="V652" i="17"/>
  <c r="V651" i="17"/>
  <c r="V650" i="17"/>
  <c r="V648" i="17"/>
  <c r="V647" i="17"/>
  <c r="V646" i="17"/>
  <c r="V645" i="17"/>
  <c r="V644" i="17"/>
  <c r="V643" i="17"/>
  <c r="V642" i="17"/>
  <c r="V640" i="17"/>
  <c r="V639" i="17"/>
  <c r="V638" i="17"/>
  <c r="V637" i="17"/>
  <c r="V636" i="17"/>
  <c r="V635" i="17"/>
  <c r="V634" i="17"/>
  <c r="V632" i="17"/>
  <c r="V631" i="17"/>
  <c r="V630" i="17"/>
  <c r="V629" i="17"/>
  <c r="V628" i="17"/>
  <c r="V627" i="17"/>
  <c r="V626" i="17"/>
  <c r="V623" i="17"/>
  <c r="V622" i="17"/>
  <c r="V621" i="17"/>
  <c r="V620" i="17"/>
  <c r="V619" i="17"/>
  <c r="V618" i="17"/>
  <c r="V617" i="17"/>
  <c r="V615" i="17"/>
  <c r="V614" i="17"/>
  <c r="V613" i="17"/>
  <c r="V612" i="17"/>
  <c r="V611" i="17"/>
  <c r="V610" i="17"/>
  <c r="V609" i="17"/>
  <c r="V607" i="17"/>
  <c r="V606" i="17"/>
  <c r="V605" i="17"/>
  <c r="V604" i="17"/>
  <c r="V603" i="17"/>
  <c r="V602" i="17"/>
  <c r="V601" i="17"/>
  <c r="V599" i="17"/>
  <c r="V598" i="17"/>
  <c r="V597" i="17"/>
  <c r="V596" i="17"/>
  <c r="V595" i="17"/>
  <c r="V594" i="17"/>
  <c r="V593" i="17"/>
  <c r="V590" i="17"/>
  <c r="V588" i="17"/>
  <c r="V589" i="17"/>
  <c r="V586" i="17"/>
  <c r="V585" i="17"/>
  <c r="V584" i="17"/>
  <c r="V581" i="17"/>
  <c r="V579" i="17"/>
  <c r="V577" i="17"/>
  <c r="V575" i="17"/>
  <c r="V573" i="17"/>
  <c r="V572" i="17"/>
  <c r="V571" i="17"/>
  <c r="V570" i="17"/>
  <c r="V569" i="17"/>
  <c r="V568" i="17"/>
  <c r="V567" i="17"/>
  <c r="V566" i="17"/>
  <c r="V565" i="17"/>
  <c r="V564" i="17"/>
  <c r="V563" i="17"/>
  <c r="V562" i="17"/>
  <c r="V561" i="17"/>
  <c r="V560" i="17"/>
  <c r="V559" i="17"/>
  <c r="V558" i="17"/>
  <c r="V556" i="17"/>
  <c r="V554" i="17"/>
  <c r="V553" i="17"/>
  <c r="V552" i="17"/>
  <c r="V547" i="17"/>
  <c r="V546" i="17"/>
  <c r="V545" i="17"/>
  <c r="V544" i="17"/>
  <c r="V543" i="17"/>
  <c r="V542" i="17"/>
  <c r="V540" i="17"/>
  <c r="V539" i="17"/>
  <c r="V538" i="17"/>
  <c r="V537" i="17"/>
  <c r="V536" i="17"/>
  <c r="V535" i="17"/>
  <c r="V534" i="17"/>
  <c r="V533" i="17"/>
  <c r="V532" i="17"/>
  <c r="V531" i="17"/>
  <c r="V530" i="17"/>
  <c r="V529" i="17"/>
  <c r="V528" i="17"/>
  <c r="V527" i="17"/>
  <c r="V526" i="17"/>
  <c r="V525" i="17"/>
  <c r="V522" i="17"/>
  <c r="V521" i="17"/>
  <c r="V520" i="17"/>
  <c r="V519" i="17"/>
  <c r="V518" i="17"/>
  <c r="V517" i="17"/>
  <c r="V515" i="17"/>
  <c r="V514" i="17"/>
  <c r="V513" i="17"/>
  <c r="V512" i="17"/>
  <c r="V511" i="17"/>
  <c r="V510" i="17"/>
  <c r="V509" i="17"/>
  <c r="V508" i="17"/>
  <c r="V507" i="17"/>
  <c r="V506" i="17"/>
  <c r="V505" i="17"/>
  <c r="V504" i="17"/>
  <c r="V503" i="17"/>
  <c r="V502" i="17"/>
  <c r="V501" i="17"/>
  <c r="V500" i="17"/>
  <c r="V497" i="17"/>
  <c r="V496" i="17"/>
  <c r="V495" i="17"/>
  <c r="V494" i="17"/>
  <c r="V493" i="17"/>
  <c r="V492" i="17"/>
  <c r="V490" i="17"/>
  <c r="V489" i="17"/>
  <c r="V488" i="17"/>
  <c r="V487" i="17"/>
  <c r="V486" i="17"/>
  <c r="V485" i="17"/>
  <c r="V484" i="17"/>
  <c r="V483" i="17"/>
  <c r="V482" i="17"/>
  <c r="V481" i="17"/>
  <c r="V480" i="17"/>
  <c r="V479" i="17"/>
  <c r="V478" i="17"/>
  <c r="V477" i="17"/>
  <c r="V476" i="17"/>
  <c r="V475" i="17"/>
  <c r="V472" i="17"/>
  <c r="V471" i="17"/>
  <c r="V470" i="17"/>
  <c r="V469" i="17"/>
  <c r="V468" i="17"/>
  <c r="V467" i="17"/>
  <c r="V465" i="17"/>
  <c r="V464" i="17"/>
  <c r="V463" i="17"/>
  <c r="V462" i="17"/>
  <c r="V461" i="17"/>
  <c r="V460" i="17"/>
  <c r="V459" i="17"/>
  <c r="V458" i="17"/>
  <c r="V457" i="17"/>
  <c r="V456" i="17"/>
  <c r="V455" i="17"/>
  <c r="V454" i="17"/>
  <c r="V453" i="17"/>
  <c r="V452" i="17"/>
  <c r="V449" i="17"/>
  <c r="V448" i="17"/>
  <c r="V447" i="17"/>
  <c r="V446" i="17"/>
  <c r="V445" i="17"/>
  <c r="V444" i="17"/>
  <c r="V442" i="17"/>
  <c r="V441" i="17"/>
  <c r="V440" i="17"/>
  <c r="V439" i="17"/>
  <c r="V438" i="17"/>
  <c r="V437" i="17"/>
  <c r="V436" i="17"/>
  <c r="V435" i="17"/>
  <c r="V434" i="17"/>
  <c r="V432" i="17"/>
  <c r="V431" i="17"/>
  <c r="V430" i="17"/>
  <c r="V429" i="17"/>
  <c r="V433" i="17"/>
  <c r="U685" i="17"/>
  <c r="Y685" i="17" s="1"/>
  <c r="U684" i="17"/>
  <c r="Y684" i="17" s="1"/>
  <c r="U683" i="17"/>
  <c r="Y683" i="17" s="1"/>
  <c r="U682" i="17"/>
  <c r="Y682" i="17" s="1"/>
  <c r="U681" i="17"/>
  <c r="Y681" i="17" s="1"/>
  <c r="U680" i="17"/>
  <c r="Y680" i="17" s="1"/>
  <c r="U679" i="17"/>
  <c r="Y679" i="17" s="1"/>
  <c r="U678" i="17"/>
  <c r="Y678" i="17" s="1"/>
  <c r="U677" i="17"/>
  <c r="Y677" i="17" s="1"/>
  <c r="U676" i="17"/>
  <c r="Y676" i="17" s="1"/>
  <c r="U675" i="17"/>
  <c r="Y675" i="17" s="1"/>
  <c r="U673" i="17"/>
  <c r="Y673" i="17" s="1"/>
  <c r="U671" i="17"/>
  <c r="Y671" i="17" s="1"/>
  <c r="U672" i="17"/>
  <c r="Y672" i="17" s="1"/>
  <c r="U670" i="17"/>
  <c r="Y670" i="17" s="1"/>
  <c r="U669" i="17"/>
  <c r="Y669" i="17" s="1"/>
  <c r="U668" i="17"/>
  <c r="Y668" i="17" s="1"/>
  <c r="U667" i="17"/>
  <c r="Y667" i="17" s="1"/>
  <c r="U665" i="17"/>
  <c r="Y665" i="17" s="1"/>
  <c r="U664" i="17"/>
  <c r="Y664" i="17" s="1"/>
  <c r="U663" i="17"/>
  <c r="Y663" i="17" s="1"/>
  <c r="U662" i="17"/>
  <c r="Y662" i="17" s="1"/>
  <c r="U661" i="17"/>
  <c r="Y661" i="17" s="1"/>
  <c r="U660" i="17"/>
  <c r="Y660" i="17" s="1"/>
  <c r="U659" i="17"/>
  <c r="Y659" i="17" s="1"/>
  <c r="U658" i="17"/>
  <c r="Y658" i="17" s="1"/>
  <c r="U657" i="17"/>
  <c r="Y657" i="17" s="1"/>
  <c r="U656" i="17"/>
  <c r="Y656" i="17" s="1"/>
  <c r="U655" i="17"/>
  <c r="Y655" i="17" s="1"/>
  <c r="U654" i="17"/>
  <c r="Y654" i="17" s="1"/>
  <c r="U653" i="17"/>
  <c r="Y653" i="17" s="1"/>
  <c r="U652" i="17"/>
  <c r="Y652" i="17" s="1"/>
  <c r="U651" i="17"/>
  <c r="Y651" i="17" s="1"/>
  <c r="U650" i="17"/>
  <c r="Y650" i="17" s="1"/>
  <c r="U648" i="17"/>
  <c r="Y648" i="17" s="1"/>
  <c r="U647" i="17"/>
  <c r="Y647" i="17" s="1"/>
  <c r="U646" i="17"/>
  <c r="Y646" i="17" s="1"/>
  <c r="U645" i="17"/>
  <c r="Y645" i="17" s="1"/>
  <c r="U644" i="17"/>
  <c r="Y644" i="17" s="1"/>
  <c r="U643" i="17"/>
  <c r="Y643" i="17" s="1"/>
  <c r="U642" i="17"/>
  <c r="Y642" i="17" s="1"/>
  <c r="U640" i="17"/>
  <c r="Y640" i="17" s="1"/>
  <c r="U639" i="17"/>
  <c r="Y639" i="17" s="1"/>
  <c r="U638" i="17"/>
  <c r="Y638" i="17" s="1"/>
  <c r="U637" i="17"/>
  <c r="Y637" i="17" s="1"/>
  <c r="U636" i="17"/>
  <c r="Y636" i="17" s="1"/>
  <c r="U635" i="17"/>
  <c r="Y635" i="17" s="1"/>
  <c r="U634" i="17"/>
  <c r="Y634" i="17" s="1"/>
  <c r="U632" i="17"/>
  <c r="Y632" i="17" s="1"/>
  <c r="U631" i="17"/>
  <c r="Y631" i="17" s="1"/>
  <c r="U630" i="17"/>
  <c r="Y630" i="17" s="1"/>
  <c r="U629" i="17"/>
  <c r="Y629" i="17" s="1"/>
  <c r="U628" i="17"/>
  <c r="Y628" i="17" s="1"/>
  <c r="U627" i="17"/>
  <c r="Y627" i="17" s="1"/>
  <c r="U626" i="17"/>
  <c r="Y626" i="17" s="1"/>
  <c r="U623" i="17"/>
  <c r="Y623" i="17" s="1"/>
  <c r="U622" i="17"/>
  <c r="Y622" i="17" s="1"/>
  <c r="U621" i="17"/>
  <c r="Y621" i="17" s="1"/>
  <c r="U620" i="17"/>
  <c r="Y620" i="17" s="1"/>
  <c r="U619" i="17"/>
  <c r="Y619" i="17" s="1"/>
  <c r="U618" i="17"/>
  <c r="Y618" i="17" s="1"/>
  <c r="U617" i="17"/>
  <c r="Y617" i="17" s="1"/>
  <c r="U615" i="17"/>
  <c r="Y615" i="17" s="1"/>
  <c r="U614" i="17"/>
  <c r="Y614" i="17" s="1"/>
  <c r="U613" i="17"/>
  <c r="Y613" i="17" s="1"/>
  <c r="U612" i="17"/>
  <c r="Y612" i="17" s="1"/>
  <c r="U611" i="17"/>
  <c r="Y611" i="17" s="1"/>
  <c r="U610" i="17"/>
  <c r="Y610" i="17" s="1"/>
  <c r="U609" i="17"/>
  <c r="Y609" i="17" s="1"/>
  <c r="U607" i="17"/>
  <c r="Y607" i="17" s="1"/>
  <c r="U606" i="17"/>
  <c r="Y606" i="17" s="1"/>
  <c r="U605" i="17"/>
  <c r="Y605" i="17" s="1"/>
  <c r="U604" i="17"/>
  <c r="Y604" i="17" s="1"/>
  <c r="U603" i="17"/>
  <c r="Y603" i="17" s="1"/>
  <c r="U602" i="17"/>
  <c r="Y602" i="17" s="1"/>
  <c r="U601" i="17"/>
  <c r="Y601" i="17" s="1"/>
  <c r="U599" i="17"/>
  <c r="Y599" i="17" s="1"/>
  <c r="U598" i="17"/>
  <c r="Y598" i="17" s="1"/>
  <c r="U597" i="17"/>
  <c r="Y597" i="17" s="1"/>
  <c r="U596" i="17"/>
  <c r="Y596" i="17" s="1"/>
  <c r="U595" i="17"/>
  <c r="Y595" i="17" s="1"/>
  <c r="U594" i="17"/>
  <c r="Y594" i="17" s="1"/>
  <c r="U593" i="17"/>
  <c r="Y593" i="17" s="1"/>
  <c r="U590" i="17"/>
  <c r="Y590" i="17" s="1"/>
  <c r="U588" i="17"/>
  <c r="Y588" i="17" s="1"/>
  <c r="U589" i="17"/>
  <c r="Y589" i="17" s="1"/>
  <c r="U586" i="17"/>
  <c r="Y586" i="17" s="1"/>
  <c r="U585" i="17"/>
  <c r="Y585" i="17" s="1"/>
  <c r="U584" i="17"/>
  <c r="Y584" i="17" s="1"/>
  <c r="U581" i="17"/>
  <c r="Y581" i="17" s="1"/>
  <c r="U579" i="17"/>
  <c r="Y579" i="17" s="1"/>
  <c r="U577" i="17"/>
  <c r="Y577" i="17" s="1"/>
  <c r="U575" i="17"/>
  <c r="Y575" i="17" s="1"/>
  <c r="U572" i="17"/>
  <c r="Y572" i="17" s="1"/>
  <c r="U571" i="17"/>
  <c r="Y571" i="17" s="1"/>
  <c r="U570" i="17"/>
  <c r="Y570" i="17" s="1"/>
  <c r="U569" i="17"/>
  <c r="Y569" i="17" s="1"/>
  <c r="U568" i="17"/>
  <c r="Y568" i="17" s="1"/>
  <c r="U567" i="17"/>
  <c r="Y567" i="17" s="1"/>
  <c r="U566" i="17"/>
  <c r="Y566" i="17" s="1"/>
  <c r="U565" i="17"/>
  <c r="Y565" i="17" s="1"/>
  <c r="U564" i="17"/>
  <c r="Y564" i="17" s="1"/>
  <c r="U563" i="17"/>
  <c r="Y563" i="17" s="1"/>
  <c r="U562" i="17"/>
  <c r="Y562" i="17" s="1"/>
  <c r="U561" i="17"/>
  <c r="Y561" i="17" s="1"/>
  <c r="U560" i="17"/>
  <c r="Y560" i="17" s="1"/>
  <c r="U559" i="17"/>
  <c r="Y559" i="17" s="1"/>
  <c r="U558" i="17"/>
  <c r="Y558" i="17" s="1"/>
  <c r="U556" i="17"/>
  <c r="Y556" i="17" s="1"/>
  <c r="U554" i="17"/>
  <c r="Y554" i="17" s="1"/>
  <c r="U553" i="17"/>
  <c r="Y553" i="17" s="1"/>
  <c r="U552" i="17"/>
  <c r="Y552" i="17" s="1"/>
  <c r="U547" i="17"/>
  <c r="Y547" i="17" s="1"/>
  <c r="U546" i="17"/>
  <c r="Y546" i="17" s="1"/>
  <c r="U545" i="17"/>
  <c r="Y545" i="17" s="1"/>
  <c r="U544" i="17"/>
  <c r="Y544" i="17" s="1"/>
  <c r="U543" i="17"/>
  <c r="Y543" i="17" s="1"/>
  <c r="U542" i="17"/>
  <c r="Y542" i="17" s="1"/>
  <c r="U540" i="17"/>
  <c r="Y540" i="17" s="1"/>
  <c r="U539" i="17"/>
  <c r="Y539" i="17" s="1"/>
  <c r="U538" i="17"/>
  <c r="Y538" i="17" s="1"/>
  <c r="U537" i="17"/>
  <c r="Y537" i="17" s="1"/>
  <c r="U536" i="17"/>
  <c r="Y536" i="17" s="1"/>
  <c r="U535" i="17"/>
  <c r="Y535" i="17" s="1"/>
  <c r="U534" i="17"/>
  <c r="Y534" i="17" s="1"/>
  <c r="U533" i="17"/>
  <c r="Y533" i="17" s="1"/>
  <c r="U532" i="17"/>
  <c r="Y532" i="17" s="1"/>
  <c r="U531" i="17"/>
  <c r="Y531" i="17" s="1"/>
  <c r="U530" i="17"/>
  <c r="Y530" i="17" s="1"/>
  <c r="U529" i="17"/>
  <c r="Y529" i="17" s="1"/>
  <c r="U528" i="17"/>
  <c r="Y528" i="17" s="1"/>
  <c r="U527" i="17"/>
  <c r="Y527" i="17" s="1"/>
  <c r="U526" i="17"/>
  <c r="Y526" i="17" s="1"/>
  <c r="U525" i="17"/>
  <c r="Y525" i="17" s="1"/>
  <c r="U522" i="17"/>
  <c r="Y522" i="17" s="1"/>
  <c r="U521" i="17"/>
  <c r="Y521" i="17" s="1"/>
  <c r="U520" i="17"/>
  <c r="Y520" i="17" s="1"/>
  <c r="U519" i="17"/>
  <c r="Y519" i="17" s="1"/>
  <c r="U518" i="17"/>
  <c r="Y518" i="17" s="1"/>
  <c r="U517" i="17"/>
  <c r="Y517" i="17" s="1"/>
  <c r="U515" i="17"/>
  <c r="Y515" i="17" s="1"/>
  <c r="U514" i="17"/>
  <c r="Y514" i="17" s="1"/>
  <c r="U513" i="17"/>
  <c r="Y513" i="17" s="1"/>
  <c r="U512" i="17"/>
  <c r="Y512" i="17" s="1"/>
  <c r="U511" i="17"/>
  <c r="Y511" i="17" s="1"/>
  <c r="U510" i="17"/>
  <c r="Y510" i="17" s="1"/>
  <c r="U509" i="17"/>
  <c r="Y509" i="17" s="1"/>
  <c r="U508" i="17"/>
  <c r="Y508" i="17" s="1"/>
  <c r="U507" i="17"/>
  <c r="Y507" i="17" s="1"/>
  <c r="U506" i="17"/>
  <c r="Y506" i="17" s="1"/>
  <c r="U505" i="17"/>
  <c r="Y505" i="17" s="1"/>
  <c r="U504" i="17"/>
  <c r="Y504" i="17" s="1"/>
  <c r="U503" i="17"/>
  <c r="Y503" i="17" s="1"/>
  <c r="U502" i="17"/>
  <c r="Y502" i="17" s="1"/>
  <c r="U501" i="17"/>
  <c r="Y501" i="17" s="1"/>
  <c r="U500" i="17"/>
  <c r="Y500" i="17" s="1"/>
  <c r="U497" i="17"/>
  <c r="Y497" i="17" s="1"/>
  <c r="U496" i="17"/>
  <c r="Y496" i="17" s="1"/>
  <c r="U495" i="17"/>
  <c r="Y495" i="17" s="1"/>
  <c r="U494" i="17"/>
  <c r="Y494" i="17" s="1"/>
  <c r="U493" i="17"/>
  <c r="Y493" i="17" s="1"/>
  <c r="U492" i="17"/>
  <c r="Y492" i="17" s="1"/>
  <c r="U490" i="17"/>
  <c r="Y490" i="17" s="1"/>
  <c r="U489" i="17"/>
  <c r="Y489" i="17" s="1"/>
  <c r="U488" i="17"/>
  <c r="Y488" i="17" s="1"/>
  <c r="U487" i="17"/>
  <c r="Y487" i="17" s="1"/>
  <c r="U486" i="17"/>
  <c r="Y486" i="17" s="1"/>
  <c r="U485" i="17"/>
  <c r="Y485" i="17" s="1"/>
  <c r="U484" i="17"/>
  <c r="Y484" i="17" s="1"/>
  <c r="U483" i="17"/>
  <c r="Y483" i="17" s="1"/>
  <c r="U482" i="17"/>
  <c r="Y482" i="17" s="1"/>
  <c r="U481" i="17"/>
  <c r="Y481" i="17" s="1"/>
  <c r="U480" i="17"/>
  <c r="Y480" i="17" s="1"/>
  <c r="U479" i="17"/>
  <c r="Y479" i="17" s="1"/>
  <c r="U478" i="17"/>
  <c r="Y478" i="17" s="1"/>
  <c r="U477" i="17"/>
  <c r="Y477" i="17" s="1"/>
  <c r="U476" i="17"/>
  <c r="Y476" i="17" s="1"/>
  <c r="U475" i="17"/>
  <c r="Y475" i="17" s="1"/>
  <c r="U472" i="17"/>
  <c r="Y472" i="17" s="1"/>
  <c r="U471" i="17"/>
  <c r="Y471" i="17" s="1"/>
  <c r="U470" i="17"/>
  <c r="Y470" i="17" s="1"/>
  <c r="U469" i="17"/>
  <c r="Y469" i="17" s="1"/>
  <c r="U468" i="17"/>
  <c r="Y468" i="17" s="1"/>
  <c r="U467" i="17"/>
  <c r="Y467" i="17" s="1"/>
  <c r="U465" i="17"/>
  <c r="Y465" i="17" s="1"/>
  <c r="U464" i="17"/>
  <c r="Y464" i="17" s="1"/>
  <c r="U463" i="17"/>
  <c r="Y463" i="17" s="1"/>
  <c r="U462" i="17"/>
  <c r="Y462" i="17" s="1"/>
  <c r="U461" i="17"/>
  <c r="Y461" i="17" s="1"/>
  <c r="U460" i="17"/>
  <c r="Y460" i="17" s="1"/>
  <c r="U459" i="17"/>
  <c r="Y459" i="17" s="1"/>
  <c r="U458" i="17"/>
  <c r="Y458" i="17" s="1"/>
  <c r="U457" i="17"/>
  <c r="Y457" i="17" s="1"/>
  <c r="U456" i="17"/>
  <c r="Y456" i="17" s="1"/>
  <c r="U455" i="17"/>
  <c r="Y455" i="17" s="1"/>
  <c r="U454" i="17"/>
  <c r="Y454" i="17" s="1"/>
  <c r="U453" i="17"/>
  <c r="Y453" i="17" s="1"/>
  <c r="U452" i="17"/>
  <c r="Y452" i="17" s="1"/>
  <c r="U449" i="17"/>
  <c r="Y449" i="17" s="1"/>
  <c r="U448" i="17"/>
  <c r="Y448" i="17" s="1"/>
  <c r="U447" i="17"/>
  <c r="Y447" i="17" s="1"/>
  <c r="U446" i="17"/>
  <c r="Y446" i="17" s="1"/>
  <c r="U445" i="17"/>
  <c r="Y445" i="17" s="1"/>
  <c r="U444" i="17"/>
  <c r="Y444" i="17" s="1"/>
  <c r="U442" i="17"/>
  <c r="Y442" i="17" s="1"/>
  <c r="U441" i="17"/>
  <c r="Y441" i="17" s="1"/>
  <c r="U440" i="17"/>
  <c r="Y440" i="17" s="1"/>
  <c r="U439" i="17"/>
  <c r="Y439" i="17" s="1"/>
  <c r="U438" i="17"/>
  <c r="Y438" i="17" s="1"/>
  <c r="U437" i="17"/>
  <c r="Y437" i="17" s="1"/>
  <c r="U436" i="17"/>
  <c r="Y436" i="17" s="1"/>
  <c r="U435" i="17"/>
  <c r="Y435" i="17" s="1"/>
  <c r="U434" i="17"/>
  <c r="Y434" i="17" s="1"/>
  <c r="U433" i="17"/>
  <c r="Y433" i="17" s="1"/>
  <c r="U432" i="17"/>
  <c r="Y432" i="17" s="1"/>
  <c r="U431" i="17"/>
  <c r="Y431" i="17" s="1"/>
  <c r="U430" i="17"/>
  <c r="Y430" i="17" s="1"/>
  <c r="U429" i="17"/>
  <c r="Y429" i="17" s="1"/>
  <c r="U425" i="17"/>
  <c r="Y425" i="17" s="1"/>
  <c r="U423" i="17"/>
  <c r="Y423" i="17" s="1"/>
  <c r="U422" i="17"/>
  <c r="Y422" i="17" s="1"/>
  <c r="U421" i="17"/>
  <c r="Y421" i="17" s="1"/>
  <c r="U420" i="17"/>
  <c r="Y420" i="17" s="1"/>
  <c r="U419" i="17"/>
  <c r="Y419" i="17" s="1"/>
  <c r="U418" i="17"/>
  <c r="Y418" i="17" s="1"/>
  <c r="U417" i="17"/>
  <c r="Y417" i="17" s="1"/>
  <c r="U416" i="17"/>
  <c r="Y416" i="17" s="1"/>
  <c r="U414" i="17"/>
  <c r="Y414" i="17" s="1"/>
  <c r="U413" i="17"/>
  <c r="Y413" i="17" s="1"/>
  <c r="U411" i="17"/>
  <c r="Y411" i="17" s="1"/>
  <c r="U410" i="17"/>
  <c r="Y410" i="17" s="1"/>
  <c r="U409" i="17"/>
  <c r="Y409" i="17" s="1"/>
  <c r="U408" i="17"/>
  <c r="Y408" i="17" s="1"/>
  <c r="U407" i="17"/>
  <c r="Y407" i="17" s="1"/>
  <c r="U406" i="17"/>
  <c r="Y406" i="17" s="1"/>
  <c r="U405" i="17"/>
  <c r="Y405" i="17" s="1"/>
  <c r="U404" i="17"/>
  <c r="Y404" i="17" s="1"/>
  <c r="U403" i="17"/>
  <c r="Y403" i="17" s="1"/>
  <c r="U402" i="17"/>
  <c r="Y402" i="17" s="1"/>
  <c r="U400" i="17"/>
  <c r="Y400" i="17" s="1"/>
  <c r="U399" i="17"/>
  <c r="Y399" i="17" s="1"/>
  <c r="U398" i="17"/>
  <c r="Y398" i="17" s="1"/>
  <c r="U397" i="17"/>
  <c r="Y397" i="17" s="1"/>
  <c r="U395" i="17"/>
  <c r="Y395" i="17" s="1"/>
  <c r="U394" i="17"/>
  <c r="Y394" i="17" s="1"/>
  <c r="U390" i="17"/>
  <c r="U387" i="17"/>
  <c r="Y387" i="17" s="1"/>
  <c r="U386" i="17"/>
  <c r="Y386" i="17" s="1"/>
  <c r="U383" i="17"/>
  <c r="Y383" i="17" s="1"/>
  <c r="U381" i="17"/>
  <c r="Y381" i="17" s="1"/>
  <c r="U380" i="17"/>
  <c r="Y380" i="17" s="1"/>
  <c r="U379" i="17"/>
  <c r="Y379" i="17" s="1"/>
  <c r="U378" i="17"/>
  <c r="Y378" i="17" s="1"/>
  <c r="U377" i="17"/>
  <c r="Y377" i="17" s="1"/>
  <c r="U376" i="17"/>
  <c r="Y376" i="17" s="1"/>
  <c r="U375" i="17"/>
  <c r="Y375" i="17" s="1"/>
  <c r="U373" i="17"/>
  <c r="Y373" i="17" s="1"/>
  <c r="U372" i="17"/>
  <c r="Y372" i="17" s="1"/>
  <c r="U371" i="17"/>
  <c r="Y371" i="17" s="1"/>
  <c r="U367" i="17"/>
  <c r="Y367" i="17" s="1"/>
  <c r="U366" i="17"/>
  <c r="Y366" i="17" s="1"/>
  <c r="U365" i="17"/>
  <c r="Y365" i="17" s="1"/>
  <c r="U364" i="17"/>
  <c r="Y364" i="17" s="1"/>
  <c r="U363" i="17"/>
  <c r="Y363" i="17" s="1"/>
  <c r="U362" i="17"/>
  <c r="Y362" i="17" s="1"/>
  <c r="U361" i="17"/>
  <c r="Y361" i="17" s="1"/>
  <c r="U360" i="17"/>
  <c r="Y360" i="17" s="1"/>
  <c r="U359" i="17"/>
  <c r="Y359" i="17" s="1"/>
  <c r="U358" i="17"/>
  <c r="Y358" i="17" s="1"/>
  <c r="U357" i="17"/>
  <c r="Y357" i="17" s="1"/>
  <c r="U354" i="17"/>
  <c r="U353" i="17"/>
  <c r="U349" i="17"/>
  <c r="Y349" i="17" s="1"/>
  <c r="U347" i="17"/>
  <c r="Y347" i="17" s="1"/>
  <c r="U345" i="17"/>
  <c r="Y345" i="17" s="1"/>
  <c r="U344" i="17"/>
  <c r="Y344" i="17" s="1"/>
  <c r="U343" i="17"/>
  <c r="Y343" i="17" s="1"/>
  <c r="U342" i="17"/>
  <c r="Y342" i="17" s="1"/>
  <c r="U341" i="17"/>
  <c r="Y341" i="17" s="1"/>
  <c r="U339" i="17"/>
  <c r="Y339" i="17" s="1"/>
  <c r="U338" i="17"/>
  <c r="Y338" i="17" s="1"/>
  <c r="U337" i="17"/>
  <c r="Y337" i="17" s="1"/>
  <c r="U336" i="17"/>
  <c r="Y336" i="17" s="1"/>
  <c r="U335" i="17"/>
  <c r="Y335" i="17" s="1"/>
  <c r="U333" i="17"/>
  <c r="Y333" i="17" s="1"/>
  <c r="U332" i="17"/>
  <c r="Y332" i="17" s="1"/>
  <c r="U331" i="17"/>
  <c r="Y331" i="17" s="1"/>
  <c r="U330" i="17"/>
  <c r="Y330" i="17" s="1"/>
  <c r="U326" i="17"/>
  <c r="Y326" i="17" s="1"/>
  <c r="U325" i="17"/>
  <c r="Y325" i="17" s="1"/>
  <c r="U324" i="17"/>
  <c r="Y324" i="17" s="1"/>
  <c r="U323" i="17"/>
  <c r="Y323" i="17" s="1"/>
  <c r="U322" i="17"/>
  <c r="Y322" i="17" s="1"/>
  <c r="U320" i="17"/>
  <c r="Y320" i="17" s="1"/>
  <c r="U319" i="17"/>
  <c r="Y319" i="17" s="1"/>
  <c r="U318" i="17"/>
  <c r="Y318" i="17" s="1"/>
  <c r="U317" i="17"/>
  <c r="Y317" i="17" s="1"/>
  <c r="U316" i="17"/>
  <c r="Y316" i="17" s="1"/>
  <c r="U315" i="17"/>
  <c r="Y315" i="17" s="1"/>
  <c r="U314" i="17"/>
  <c r="Y314" i="17" s="1"/>
  <c r="U313" i="17"/>
  <c r="Y313" i="17" s="1"/>
  <c r="U309" i="17"/>
  <c r="Y309" i="17" s="1"/>
  <c r="U308" i="17"/>
  <c r="Y308" i="17" s="1"/>
  <c r="U307" i="17"/>
  <c r="Y307" i="17" s="1"/>
  <c r="U306" i="17"/>
  <c r="Y306" i="17" s="1"/>
  <c r="U305" i="17"/>
  <c r="Y305" i="17" s="1"/>
  <c r="U303" i="17"/>
  <c r="Y303" i="17" s="1"/>
  <c r="U302" i="17"/>
  <c r="Y302" i="17" s="1"/>
  <c r="U301" i="17"/>
  <c r="Y301" i="17" s="1"/>
  <c r="U300" i="17"/>
  <c r="Y300" i="17" s="1"/>
  <c r="U297" i="17"/>
  <c r="Y297" i="17" s="1"/>
  <c r="U296" i="17"/>
  <c r="Y296" i="17" s="1"/>
  <c r="U295" i="17"/>
  <c r="Y295" i="17" s="1"/>
  <c r="U294" i="17"/>
  <c r="Y294" i="17" s="1"/>
  <c r="U293" i="17"/>
  <c r="Y293" i="17" s="1"/>
  <c r="U290" i="17"/>
  <c r="Y290" i="17" s="1"/>
  <c r="U289" i="17"/>
  <c r="Y289" i="17" s="1"/>
  <c r="U287" i="17"/>
  <c r="Y287" i="17" s="1"/>
  <c r="U286" i="17"/>
  <c r="Y286" i="17" s="1"/>
  <c r="U283" i="17"/>
  <c r="Y283" i="17" s="1"/>
  <c r="U282" i="17"/>
  <c r="Y282" i="17" s="1"/>
  <c r="U280" i="17"/>
  <c r="Y280" i="17" s="1"/>
  <c r="U279" i="17"/>
  <c r="Y279" i="17" s="1"/>
  <c r="U276" i="17"/>
  <c r="Y276" i="17" s="1"/>
  <c r="U275" i="17"/>
  <c r="Y275" i="17" s="1"/>
  <c r="U273" i="17"/>
  <c r="Y273" i="17" s="1"/>
  <c r="U272" i="17"/>
  <c r="Y272" i="17" s="1"/>
  <c r="U270" i="17"/>
  <c r="Y270" i="17" s="1"/>
  <c r="U269" i="17"/>
  <c r="Y269" i="17" s="1"/>
  <c r="U268" i="17"/>
  <c r="Y268" i="17" s="1"/>
  <c r="U267" i="17"/>
  <c r="Y267" i="17" s="1"/>
  <c r="U265" i="17"/>
  <c r="Y265" i="17" s="1"/>
  <c r="U264" i="17"/>
  <c r="Y264" i="17" s="1"/>
  <c r="U263" i="17"/>
  <c r="Y263" i="17" s="1"/>
  <c r="U262" i="17"/>
  <c r="Y262" i="17" s="1"/>
  <c r="U259" i="17"/>
  <c r="Y259" i="17" s="1"/>
  <c r="U258" i="17"/>
  <c r="Y258" i="17" s="1"/>
  <c r="U256" i="17"/>
  <c r="Y256" i="17" s="1"/>
  <c r="U255" i="17"/>
  <c r="Y255" i="17" s="1"/>
  <c r="U254" i="17"/>
  <c r="Y254" i="17" s="1"/>
  <c r="U253" i="17"/>
  <c r="Y253" i="17" s="1"/>
  <c r="U252" i="17"/>
  <c r="Y252" i="17" s="1"/>
  <c r="U251" i="17"/>
  <c r="Y251" i="17" s="1"/>
  <c r="U250" i="17"/>
  <c r="Y250" i="17" s="1"/>
  <c r="U249" i="17"/>
  <c r="Y249" i="17" s="1"/>
  <c r="U248" i="17"/>
  <c r="Y248" i="17" s="1"/>
  <c r="U245" i="17"/>
  <c r="Y245" i="17" s="1"/>
  <c r="U244" i="17"/>
  <c r="Y244" i="17" s="1"/>
  <c r="U243" i="17"/>
  <c r="Y243" i="17" s="1"/>
  <c r="U242" i="17"/>
  <c r="Y242" i="17" s="1"/>
  <c r="U240" i="17"/>
  <c r="Y240" i="17" s="1"/>
  <c r="U239" i="17"/>
  <c r="Y239" i="17" s="1"/>
  <c r="U238" i="17"/>
  <c r="Y238" i="17" s="1"/>
  <c r="U237" i="17"/>
  <c r="Y237" i="17" s="1"/>
  <c r="U236" i="17"/>
  <c r="Y236" i="17" s="1"/>
  <c r="U235" i="17"/>
  <c r="Y235" i="17" s="1"/>
  <c r="U233" i="17"/>
  <c r="Y233" i="17" s="1"/>
  <c r="U232" i="17"/>
  <c r="Y232" i="17" s="1"/>
  <c r="U230" i="17"/>
  <c r="Y230" i="17" s="1"/>
  <c r="U229" i="17"/>
  <c r="Y229" i="17" s="1"/>
  <c r="U227" i="17"/>
  <c r="Y227" i="17" s="1"/>
  <c r="U226" i="17"/>
  <c r="Y226" i="17" s="1"/>
  <c r="U225" i="17"/>
  <c r="Y225" i="17" s="1"/>
  <c r="U224" i="17"/>
  <c r="Y224" i="17" s="1"/>
  <c r="U223" i="17"/>
  <c r="Y223" i="17" s="1"/>
  <c r="U222" i="17"/>
  <c r="Y222" i="17" s="1"/>
  <c r="U220" i="17"/>
  <c r="Y220" i="17" s="1"/>
  <c r="U219" i="17"/>
  <c r="Y219" i="17" s="1"/>
  <c r="U216" i="17"/>
  <c r="Y216" i="17" s="1"/>
  <c r="U215" i="17"/>
  <c r="Y215" i="17" s="1"/>
  <c r="U214" i="17"/>
  <c r="Y214" i="17" s="1"/>
  <c r="U213" i="17"/>
  <c r="Y213" i="17" s="1"/>
  <c r="U212" i="17"/>
  <c r="Y212" i="17" s="1"/>
  <c r="U211" i="17"/>
  <c r="Y211" i="17" s="1"/>
  <c r="U210" i="17"/>
  <c r="Y210" i="17" s="1"/>
  <c r="U208" i="17"/>
  <c r="Y208" i="17" s="1"/>
  <c r="U207" i="17"/>
  <c r="Y207" i="17" s="1"/>
  <c r="U206" i="17"/>
  <c r="Y206" i="17" s="1"/>
  <c r="U205" i="17"/>
  <c r="Y205" i="17" s="1"/>
  <c r="U204" i="17"/>
  <c r="Y204" i="17" s="1"/>
  <c r="U202" i="17"/>
  <c r="Y202" i="17" s="1"/>
  <c r="U203" i="17"/>
  <c r="Y203" i="17" s="1"/>
  <c r="L341" i="17"/>
  <c r="P341" i="17" s="1"/>
  <c r="L340" i="17"/>
  <c r="L339" i="17"/>
  <c r="P339" i="17" s="1"/>
  <c r="S339" i="17" s="1"/>
  <c r="L338" i="17"/>
  <c r="P338" i="17" s="1"/>
  <c r="S338" i="17" s="1"/>
  <c r="L337" i="17"/>
  <c r="P337" i="17" s="1"/>
  <c r="S337" i="17" s="1"/>
  <c r="L336" i="17"/>
  <c r="P336" i="17" s="1"/>
  <c r="S336" i="17" s="1"/>
  <c r="L335" i="17"/>
  <c r="P335" i="17" s="1"/>
  <c r="S335" i="17" s="1"/>
  <c r="L334" i="17"/>
  <c r="L333" i="17"/>
  <c r="P333" i="17" s="1"/>
  <c r="S333" i="17" s="1"/>
  <c r="L332" i="17"/>
  <c r="P332" i="17" s="1"/>
  <c r="S332" i="17" s="1"/>
  <c r="L331" i="17"/>
  <c r="P331" i="17" s="1"/>
  <c r="S331" i="17" s="1"/>
  <c r="L330" i="17"/>
  <c r="P330" i="17" s="1"/>
  <c r="S330" i="17" s="1"/>
  <c r="L329" i="17"/>
  <c r="L328" i="17"/>
  <c r="L327" i="17"/>
  <c r="L326" i="17"/>
  <c r="P326" i="17" s="1"/>
  <c r="S326" i="17" s="1"/>
  <c r="L325" i="17"/>
  <c r="P325" i="17" s="1"/>
  <c r="S325" i="17" s="1"/>
  <c r="L324" i="17"/>
  <c r="P324" i="17" s="1"/>
  <c r="S324" i="17" s="1"/>
  <c r="L323" i="17"/>
  <c r="P323" i="17" s="1"/>
  <c r="S323" i="17" s="1"/>
  <c r="L322" i="17"/>
  <c r="P322" i="17" s="1"/>
  <c r="S322" i="17" s="1"/>
  <c r="L321" i="17"/>
  <c r="L320" i="17"/>
  <c r="P320" i="17" s="1"/>
  <c r="S320" i="17" s="1"/>
  <c r="L319" i="17"/>
  <c r="P319" i="17" s="1"/>
  <c r="S319" i="17" s="1"/>
  <c r="L318" i="17"/>
  <c r="P318" i="17" s="1"/>
  <c r="S318" i="17" s="1"/>
  <c r="L317" i="17"/>
  <c r="P317" i="17" s="1"/>
  <c r="S317" i="17" s="1"/>
  <c r="L316" i="17"/>
  <c r="P316" i="17" s="1"/>
  <c r="S316" i="17" s="1"/>
  <c r="L315" i="17"/>
  <c r="P315" i="17" s="1"/>
  <c r="S315" i="17" s="1"/>
  <c r="L314" i="17"/>
  <c r="P314" i="17" s="1"/>
  <c r="S314" i="17" s="1"/>
  <c r="L313" i="17"/>
  <c r="P313" i="17" s="1"/>
  <c r="L312" i="17"/>
  <c r="L311" i="17"/>
  <c r="L310" i="17"/>
  <c r="L309" i="17"/>
  <c r="P309" i="17" s="1"/>
  <c r="S309" i="17" s="1"/>
  <c r="L308" i="17"/>
  <c r="P308" i="17" s="1"/>
  <c r="S308" i="17" s="1"/>
  <c r="L307" i="17"/>
  <c r="P307" i="17" s="1"/>
  <c r="S307" i="17" s="1"/>
  <c r="L306" i="17"/>
  <c r="P306" i="17" s="1"/>
  <c r="S306" i="17" s="1"/>
  <c r="L305" i="17"/>
  <c r="P305" i="17" s="1"/>
  <c r="S305" i="17" s="1"/>
  <c r="L304" i="17"/>
  <c r="L303" i="17"/>
  <c r="P303" i="17" s="1"/>
  <c r="S303" i="17" s="1"/>
  <c r="L302" i="17"/>
  <c r="P302" i="17" s="1"/>
  <c r="S302" i="17" s="1"/>
  <c r="L301" i="17"/>
  <c r="P301" i="17" s="1"/>
  <c r="S301" i="17" s="1"/>
  <c r="L300" i="17"/>
  <c r="P300" i="17" s="1"/>
  <c r="L299" i="17"/>
  <c r="L298" i="17"/>
  <c r="L297" i="17"/>
  <c r="P297" i="17" s="1"/>
  <c r="S297" i="17" s="1"/>
  <c r="L296" i="17"/>
  <c r="P296" i="17" s="1"/>
  <c r="L295" i="17"/>
  <c r="P295" i="17" s="1"/>
  <c r="S295" i="17" s="1"/>
  <c r="L294" i="17"/>
  <c r="P294" i="17" s="1"/>
  <c r="S294" i="17" s="1"/>
  <c r="L293" i="17"/>
  <c r="P293" i="17" s="1"/>
  <c r="S293" i="17" s="1"/>
  <c r="L292" i="17"/>
  <c r="L291" i="17"/>
  <c r="L199" i="17"/>
  <c r="L288" i="17"/>
  <c r="L285" i="17"/>
  <c r="L281" i="17"/>
  <c r="L278" i="17"/>
  <c r="L284" i="17"/>
  <c r="L277" i="17"/>
  <c r="L290" i="17"/>
  <c r="P290" i="17" s="1"/>
  <c r="S290" i="17" s="1"/>
  <c r="L289" i="17"/>
  <c r="P289" i="17" s="1"/>
  <c r="L287" i="17"/>
  <c r="P287" i="17" s="1"/>
  <c r="S287" i="17" s="1"/>
  <c r="L286" i="17"/>
  <c r="P286" i="17" s="1"/>
  <c r="L283" i="17"/>
  <c r="P283" i="17" s="1"/>
  <c r="S283" i="17" s="1"/>
  <c r="L282" i="17"/>
  <c r="P282" i="17" s="1"/>
  <c r="S282" i="17" s="1"/>
  <c r="L280" i="17"/>
  <c r="P280" i="17" s="1"/>
  <c r="S280" i="17" s="1"/>
  <c r="L279" i="17"/>
  <c r="P279" i="17" s="1"/>
  <c r="L260" i="17"/>
  <c r="L217" i="17"/>
  <c r="L200" i="17"/>
  <c r="L274" i="17"/>
  <c r="L271" i="17"/>
  <c r="L266" i="17"/>
  <c r="L261" i="17"/>
  <c r="L246" i="17"/>
  <c r="L241" i="17"/>
  <c r="L276" i="17"/>
  <c r="L275" i="17"/>
  <c r="L273" i="17"/>
  <c r="L272" i="17"/>
  <c r="L270" i="17"/>
  <c r="L269" i="17"/>
  <c r="L268" i="17"/>
  <c r="P268" i="17" s="1"/>
  <c r="S268" i="17" s="1"/>
  <c r="L267" i="17"/>
  <c r="P267" i="17" s="1"/>
  <c r="S267" i="17" s="1"/>
  <c r="L265" i="17"/>
  <c r="P265" i="17" s="1"/>
  <c r="S265" i="17" s="1"/>
  <c r="L264" i="17"/>
  <c r="P264" i="17" s="1"/>
  <c r="S264" i="17" s="1"/>
  <c r="L263" i="17"/>
  <c r="P263" i="17" s="1"/>
  <c r="S263" i="17" s="1"/>
  <c r="L262" i="17"/>
  <c r="P262" i="17" s="1"/>
  <c r="S262" i="17" s="1"/>
  <c r="P276" i="17"/>
  <c r="S276" i="17" s="1"/>
  <c r="P275" i="17"/>
  <c r="S275" i="17" s="1"/>
  <c r="P273" i="17"/>
  <c r="S273" i="17" s="1"/>
  <c r="P272" i="17"/>
  <c r="P270" i="17"/>
  <c r="S270" i="17" s="1"/>
  <c r="P269" i="17"/>
  <c r="S269" i="17" s="1"/>
  <c r="AB1" i="17" l="1"/>
  <c r="AA1" i="17"/>
  <c r="N354" i="17"/>
  <c r="Y354" i="17" s="1"/>
  <c r="Y356" i="17"/>
  <c r="W178" i="17"/>
  <c r="W177" i="17" s="1"/>
  <c r="Y178" i="17"/>
  <c r="N384" i="17"/>
  <c r="Y384" i="17" s="1"/>
  <c r="Y385" i="17"/>
  <c r="P580" i="17"/>
  <c r="S581" i="17"/>
  <c r="P578" i="17"/>
  <c r="S579" i="17"/>
  <c r="P576" i="17"/>
  <c r="S577" i="17"/>
  <c r="P574" i="17"/>
  <c r="S575" i="17"/>
  <c r="S557" i="17"/>
  <c r="T559" i="17" s="1"/>
  <c r="X559" i="17" s="1"/>
  <c r="P555" i="17"/>
  <c r="S555" i="17"/>
  <c r="S675" i="17"/>
  <c r="P674" i="17"/>
  <c r="R651" i="17"/>
  <c r="P651" i="17" s="1"/>
  <c r="S651" i="17" s="1"/>
  <c r="R655" i="17"/>
  <c r="P655" i="17" s="1"/>
  <c r="S655" i="17" s="1"/>
  <c r="R659" i="17"/>
  <c r="P659" i="17" s="1"/>
  <c r="S659" i="17" s="1"/>
  <c r="R663" i="17"/>
  <c r="P663" i="17" s="1"/>
  <c r="S663" i="17" s="1"/>
  <c r="R667" i="17"/>
  <c r="P667" i="17" s="1"/>
  <c r="R672" i="17"/>
  <c r="P672" i="17" s="1"/>
  <c r="S672" i="17" s="1"/>
  <c r="R652" i="17"/>
  <c r="P652" i="17" s="1"/>
  <c r="S652" i="17" s="1"/>
  <c r="R656" i="17"/>
  <c r="P656" i="17" s="1"/>
  <c r="S656" i="17" s="1"/>
  <c r="R664" i="17"/>
  <c r="P664" i="17" s="1"/>
  <c r="S664" i="17" s="1"/>
  <c r="R668" i="17"/>
  <c r="P668" i="17" s="1"/>
  <c r="S668" i="17" s="1"/>
  <c r="R671" i="17"/>
  <c r="P671" i="17" s="1"/>
  <c r="S671" i="17" s="1"/>
  <c r="R653" i="17"/>
  <c r="P653" i="17" s="1"/>
  <c r="S653" i="17" s="1"/>
  <c r="R657" i="17"/>
  <c r="P657" i="17" s="1"/>
  <c r="S657" i="17" s="1"/>
  <c r="R661" i="17"/>
  <c r="P661" i="17" s="1"/>
  <c r="S661" i="17" s="1"/>
  <c r="R669" i="17"/>
  <c r="P669" i="17" s="1"/>
  <c r="S669" i="17" s="1"/>
  <c r="R673" i="17"/>
  <c r="P673" i="17" s="1"/>
  <c r="S673" i="17" s="1"/>
  <c r="R650" i="17"/>
  <c r="P650" i="17" s="1"/>
  <c r="R654" i="17"/>
  <c r="P654" i="17" s="1"/>
  <c r="S654" i="17" s="1"/>
  <c r="R658" i="17"/>
  <c r="P658" i="17" s="1"/>
  <c r="S658" i="17" s="1"/>
  <c r="R670" i="17"/>
  <c r="P670" i="17" s="1"/>
  <c r="S670" i="17" s="1"/>
  <c r="R475" i="17"/>
  <c r="P475" i="17" s="1"/>
  <c r="S475" i="17" s="1"/>
  <c r="R507" i="17"/>
  <c r="P507" i="17" s="1"/>
  <c r="S507" i="17" s="1"/>
  <c r="P527" i="17"/>
  <c r="S527" i="17" s="1"/>
  <c r="R531" i="17"/>
  <c r="P531" i="17" s="1"/>
  <c r="S531" i="17" s="1"/>
  <c r="P539" i="17"/>
  <c r="S539" i="17" s="1"/>
  <c r="P543" i="17"/>
  <c r="S543" i="17" s="1"/>
  <c r="R547" i="17"/>
  <c r="P547" i="17" s="1"/>
  <c r="R589" i="17"/>
  <c r="P589" i="17" s="1"/>
  <c r="S589" i="17" s="1"/>
  <c r="R595" i="17"/>
  <c r="P595" i="17" s="1"/>
  <c r="S595" i="17" s="1"/>
  <c r="R599" i="17"/>
  <c r="P599" i="17" s="1"/>
  <c r="S599" i="17" s="1"/>
  <c r="R603" i="17"/>
  <c r="P603" i="17" s="1"/>
  <c r="S603" i="17" s="1"/>
  <c r="R607" i="17"/>
  <c r="P607" i="17" s="1"/>
  <c r="S607" i="17" s="1"/>
  <c r="R611" i="17"/>
  <c r="P611" i="17" s="1"/>
  <c r="S611" i="17" s="1"/>
  <c r="R615" i="17"/>
  <c r="P615" i="17" s="1"/>
  <c r="S615" i="17" s="1"/>
  <c r="R619" i="17"/>
  <c r="P619" i="17" s="1"/>
  <c r="S619" i="17" s="1"/>
  <c r="R623" i="17"/>
  <c r="P623" i="17" s="1"/>
  <c r="S623" i="17" s="1"/>
  <c r="R627" i="17"/>
  <c r="P627" i="17" s="1"/>
  <c r="S627" i="17" s="1"/>
  <c r="R631" i="17"/>
  <c r="P631" i="17" s="1"/>
  <c r="S631" i="17" s="1"/>
  <c r="R635" i="17"/>
  <c r="P635" i="17" s="1"/>
  <c r="S635" i="17" s="1"/>
  <c r="R639" i="17"/>
  <c r="P639" i="17" s="1"/>
  <c r="S639" i="17" s="1"/>
  <c r="R643" i="17"/>
  <c r="P643" i="17" s="1"/>
  <c r="S643" i="17" s="1"/>
  <c r="R647" i="17"/>
  <c r="P647" i="17" s="1"/>
  <c r="S647" i="17" s="1"/>
  <c r="R480" i="17"/>
  <c r="P480" i="17" s="1"/>
  <c r="S480" i="17" s="1"/>
  <c r="R500" i="17"/>
  <c r="P500" i="17" s="1"/>
  <c r="S500" i="17" s="1"/>
  <c r="P528" i="17"/>
  <c r="S528" i="17" s="1"/>
  <c r="R532" i="17"/>
  <c r="P532" i="17" s="1"/>
  <c r="S532" i="17" s="1"/>
  <c r="P536" i="17"/>
  <c r="S536" i="17" s="1"/>
  <c r="P540" i="17"/>
  <c r="S540" i="17" s="1"/>
  <c r="P544" i="17"/>
  <c r="S544" i="17" s="1"/>
  <c r="R584" i="17"/>
  <c r="P584" i="17" s="1"/>
  <c r="S584" i="17" s="1"/>
  <c r="R588" i="17"/>
  <c r="P588" i="17" s="1"/>
  <c r="S588" i="17" s="1"/>
  <c r="R596" i="17"/>
  <c r="P596" i="17" s="1"/>
  <c r="S596" i="17" s="1"/>
  <c r="R604" i="17"/>
  <c r="P604" i="17" s="1"/>
  <c r="S604" i="17" s="1"/>
  <c r="R612" i="17"/>
  <c r="P612" i="17" s="1"/>
  <c r="S612" i="17" s="1"/>
  <c r="R620" i="17"/>
  <c r="P620" i="17" s="1"/>
  <c r="S620" i="17" s="1"/>
  <c r="R628" i="17"/>
  <c r="P628" i="17" s="1"/>
  <c r="S628" i="17" s="1"/>
  <c r="R632" i="17"/>
  <c r="P632" i="17" s="1"/>
  <c r="S632" i="17" s="1"/>
  <c r="R636" i="17"/>
  <c r="P636" i="17" s="1"/>
  <c r="S636" i="17" s="1"/>
  <c r="R640" i="17"/>
  <c r="P640" i="17" s="1"/>
  <c r="S640" i="17" s="1"/>
  <c r="R644" i="17"/>
  <c r="P644" i="17" s="1"/>
  <c r="S644" i="17" s="1"/>
  <c r="R648" i="17"/>
  <c r="P648" i="17" s="1"/>
  <c r="S648" i="17" s="1"/>
  <c r="R429" i="17"/>
  <c r="P429" i="17" s="1"/>
  <c r="S429" i="17" s="1"/>
  <c r="R505" i="17"/>
  <c r="P505" i="17" s="1"/>
  <c r="S505" i="17" s="1"/>
  <c r="R525" i="17"/>
  <c r="P525" i="17" s="1"/>
  <c r="S525" i="17" s="1"/>
  <c r="R533" i="17"/>
  <c r="P533" i="17" s="1"/>
  <c r="S533" i="17" s="1"/>
  <c r="P545" i="17"/>
  <c r="S545" i="17" s="1"/>
  <c r="R585" i="17"/>
  <c r="P585" i="17" s="1"/>
  <c r="R590" i="17"/>
  <c r="P590" i="17" s="1"/>
  <c r="S590" i="17" s="1"/>
  <c r="R593" i="17"/>
  <c r="P593" i="17" s="1"/>
  <c r="R597" i="17"/>
  <c r="P597" i="17" s="1"/>
  <c r="S597" i="17" s="1"/>
  <c r="R601" i="17"/>
  <c r="P601" i="17" s="1"/>
  <c r="R605" i="17"/>
  <c r="P605" i="17" s="1"/>
  <c r="S605" i="17" s="1"/>
  <c r="R609" i="17"/>
  <c r="P609" i="17" s="1"/>
  <c r="R613" i="17"/>
  <c r="P613" i="17" s="1"/>
  <c r="S613" i="17" s="1"/>
  <c r="R617" i="17"/>
  <c r="P617" i="17" s="1"/>
  <c r="R621" i="17"/>
  <c r="P621" i="17" s="1"/>
  <c r="S621" i="17" s="1"/>
  <c r="R629" i="17"/>
  <c r="P629" i="17" s="1"/>
  <c r="S629" i="17" s="1"/>
  <c r="R637" i="17"/>
  <c r="P637" i="17" s="1"/>
  <c r="S637" i="17" s="1"/>
  <c r="R645" i="17"/>
  <c r="P645" i="17" s="1"/>
  <c r="S645" i="17" s="1"/>
  <c r="R530" i="17"/>
  <c r="P530" i="17" s="1"/>
  <c r="S530" i="17" s="1"/>
  <c r="P538" i="17"/>
  <c r="S538" i="17" s="1"/>
  <c r="P546" i="17"/>
  <c r="S546" i="17" s="1"/>
  <c r="R586" i="17"/>
  <c r="P586" i="17" s="1"/>
  <c r="S586" i="17" s="1"/>
  <c r="R587" i="17"/>
  <c r="P587" i="17" s="1"/>
  <c r="S587" i="17" s="1"/>
  <c r="R594" i="17"/>
  <c r="P594" i="17" s="1"/>
  <c r="S594" i="17" s="1"/>
  <c r="R598" i="17"/>
  <c r="P598" i="17" s="1"/>
  <c r="S598" i="17" s="1"/>
  <c r="R602" i="17"/>
  <c r="P602" i="17" s="1"/>
  <c r="S602" i="17" s="1"/>
  <c r="R606" i="17"/>
  <c r="P606" i="17" s="1"/>
  <c r="S606" i="17" s="1"/>
  <c r="R610" i="17"/>
  <c r="P610" i="17" s="1"/>
  <c r="S610" i="17" s="1"/>
  <c r="R614" i="17"/>
  <c r="P614" i="17" s="1"/>
  <c r="S614" i="17" s="1"/>
  <c r="R618" i="17"/>
  <c r="P618" i="17" s="1"/>
  <c r="S618" i="17" s="1"/>
  <c r="R622" i="17"/>
  <c r="P622" i="17" s="1"/>
  <c r="S622" i="17" s="1"/>
  <c r="R626" i="17"/>
  <c r="P626" i="17" s="1"/>
  <c r="R630" i="17"/>
  <c r="P630" i="17" s="1"/>
  <c r="S630" i="17" s="1"/>
  <c r="R634" i="17"/>
  <c r="P634" i="17" s="1"/>
  <c r="R638" i="17"/>
  <c r="P638" i="17" s="1"/>
  <c r="S638" i="17" s="1"/>
  <c r="R642" i="17"/>
  <c r="P642" i="17" s="1"/>
  <c r="R646" i="17"/>
  <c r="P646" i="17" s="1"/>
  <c r="S646" i="17" s="1"/>
  <c r="R359" i="17"/>
  <c r="P359" i="17" s="1"/>
  <c r="S359" i="17" s="1"/>
  <c r="R363" i="17"/>
  <c r="P363" i="17" s="1"/>
  <c r="S363" i="17" s="1"/>
  <c r="R367" i="17"/>
  <c r="P367" i="17" s="1"/>
  <c r="S367" i="17" s="1"/>
  <c r="R371" i="17"/>
  <c r="P371" i="17" s="1"/>
  <c r="R375" i="17"/>
  <c r="P375" i="17" s="1"/>
  <c r="S375" i="17" s="1"/>
  <c r="R379" i="17"/>
  <c r="P379" i="17" s="1"/>
  <c r="S379" i="17" s="1"/>
  <c r="R383" i="17"/>
  <c r="P383" i="17" s="1"/>
  <c r="R395" i="17"/>
  <c r="P395" i="17" s="1"/>
  <c r="S395" i="17" s="1"/>
  <c r="P403" i="17"/>
  <c r="S403" i="17" s="1"/>
  <c r="P407" i="17"/>
  <c r="S407" i="17" s="1"/>
  <c r="P411" i="17"/>
  <c r="S411" i="17" s="1"/>
  <c r="P463" i="17"/>
  <c r="S463" i="17" s="1"/>
  <c r="P467" i="17"/>
  <c r="S467" i="17" s="1"/>
  <c r="P471" i="17"/>
  <c r="S471" i="17" s="1"/>
  <c r="R372" i="17"/>
  <c r="P372" i="17" s="1"/>
  <c r="S372" i="17" s="1"/>
  <c r="R400" i="17"/>
  <c r="P400" i="17" s="1"/>
  <c r="S400" i="17" s="1"/>
  <c r="R436" i="17"/>
  <c r="P436" i="17" s="1"/>
  <c r="S436" i="17" s="1"/>
  <c r="P452" i="17"/>
  <c r="S452" i="17" s="1"/>
  <c r="P456" i="17"/>
  <c r="S456" i="17" s="1"/>
  <c r="R460" i="17"/>
  <c r="P460" i="17" s="1"/>
  <c r="S460" i="17" s="1"/>
  <c r="P464" i="17"/>
  <c r="S464" i="17" s="1"/>
  <c r="P468" i="17"/>
  <c r="S468" i="17" s="1"/>
  <c r="R357" i="17"/>
  <c r="P357" i="17" s="1"/>
  <c r="S357" i="17" s="1"/>
  <c r="R361" i="17"/>
  <c r="P361" i="17" s="1"/>
  <c r="S361" i="17" s="1"/>
  <c r="R365" i="17"/>
  <c r="P365" i="17" s="1"/>
  <c r="S365" i="17" s="1"/>
  <c r="R373" i="17"/>
  <c r="P373" i="17" s="1"/>
  <c r="S373" i="17" s="1"/>
  <c r="P405" i="17"/>
  <c r="S405" i="17" s="1"/>
  <c r="P409" i="17"/>
  <c r="S409" i="17" s="1"/>
  <c r="P413" i="17"/>
  <c r="S416" i="17"/>
  <c r="T419" i="17" s="1"/>
  <c r="P425" i="17"/>
  <c r="S425" i="17" s="1"/>
  <c r="R453" i="17"/>
  <c r="P453" i="17" s="1"/>
  <c r="P461" i="17"/>
  <c r="S461" i="17" s="1"/>
  <c r="P465" i="17"/>
  <c r="S465" i="17" s="1"/>
  <c r="P469" i="17"/>
  <c r="S469" i="17" s="1"/>
  <c r="R481" i="17"/>
  <c r="P481" i="17" s="1"/>
  <c r="S481" i="17" s="1"/>
  <c r="R529" i="17"/>
  <c r="R358" i="17"/>
  <c r="P358" i="17" s="1"/>
  <c r="S358" i="17" s="1"/>
  <c r="R362" i="17"/>
  <c r="P362" i="17" s="1"/>
  <c r="S362" i="17" s="1"/>
  <c r="R366" i="17"/>
  <c r="P366" i="17" s="1"/>
  <c r="S366" i="17" s="1"/>
  <c r="R386" i="17"/>
  <c r="P386" i="17" s="1"/>
  <c r="S386" i="17" s="1"/>
  <c r="R394" i="17"/>
  <c r="P394" i="17" s="1"/>
  <c r="R398" i="17"/>
  <c r="P398" i="17" s="1"/>
  <c r="S398" i="17" s="1"/>
  <c r="R414" i="17"/>
  <c r="P414" i="17" s="1"/>
  <c r="S414" i="17" s="1"/>
  <c r="P454" i="17"/>
  <c r="S454" i="17" s="1"/>
  <c r="R458" i="17"/>
  <c r="P458" i="17" s="1"/>
  <c r="S458" i="17" s="1"/>
  <c r="P470" i="17"/>
  <c r="S470" i="17" s="1"/>
  <c r="R482" i="17"/>
  <c r="P482" i="17" s="1"/>
  <c r="S482" i="17" s="1"/>
  <c r="P506" i="17"/>
  <c r="S506" i="17" s="1"/>
  <c r="P437" i="17"/>
  <c r="S437" i="17" s="1"/>
  <c r="U551" i="17"/>
  <c r="Y551" i="17" s="1"/>
  <c r="P557" i="17"/>
  <c r="P449" i="17"/>
  <c r="S462" i="17"/>
  <c r="P522" i="17"/>
  <c r="R537" i="17"/>
  <c r="R439" i="17"/>
  <c r="P439" i="17" s="1"/>
  <c r="S439" i="17" s="1"/>
  <c r="P487" i="17"/>
  <c r="S487" i="17" s="1"/>
  <c r="P497" i="17"/>
  <c r="P472" i="17"/>
  <c r="P512" i="17"/>
  <c r="S512" i="17" s="1"/>
  <c r="P551" i="17"/>
  <c r="S496" i="17"/>
  <c r="S513" i="17"/>
  <c r="S488" i="17"/>
  <c r="P485" i="17"/>
  <c r="S485" i="17" s="1"/>
  <c r="P509" i="17"/>
  <c r="S509" i="17" s="1"/>
  <c r="P478" i="17"/>
  <c r="S478" i="17" s="1"/>
  <c r="P510" i="17"/>
  <c r="S510" i="17" s="1"/>
  <c r="R534" i="17"/>
  <c r="P484" i="17"/>
  <c r="S484" i="17" s="1"/>
  <c r="S455" i="17"/>
  <c r="S459" i="17"/>
  <c r="P503" i="17"/>
  <c r="S503" i="17" s="1"/>
  <c r="R535" i="17"/>
  <c r="S457" i="17"/>
  <c r="N369" i="17"/>
  <c r="P508" i="17"/>
  <c r="S508" i="17" s="1"/>
  <c r="P483" i="17"/>
  <c r="S483" i="17" s="1"/>
  <c r="P435" i="17"/>
  <c r="S435" i="17" s="1"/>
  <c r="P501" i="17"/>
  <c r="S501" i="17" s="1"/>
  <c r="P408" i="17"/>
  <c r="S408" i="17" s="1"/>
  <c r="R526" i="17"/>
  <c r="P526" i="17" s="1"/>
  <c r="P476" i="17"/>
  <c r="S476" i="17" s="1"/>
  <c r="P274" i="17"/>
  <c r="S272" i="17"/>
  <c r="P271" i="17"/>
  <c r="P281" i="17"/>
  <c r="S281" i="17"/>
  <c r="S279" i="17"/>
  <c r="P278" i="17"/>
  <c r="P261" i="17"/>
  <c r="P266" i="17"/>
  <c r="P377" i="17"/>
  <c r="S377" i="17" s="1"/>
  <c r="P381" i="17"/>
  <c r="S381" i="17" s="1"/>
  <c r="P397" i="17"/>
  <c r="P378" i="17"/>
  <c r="S378" i="17" s="1"/>
  <c r="P402" i="17"/>
  <c r="S402" i="17" s="1"/>
  <c r="P410" i="17"/>
  <c r="S410" i="17" s="1"/>
  <c r="P432" i="17"/>
  <c r="S432" i="17" s="1"/>
  <c r="P387" i="17"/>
  <c r="S387" i="17" s="1"/>
  <c r="P404" i="17"/>
  <c r="S404" i="17" s="1"/>
  <c r="P360" i="17"/>
  <c r="P364" i="17"/>
  <c r="S364" i="17" s="1"/>
  <c r="P376" i="17"/>
  <c r="P380" i="17"/>
  <c r="S380" i="17" s="1"/>
  <c r="P399" i="17"/>
  <c r="S399" i="17" s="1"/>
  <c r="P406" i="17"/>
  <c r="S406" i="17" s="1"/>
  <c r="P430" i="17"/>
  <c r="S430" i="17" s="1"/>
  <c r="P434" i="17"/>
  <c r="S434" i="17" s="1"/>
  <c r="N353" i="17"/>
  <c r="V353" i="17" s="1"/>
  <c r="N355" i="17"/>
  <c r="Y355" i="17" s="1"/>
  <c r="S542" i="17"/>
  <c r="P354" i="17"/>
  <c r="S354" i="17" s="1"/>
  <c r="P348" i="17"/>
  <c r="P312" i="17"/>
  <c r="S313" i="17"/>
  <c r="P340" i="17"/>
  <c r="S341" i="17"/>
  <c r="S296" i="17"/>
  <c r="S292" i="17" s="1"/>
  <c r="P292" i="17"/>
  <c r="P299" i="17"/>
  <c r="S300" i="17"/>
  <c r="S299" i="17" s="1"/>
  <c r="T301" i="17" s="1"/>
  <c r="S334" i="17"/>
  <c r="T336" i="17" s="1"/>
  <c r="X336" i="17" s="1"/>
  <c r="S304" i="17"/>
  <c r="T306" i="17" s="1"/>
  <c r="W306" i="17" s="1"/>
  <c r="S321" i="17"/>
  <c r="T322" i="17" s="1"/>
  <c r="P304" i="17"/>
  <c r="S329" i="17"/>
  <c r="T331" i="17" s="1"/>
  <c r="X331" i="17" s="1"/>
  <c r="P346" i="17"/>
  <c r="T349" i="17"/>
  <c r="X349" i="17" s="1"/>
  <c r="S346" i="17"/>
  <c r="T347" i="17" s="1"/>
  <c r="X347" i="17" s="1"/>
  <c r="P334" i="17"/>
  <c r="P329" i="17"/>
  <c r="P321" i="17"/>
  <c r="S289" i="17"/>
  <c r="P288" i="17"/>
  <c r="S286" i="17"/>
  <c r="P285" i="17"/>
  <c r="V354" i="17" l="1"/>
  <c r="N368" i="17"/>
  <c r="Y368" i="17" s="1"/>
  <c r="Y369" i="17"/>
  <c r="Y353" i="17"/>
  <c r="T566" i="17"/>
  <c r="X566" i="17" s="1"/>
  <c r="T573" i="17"/>
  <c r="T572" i="17"/>
  <c r="W572" i="17" s="1"/>
  <c r="T561" i="17"/>
  <c r="W561" i="17" s="1"/>
  <c r="T568" i="17"/>
  <c r="W568" i="17" s="1"/>
  <c r="T563" i="17"/>
  <c r="X563" i="17" s="1"/>
  <c r="T571" i="17"/>
  <c r="X571" i="17" s="1"/>
  <c r="T570" i="17"/>
  <c r="W570" i="17" s="1"/>
  <c r="T567" i="17"/>
  <c r="S576" i="17"/>
  <c r="T577" i="17" s="1"/>
  <c r="T562" i="17"/>
  <c r="W559" i="17"/>
  <c r="T569" i="17"/>
  <c r="T564" i="17"/>
  <c r="S580" i="17"/>
  <c r="T581" i="17" s="1"/>
  <c r="S574" i="17"/>
  <c r="T575" i="17" s="1"/>
  <c r="S578" i="17"/>
  <c r="T579" i="17" s="1"/>
  <c r="T558" i="17"/>
  <c r="T565" i="17"/>
  <c r="T560" i="17"/>
  <c r="T556" i="17"/>
  <c r="S424" i="17"/>
  <c r="T425" i="17" s="1"/>
  <c r="T422" i="17"/>
  <c r="W422" i="17" s="1"/>
  <c r="S674" i="17"/>
  <c r="T418" i="17"/>
  <c r="W418" i="17" s="1"/>
  <c r="P649" i="17"/>
  <c r="S650" i="17"/>
  <c r="S649" i="17" s="1"/>
  <c r="T650" i="17" s="1"/>
  <c r="P666" i="17"/>
  <c r="S667" i="17"/>
  <c r="P396" i="17"/>
  <c r="T417" i="17"/>
  <c r="S642" i="17"/>
  <c r="P641" i="17"/>
  <c r="S626" i="17"/>
  <c r="S625" i="17" s="1"/>
  <c r="P625" i="17"/>
  <c r="S609" i="17"/>
  <c r="P608" i="17"/>
  <c r="S593" i="17"/>
  <c r="P592" i="17"/>
  <c r="S634" i="17"/>
  <c r="P633" i="17"/>
  <c r="S617" i="17"/>
  <c r="S616" i="17" s="1"/>
  <c r="P616" i="17"/>
  <c r="S601" i="17"/>
  <c r="P600" i="17"/>
  <c r="S585" i="17"/>
  <c r="S583" i="17" s="1"/>
  <c r="T586" i="17" s="1"/>
  <c r="P583" i="17"/>
  <c r="P382" i="17"/>
  <c r="S382" i="17" s="1"/>
  <c r="S383" i="17"/>
  <c r="P534" i="17"/>
  <c r="S534" i="17" s="1"/>
  <c r="P537" i="17"/>
  <c r="S537" i="17" s="1"/>
  <c r="P529" i="17"/>
  <c r="S529" i="17" s="1"/>
  <c r="P535" i="17"/>
  <c r="S535" i="17" s="1"/>
  <c r="P550" i="17"/>
  <c r="P424" i="17"/>
  <c r="S394" i="17"/>
  <c r="S393" i="17" s="1"/>
  <c r="T394" i="17" s="1"/>
  <c r="X394" i="17" s="1"/>
  <c r="P393" i="17"/>
  <c r="X419" i="17"/>
  <c r="W419" i="17"/>
  <c r="S371" i="17"/>
  <c r="P370" i="17"/>
  <c r="S370" i="17" s="1"/>
  <c r="S413" i="17"/>
  <c r="S412" i="17" s="1"/>
  <c r="P412" i="17"/>
  <c r="T421" i="17"/>
  <c r="T420" i="17"/>
  <c r="P516" i="17"/>
  <c r="S522" i="17"/>
  <c r="S516" i="17" s="1"/>
  <c r="T517" i="17" s="1"/>
  <c r="X517" i="17" s="1"/>
  <c r="S497" i="17"/>
  <c r="S491" i="17" s="1"/>
  <c r="P491" i="17"/>
  <c r="S472" i="17"/>
  <c r="S466" i="17" s="1"/>
  <c r="P466" i="17"/>
  <c r="S547" i="17"/>
  <c r="S541" i="17" s="1"/>
  <c r="P541" i="17"/>
  <c r="S449" i="17"/>
  <c r="S443" i="17" s="1"/>
  <c r="T448" i="17" s="1"/>
  <c r="X448" i="17" s="1"/>
  <c r="P443" i="17"/>
  <c r="P474" i="17"/>
  <c r="P499" i="17"/>
  <c r="S401" i="17"/>
  <c r="T404" i="17" s="1"/>
  <c r="S385" i="17"/>
  <c r="T387" i="17" s="1"/>
  <c r="S499" i="17"/>
  <c r="T513" i="17" s="1"/>
  <c r="X513" i="17" s="1"/>
  <c r="S428" i="17"/>
  <c r="T429" i="17" s="1"/>
  <c r="X429" i="17" s="1"/>
  <c r="P260" i="17"/>
  <c r="P451" i="17"/>
  <c r="S474" i="17"/>
  <c r="S453" i="17"/>
  <c r="S451" i="17" s="1"/>
  <c r="P356" i="17"/>
  <c r="S360" i="17"/>
  <c r="S526" i="17"/>
  <c r="W336" i="17"/>
  <c r="T338" i="17"/>
  <c r="W338" i="17" s="1"/>
  <c r="P277" i="17"/>
  <c r="S376" i="17"/>
  <c r="P374" i="17"/>
  <c r="S374" i="17" s="1"/>
  <c r="T377" i="17" s="1"/>
  <c r="S397" i="17"/>
  <c r="W301" i="17"/>
  <c r="X301" i="17"/>
  <c r="W322" i="17"/>
  <c r="X322" i="17"/>
  <c r="T325" i="17"/>
  <c r="T332" i="17"/>
  <c r="T324" i="17"/>
  <c r="T323" i="17"/>
  <c r="T339" i="17"/>
  <c r="P428" i="17"/>
  <c r="P401" i="17"/>
  <c r="W331" i="17"/>
  <c r="S278" i="17"/>
  <c r="T330" i="17"/>
  <c r="T333" i="17"/>
  <c r="P353" i="17"/>
  <c r="N352" i="17"/>
  <c r="P385" i="17"/>
  <c r="P384" i="17" s="1"/>
  <c r="T283" i="17"/>
  <c r="X306" i="17"/>
  <c r="T282" i="17"/>
  <c r="X348" i="17"/>
  <c r="W349" i="17"/>
  <c r="W348" i="17" s="1"/>
  <c r="W347" i="17"/>
  <c r="W346" i="17" s="1"/>
  <c r="X346" i="17"/>
  <c r="P298" i="17"/>
  <c r="P291" i="17" s="1"/>
  <c r="T337" i="17"/>
  <c r="T335" i="17"/>
  <c r="T300" i="17"/>
  <c r="S298" i="17"/>
  <c r="T304" i="17" s="1"/>
  <c r="S340" i="17"/>
  <c r="T302" i="17"/>
  <c r="T307" i="17"/>
  <c r="T309" i="17"/>
  <c r="S312" i="17"/>
  <c r="T313" i="17" s="1"/>
  <c r="T303" i="17"/>
  <c r="T297" i="17"/>
  <c r="S328" i="17"/>
  <c r="T305" i="17"/>
  <c r="T326" i="17"/>
  <c r="P311" i="17"/>
  <c r="T308" i="17"/>
  <c r="P328" i="17"/>
  <c r="P327" i="17" s="1"/>
  <c r="T296" i="17"/>
  <c r="T295" i="17"/>
  <c r="T294" i="17"/>
  <c r="T293" i="17"/>
  <c r="P284" i="17"/>
  <c r="S288" i="17"/>
  <c r="T290" i="17" s="1"/>
  <c r="S285" i="17"/>
  <c r="T355" i="17" l="1"/>
  <c r="Y352" i="17"/>
  <c r="X572" i="17"/>
  <c r="W566" i="17"/>
  <c r="X568" i="17"/>
  <c r="W563" i="17"/>
  <c r="W571" i="17"/>
  <c r="X561" i="17"/>
  <c r="W573" i="17"/>
  <c r="X573" i="17"/>
  <c r="X570" i="17"/>
  <c r="X567" i="17"/>
  <c r="W567" i="17"/>
  <c r="W581" i="17"/>
  <c r="W580" i="17" s="1"/>
  <c r="X581" i="17"/>
  <c r="X580" i="17" s="1"/>
  <c r="X575" i="17"/>
  <c r="X574" i="17" s="1"/>
  <c r="W575" i="17"/>
  <c r="W574" i="17" s="1"/>
  <c r="W577" i="17"/>
  <c r="W576" i="17" s="1"/>
  <c r="X577" i="17"/>
  <c r="X576" i="17" s="1"/>
  <c r="W579" i="17"/>
  <c r="W578" i="17" s="1"/>
  <c r="X579" i="17"/>
  <c r="X578" i="17" s="1"/>
  <c r="X562" i="17"/>
  <c r="W562" i="17"/>
  <c r="X569" i="17"/>
  <c r="W569" i="17"/>
  <c r="T279" i="17"/>
  <c r="X279" i="17" s="1"/>
  <c r="S277" i="17"/>
  <c r="X556" i="17"/>
  <c r="X555" i="17" s="1"/>
  <c r="W556" i="17"/>
  <c r="W555" i="17" s="1"/>
  <c r="W565" i="17"/>
  <c r="X565" i="17"/>
  <c r="X418" i="17"/>
  <c r="W560" i="17"/>
  <c r="X560" i="17"/>
  <c r="X558" i="17"/>
  <c r="W558" i="17"/>
  <c r="X564" i="17"/>
  <c r="W564" i="17"/>
  <c r="T371" i="17"/>
  <c r="X371" i="17" s="1"/>
  <c r="P624" i="17"/>
  <c r="P591" i="17" s="1"/>
  <c r="X425" i="17"/>
  <c r="X424" i="17" s="1"/>
  <c r="W425" i="17"/>
  <c r="W424" i="17" s="1"/>
  <c r="X422" i="17"/>
  <c r="P392" i="17"/>
  <c r="P391" i="17" s="1"/>
  <c r="P524" i="17"/>
  <c r="P523" i="17" s="1"/>
  <c r="T675" i="17"/>
  <c r="X675" i="17" s="1"/>
  <c r="T677" i="17"/>
  <c r="T681" i="17"/>
  <c r="T685" i="17"/>
  <c r="T678" i="17"/>
  <c r="T682" i="17"/>
  <c r="T679" i="17"/>
  <c r="T683" i="17"/>
  <c r="T676" i="17"/>
  <c r="T680" i="17"/>
  <c r="T684" i="17"/>
  <c r="W394" i="17"/>
  <c r="T383" i="17"/>
  <c r="W383" i="17" s="1"/>
  <c r="W382" i="17" s="1"/>
  <c r="X586" i="17"/>
  <c r="W586" i="17"/>
  <c r="X417" i="17"/>
  <c r="W417" i="17"/>
  <c r="T395" i="17"/>
  <c r="W395" i="17" s="1"/>
  <c r="S666" i="17"/>
  <c r="T667" i="17" s="1"/>
  <c r="X650" i="17"/>
  <c r="W650" i="17"/>
  <c r="T651" i="17"/>
  <c r="T661" i="17"/>
  <c r="T656" i="17"/>
  <c r="T663" i="17"/>
  <c r="T653" i="17"/>
  <c r="T652" i="17"/>
  <c r="T659" i="17"/>
  <c r="T658" i="17"/>
  <c r="T664" i="17"/>
  <c r="T665" i="17"/>
  <c r="T660" i="17"/>
  <c r="T662" i="17"/>
  <c r="T655" i="17"/>
  <c r="T654" i="17"/>
  <c r="T657" i="17"/>
  <c r="T588" i="17"/>
  <c r="T621" i="17"/>
  <c r="T632" i="17"/>
  <c r="S608" i="17"/>
  <c r="T609" i="17" s="1"/>
  <c r="T628" i="17"/>
  <c r="T623" i="17"/>
  <c r="T585" i="17"/>
  <c r="T617" i="17"/>
  <c r="T618" i="17"/>
  <c r="T587" i="17"/>
  <c r="T629" i="17"/>
  <c r="T626" i="17"/>
  <c r="T584" i="17"/>
  <c r="T630" i="17"/>
  <c r="T631" i="17"/>
  <c r="T590" i="17"/>
  <c r="T619" i="17"/>
  <c r="S592" i="17"/>
  <c r="T593" i="17" s="1"/>
  <c r="S524" i="17"/>
  <c r="S523" i="17" s="1"/>
  <c r="T541" i="17" s="1"/>
  <c r="T589" i="17"/>
  <c r="T620" i="17"/>
  <c r="T627" i="17"/>
  <c r="S600" i="17"/>
  <c r="T601" i="17" s="1"/>
  <c r="S633" i="17"/>
  <c r="T622" i="17"/>
  <c r="S641" i="17"/>
  <c r="X421" i="17"/>
  <c r="W421" i="17"/>
  <c r="X420" i="17"/>
  <c r="W420" i="17"/>
  <c r="T521" i="17"/>
  <c r="X521" i="17" s="1"/>
  <c r="T447" i="17"/>
  <c r="X447" i="17" s="1"/>
  <c r="W448" i="17"/>
  <c r="X395" i="17"/>
  <c r="X393" i="17" s="1"/>
  <c r="T518" i="17"/>
  <c r="X518" i="17" s="1"/>
  <c r="T449" i="17"/>
  <c r="X449" i="17" s="1"/>
  <c r="W517" i="17"/>
  <c r="T522" i="17"/>
  <c r="X522" i="17" s="1"/>
  <c r="P427" i="17"/>
  <c r="P498" i="17"/>
  <c r="T445" i="17"/>
  <c r="X445" i="17" s="1"/>
  <c r="T519" i="17"/>
  <c r="X519" i="17" s="1"/>
  <c r="T520" i="17"/>
  <c r="X520" i="17" s="1"/>
  <c r="P473" i="17"/>
  <c r="T496" i="17"/>
  <c r="T497" i="17"/>
  <c r="X497" i="17" s="1"/>
  <c r="T495" i="17"/>
  <c r="X495" i="17" s="1"/>
  <c r="T494" i="17"/>
  <c r="X494" i="17" s="1"/>
  <c r="T493" i="17"/>
  <c r="T492" i="17"/>
  <c r="X492" i="17" s="1"/>
  <c r="X338" i="17"/>
  <c r="T406" i="17"/>
  <c r="X406" i="17" s="1"/>
  <c r="T446" i="17"/>
  <c r="X446" i="17" s="1"/>
  <c r="T444" i="17"/>
  <c r="X444" i="17" s="1"/>
  <c r="P450" i="17"/>
  <c r="T408" i="17"/>
  <c r="X408" i="17" s="1"/>
  <c r="T410" i="17"/>
  <c r="X410" i="17" s="1"/>
  <c r="T402" i="17"/>
  <c r="W402" i="17" s="1"/>
  <c r="T506" i="17"/>
  <c r="X506" i="17" s="1"/>
  <c r="T504" i="17"/>
  <c r="X504" i="17" s="1"/>
  <c r="S498" i="17"/>
  <c r="T515" i="17"/>
  <c r="X515" i="17" s="1"/>
  <c r="T509" i="17"/>
  <c r="X509" i="17" s="1"/>
  <c r="T510" i="17"/>
  <c r="X510" i="17" s="1"/>
  <c r="T514" i="17"/>
  <c r="X514" i="17" s="1"/>
  <c r="T503" i="17"/>
  <c r="X503" i="17" s="1"/>
  <c r="T508" i="17"/>
  <c r="X508" i="17" s="1"/>
  <c r="T479" i="17"/>
  <c r="X479" i="17" s="1"/>
  <c r="S473" i="17"/>
  <c r="T491" i="17" s="1"/>
  <c r="T431" i="17"/>
  <c r="X431" i="17" s="1"/>
  <c r="S427" i="17"/>
  <c r="T443" i="17" s="1"/>
  <c r="T430" i="17"/>
  <c r="X430" i="17" s="1"/>
  <c r="T458" i="17"/>
  <c r="X458" i="17" s="1"/>
  <c r="S450" i="17"/>
  <c r="T451" i="17" s="1"/>
  <c r="T500" i="17"/>
  <c r="X500" i="17" s="1"/>
  <c r="T505" i="17"/>
  <c r="X505" i="17" s="1"/>
  <c r="T502" i="17"/>
  <c r="X502" i="17" s="1"/>
  <c r="T507" i="17"/>
  <c r="X507" i="17" s="1"/>
  <c r="T512" i="17"/>
  <c r="T511" i="17"/>
  <c r="X511" i="17" s="1"/>
  <c r="T501" i="17"/>
  <c r="X501" i="17" s="1"/>
  <c r="T386" i="17"/>
  <c r="W386" i="17" s="1"/>
  <c r="W377" i="17"/>
  <c r="X377" i="17"/>
  <c r="X387" i="17"/>
  <c r="W387" i="17"/>
  <c r="T378" i="17"/>
  <c r="T380" i="17"/>
  <c r="T489" i="17"/>
  <c r="X489" i="17" s="1"/>
  <c r="T376" i="17"/>
  <c r="T405" i="17"/>
  <c r="T407" i="17"/>
  <c r="T409" i="17"/>
  <c r="T411" i="17"/>
  <c r="T403" i="17"/>
  <c r="T375" i="17"/>
  <c r="T379" i="17"/>
  <c r="T373" i="17"/>
  <c r="S396" i="17"/>
  <c r="T397" i="17" s="1"/>
  <c r="T414" i="17"/>
  <c r="T372" i="17"/>
  <c r="S356" i="17"/>
  <c r="T413" i="17"/>
  <c r="T381" i="17"/>
  <c r="S384" i="17"/>
  <c r="X404" i="17"/>
  <c r="W404" i="17"/>
  <c r="T482" i="17"/>
  <c r="X482" i="17" s="1"/>
  <c r="T432" i="17"/>
  <c r="X432" i="17" s="1"/>
  <c r="T437" i="17"/>
  <c r="X437" i="17" s="1"/>
  <c r="T455" i="17"/>
  <c r="X455" i="17" s="1"/>
  <c r="T438" i="17"/>
  <c r="X438" i="17" s="1"/>
  <c r="T439" i="17"/>
  <c r="X439" i="17" s="1"/>
  <c r="T456" i="17"/>
  <c r="X456" i="17" s="1"/>
  <c r="T433" i="17"/>
  <c r="X433" i="17" s="1"/>
  <c r="T441" i="17"/>
  <c r="X441" i="17" s="1"/>
  <c r="T440" i="17"/>
  <c r="X440" i="17" s="1"/>
  <c r="T435" i="17"/>
  <c r="X435" i="17" s="1"/>
  <c r="T434" i="17"/>
  <c r="X434" i="17" s="1"/>
  <c r="T442" i="17"/>
  <c r="X442" i="17" s="1"/>
  <c r="T436" i="17"/>
  <c r="X436" i="17" s="1"/>
  <c r="T486" i="17"/>
  <c r="X486" i="17" s="1"/>
  <c r="T478" i="17"/>
  <c r="X478" i="17" s="1"/>
  <c r="T477" i="17"/>
  <c r="X477" i="17" s="1"/>
  <c r="T453" i="17"/>
  <c r="X453" i="17" s="1"/>
  <c r="T484" i="17"/>
  <c r="X484" i="17" s="1"/>
  <c r="T490" i="17"/>
  <c r="X490" i="17" s="1"/>
  <c r="T463" i="17"/>
  <c r="X463" i="17" s="1"/>
  <c r="T480" i="17"/>
  <c r="X480" i="17" s="1"/>
  <c r="T476" i="17"/>
  <c r="X476" i="17" s="1"/>
  <c r="T485" i="17"/>
  <c r="X485" i="17" s="1"/>
  <c r="T487" i="17"/>
  <c r="X487" i="17" s="1"/>
  <c r="T465" i="17"/>
  <c r="X465" i="17" s="1"/>
  <c r="T483" i="17"/>
  <c r="X483" i="17" s="1"/>
  <c r="T488" i="17"/>
  <c r="X488" i="17" s="1"/>
  <c r="T481" i="17"/>
  <c r="X481" i="17" s="1"/>
  <c r="T475" i="17"/>
  <c r="X475" i="17" s="1"/>
  <c r="T353" i="17"/>
  <c r="W353" i="17" s="1"/>
  <c r="T454" i="17"/>
  <c r="X454" i="17" s="1"/>
  <c r="T461" i="17"/>
  <c r="X461" i="17" s="1"/>
  <c r="T464" i="17"/>
  <c r="X464" i="17" s="1"/>
  <c r="T459" i="17"/>
  <c r="X459" i="17" s="1"/>
  <c r="T457" i="17"/>
  <c r="X457" i="17" s="1"/>
  <c r="T460" i="17"/>
  <c r="X460" i="17" s="1"/>
  <c r="T452" i="17"/>
  <c r="T462" i="17"/>
  <c r="W513" i="17"/>
  <c r="P369" i="17"/>
  <c r="S369" i="17" s="1"/>
  <c r="W313" i="17"/>
  <c r="X313" i="17"/>
  <c r="W283" i="17"/>
  <c r="X283" i="17"/>
  <c r="X355" i="17"/>
  <c r="W355" i="17"/>
  <c r="W323" i="17"/>
  <c r="X323" i="17"/>
  <c r="W294" i="17"/>
  <c r="X294" i="17"/>
  <c r="W308" i="17"/>
  <c r="X308" i="17"/>
  <c r="X300" i="17"/>
  <c r="W300" i="17"/>
  <c r="W282" i="17"/>
  <c r="X282" i="17"/>
  <c r="V352" i="17"/>
  <c r="T354" i="17"/>
  <c r="W333" i="17"/>
  <c r="X333" i="17"/>
  <c r="X332" i="17"/>
  <c r="W332" i="17"/>
  <c r="W290" i="17"/>
  <c r="X290" i="17"/>
  <c r="W295" i="17"/>
  <c r="X295" i="17"/>
  <c r="W297" i="17"/>
  <c r="X297" i="17"/>
  <c r="X302" i="17"/>
  <c r="W302" i="17"/>
  <c r="W335" i="17"/>
  <c r="X335" i="17"/>
  <c r="W330" i="17"/>
  <c r="X330" i="17"/>
  <c r="W325" i="17"/>
  <c r="X325" i="17"/>
  <c r="X296" i="17"/>
  <c r="W296" i="17"/>
  <c r="W326" i="17"/>
  <c r="X326" i="17"/>
  <c r="W303" i="17"/>
  <c r="X303" i="17"/>
  <c r="X309" i="17"/>
  <c r="W309" i="17"/>
  <c r="X337" i="17"/>
  <c r="W337" i="17"/>
  <c r="S353" i="17"/>
  <c r="S352" i="17" s="1"/>
  <c r="P352" i="17"/>
  <c r="X293" i="17"/>
  <c r="W293" i="17"/>
  <c r="X305" i="17"/>
  <c r="W305" i="17"/>
  <c r="X307" i="17"/>
  <c r="W307" i="17"/>
  <c r="T280" i="17"/>
  <c r="W339" i="17"/>
  <c r="X339" i="17"/>
  <c r="W324" i="17"/>
  <c r="X324" i="17"/>
  <c r="T547" i="17"/>
  <c r="T544" i="17"/>
  <c r="T545" i="17"/>
  <c r="T546" i="17"/>
  <c r="T543" i="17"/>
  <c r="T542" i="17"/>
  <c r="W429" i="17"/>
  <c r="P310" i="17"/>
  <c r="T329" i="17"/>
  <c r="S327" i="17"/>
  <c r="T340" i="17" s="1"/>
  <c r="T342" i="17"/>
  <c r="X342" i="17" s="1"/>
  <c r="T344" i="17"/>
  <c r="X344" i="17" s="1"/>
  <c r="T345" i="17"/>
  <c r="X345" i="17" s="1"/>
  <c r="T343" i="17"/>
  <c r="X343" i="17" s="1"/>
  <c r="T341" i="17"/>
  <c r="X341" i="17" s="1"/>
  <c r="T334" i="17"/>
  <c r="T289" i="17"/>
  <c r="S311" i="17"/>
  <c r="T312" i="17" s="1"/>
  <c r="T319" i="17"/>
  <c r="T316" i="17"/>
  <c r="T317" i="17"/>
  <c r="T318" i="17"/>
  <c r="T320" i="17"/>
  <c r="T315" i="17"/>
  <c r="T314" i="17"/>
  <c r="S291" i="17"/>
  <c r="T292" i="17" s="1"/>
  <c r="T299" i="17"/>
  <c r="S284" i="17"/>
  <c r="T287" i="17"/>
  <c r="T286" i="17"/>
  <c r="W371" i="17" l="1"/>
  <c r="W279" i="17"/>
  <c r="W453" i="17"/>
  <c r="W497" i="17"/>
  <c r="T540" i="17"/>
  <c r="X540" i="17" s="1"/>
  <c r="X383" i="17"/>
  <c r="X382" i="17" s="1"/>
  <c r="X557" i="17"/>
  <c r="T532" i="17"/>
  <c r="W532" i="17" s="1"/>
  <c r="T533" i="17"/>
  <c r="X533" i="17" s="1"/>
  <c r="T527" i="17"/>
  <c r="X527" i="17" s="1"/>
  <c r="T525" i="17"/>
  <c r="X525" i="17" s="1"/>
  <c r="T534" i="17"/>
  <c r="X534" i="17" s="1"/>
  <c r="W518" i="17"/>
  <c r="T531" i="17"/>
  <c r="X531" i="17" s="1"/>
  <c r="T538" i="17"/>
  <c r="X538" i="17" s="1"/>
  <c r="W393" i="17"/>
  <c r="W557" i="17"/>
  <c r="T526" i="17"/>
  <c r="X526" i="17" s="1"/>
  <c r="T530" i="17"/>
  <c r="X530" i="17" s="1"/>
  <c r="T539" i="17"/>
  <c r="X539" i="17" s="1"/>
  <c r="T537" i="17"/>
  <c r="X537" i="17" s="1"/>
  <c r="W520" i="17"/>
  <c r="W521" i="17"/>
  <c r="T536" i="17"/>
  <c r="X536" i="17" s="1"/>
  <c r="T529" i="17"/>
  <c r="X529" i="17" s="1"/>
  <c r="T535" i="17"/>
  <c r="X535" i="17" s="1"/>
  <c r="T528" i="17"/>
  <c r="X528" i="17" s="1"/>
  <c r="W675" i="17"/>
  <c r="W447" i="17"/>
  <c r="W494" i="17"/>
  <c r="X680" i="17"/>
  <c r="W680" i="17"/>
  <c r="X681" i="17"/>
  <c r="W681" i="17"/>
  <c r="W676" i="17"/>
  <c r="X676" i="17"/>
  <c r="W682" i="17"/>
  <c r="X682" i="17"/>
  <c r="W677" i="17"/>
  <c r="X677" i="17"/>
  <c r="W683" i="17"/>
  <c r="X683" i="17"/>
  <c r="X678" i="17"/>
  <c r="W678" i="17"/>
  <c r="X684" i="17"/>
  <c r="W684" i="17"/>
  <c r="W679" i="17"/>
  <c r="X679" i="17"/>
  <c r="W685" i="17"/>
  <c r="X685" i="17"/>
  <c r="W601" i="17"/>
  <c r="X601" i="17"/>
  <c r="X609" i="17"/>
  <c r="W609" i="17"/>
  <c r="X622" i="17"/>
  <c r="W622" i="17"/>
  <c r="W627" i="17"/>
  <c r="X627" i="17"/>
  <c r="X593" i="17"/>
  <c r="W593" i="17"/>
  <c r="W631" i="17"/>
  <c r="X631" i="17"/>
  <c r="X629" i="17"/>
  <c r="W629" i="17"/>
  <c r="W585" i="17"/>
  <c r="X585" i="17"/>
  <c r="X620" i="17"/>
  <c r="W620" i="17"/>
  <c r="X630" i="17"/>
  <c r="W630" i="17"/>
  <c r="W587" i="17"/>
  <c r="X587" i="17"/>
  <c r="W623" i="17"/>
  <c r="X623" i="17"/>
  <c r="X632" i="17"/>
  <c r="W632" i="17"/>
  <c r="W667" i="17"/>
  <c r="X667" i="17"/>
  <c r="X416" i="17"/>
  <c r="W589" i="17"/>
  <c r="X589" i="17"/>
  <c r="W619" i="17"/>
  <c r="X619" i="17"/>
  <c r="X584" i="17"/>
  <c r="W584" i="17"/>
  <c r="X618" i="17"/>
  <c r="W618" i="17"/>
  <c r="X628" i="17"/>
  <c r="W628" i="17"/>
  <c r="X621" i="17"/>
  <c r="W621" i="17"/>
  <c r="T669" i="17"/>
  <c r="T673" i="17"/>
  <c r="T672" i="17"/>
  <c r="T668" i="17"/>
  <c r="T671" i="17"/>
  <c r="T670" i="17"/>
  <c r="X590" i="17"/>
  <c r="W590" i="17"/>
  <c r="X626" i="17"/>
  <c r="W626" i="17"/>
  <c r="W617" i="17"/>
  <c r="X617" i="17"/>
  <c r="X588" i="17"/>
  <c r="W588" i="17"/>
  <c r="W654" i="17"/>
  <c r="X654" i="17"/>
  <c r="X665" i="17"/>
  <c r="W665" i="17"/>
  <c r="W652" i="17"/>
  <c r="X652" i="17"/>
  <c r="W661" i="17"/>
  <c r="X661" i="17"/>
  <c r="X655" i="17"/>
  <c r="W655" i="17"/>
  <c r="X664" i="17"/>
  <c r="W664" i="17"/>
  <c r="X653" i="17"/>
  <c r="W653" i="17"/>
  <c r="X651" i="17"/>
  <c r="W651" i="17"/>
  <c r="W662" i="17"/>
  <c r="X662" i="17"/>
  <c r="X658" i="17"/>
  <c r="W658" i="17"/>
  <c r="X663" i="17"/>
  <c r="W663" i="17"/>
  <c r="X657" i="17"/>
  <c r="W657" i="17"/>
  <c r="X660" i="17"/>
  <c r="W660" i="17"/>
  <c r="X659" i="17"/>
  <c r="W659" i="17"/>
  <c r="X656" i="17"/>
  <c r="W656" i="17"/>
  <c r="T635" i="17"/>
  <c r="T637" i="17"/>
  <c r="T639" i="17"/>
  <c r="T636" i="17"/>
  <c r="T640" i="17"/>
  <c r="T638" i="17"/>
  <c r="W416" i="17"/>
  <c r="S624" i="17"/>
  <c r="T641" i="17" s="1"/>
  <c r="T647" i="17"/>
  <c r="T648" i="17"/>
  <c r="T646" i="17"/>
  <c r="T644" i="17"/>
  <c r="T645" i="17"/>
  <c r="T643" i="17"/>
  <c r="T634" i="17"/>
  <c r="T611" i="17"/>
  <c r="T610" i="17"/>
  <c r="T613" i="17"/>
  <c r="T615" i="17"/>
  <c r="T614" i="17"/>
  <c r="T612" i="17"/>
  <c r="T642" i="17"/>
  <c r="T605" i="17"/>
  <c r="T606" i="17"/>
  <c r="T604" i="17"/>
  <c r="T603" i="17"/>
  <c r="T602" i="17"/>
  <c r="T607" i="17"/>
  <c r="T596" i="17"/>
  <c r="T594" i="17"/>
  <c r="T595" i="17"/>
  <c r="T597" i="17"/>
  <c r="T599" i="17"/>
  <c r="T598" i="17"/>
  <c r="W495" i="17"/>
  <c r="W479" i="17"/>
  <c r="W444" i="17"/>
  <c r="P426" i="17"/>
  <c r="P423" i="17" s="1"/>
  <c r="W449" i="17"/>
  <c r="W410" i="17"/>
  <c r="W406" i="17"/>
  <c r="W445" i="17"/>
  <c r="T524" i="17"/>
  <c r="W522" i="17"/>
  <c r="W519" i="17"/>
  <c r="W408" i="17"/>
  <c r="X516" i="17"/>
  <c r="X402" i="17"/>
  <c r="W482" i="17"/>
  <c r="W510" i="17"/>
  <c r="W492" i="17"/>
  <c r="W446" i="17"/>
  <c r="W501" i="17"/>
  <c r="W504" i="17"/>
  <c r="W502" i="17"/>
  <c r="T474" i="17"/>
  <c r="X493" i="17"/>
  <c r="W493" i="17"/>
  <c r="X496" i="17"/>
  <c r="W496" i="17"/>
  <c r="T428" i="17"/>
  <c r="X386" i="17"/>
  <c r="X385" i="17" s="1"/>
  <c r="X384" i="17" s="1"/>
  <c r="X428" i="17"/>
  <c r="W431" i="17"/>
  <c r="W430" i="17"/>
  <c r="W483" i="17"/>
  <c r="W458" i="17"/>
  <c r="W506" i="17"/>
  <c r="W509" i="17"/>
  <c r="W514" i="17"/>
  <c r="W500" i="17"/>
  <c r="W511" i="17"/>
  <c r="W508" i="17"/>
  <c r="T499" i="17"/>
  <c r="T516" i="17"/>
  <c r="W503" i="17"/>
  <c r="W515" i="17"/>
  <c r="W437" i="17"/>
  <c r="W439" i="17"/>
  <c r="T466" i="17"/>
  <c r="S426" i="17"/>
  <c r="T450" i="17" s="1"/>
  <c r="T467" i="17"/>
  <c r="X467" i="17" s="1"/>
  <c r="W505" i="17"/>
  <c r="W507" i="17"/>
  <c r="X512" i="17"/>
  <c r="X499" i="17" s="1"/>
  <c r="W512" i="17"/>
  <c r="X474" i="17"/>
  <c r="W456" i="17"/>
  <c r="W381" i="17"/>
  <c r="X381" i="17"/>
  <c r="W414" i="17"/>
  <c r="X414" i="17"/>
  <c r="W375" i="17"/>
  <c r="X375" i="17"/>
  <c r="W380" i="17"/>
  <c r="X380" i="17"/>
  <c r="W442" i="17"/>
  <c r="W397" i="17"/>
  <c r="X397" i="17"/>
  <c r="W409" i="17"/>
  <c r="X409" i="17"/>
  <c r="W438" i="17"/>
  <c r="T382" i="17"/>
  <c r="T385" i="17"/>
  <c r="X413" i="17"/>
  <c r="W413" i="17"/>
  <c r="W372" i="17"/>
  <c r="X372" i="17"/>
  <c r="X373" i="17"/>
  <c r="W373" i="17"/>
  <c r="T374" i="17"/>
  <c r="W407" i="17"/>
  <c r="X407" i="17"/>
  <c r="W432" i="17"/>
  <c r="W489" i="17"/>
  <c r="T365" i="17"/>
  <c r="T366" i="17"/>
  <c r="T358" i="17"/>
  <c r="T361" i="17"/>
  <c r="T362" i="17"/>
  <c r="T359" i="17"/>
  <c r="T363" i="17"/>
  <c r="T367" i="17"/>
  <c r="T357" i="17"/>
  <c r="T364" i="17"/>
  <c r="W385" i="17"/>
  <c r="W384" i="17" s="1"/>
  <c r="T360" i="17"/>
  <c r="T370" i="17"/>
  <c r="W403" i="17"/>
  <c r="X403" i="17"/>
  <c r="X405" i="17"/>
  <c r="W405" i="17"/>
  <c r="W376" i="17"/>
  <c r="X376" i="17"/>
  <c r="T399" i="17"/>
  <c r="T398" i="17"/>
  <c r="T400" i="17"/>
  <c r="S392" i="17"/>
  <c r="X379" i="17"/>
  <c r="W379" i="17"/>
  <c r="X411" i="17"/>
  <c r="W411" i="17"/>
  <c r="X378" i="17"/>
  <c r="W378" i="17"/>
  <c r="W455" i="17"/>
  <c r="T472" i="17"/>
  <c r="X472" i="17" s="1"/>
  <c r="W486" i="17"/>
  <c r="W440" i="17"/>
  <c r="W441" i="17"/>
  <c r="W477" i="17"/>
  <c r="T470" i="17"/>
  <c r="X470" i="17" s="1"/>
  <c r="W433" i="17"/>
  <c r="W434" i="17"/>
  <c r="W480" i="17"/>
  <c r="W436" i="17"/>
  <c r="W435" i="17"/>
  <c r="W463" i="17"/>
  <c r="W484" i="17"/>
  <c r="X281" i="17"/>
  <c r="W478" i="17"/>
  <c r="T471" i="17"/>
  <c r="X471" i="17" s="1"/>
  <c r="T468" i="17"/>
  <c r="W460" i="17"/>
  <c r="W481" i="17"/>
  <c r="W490" i="17"/>
  <c r="W487" i="17"/>
  <c r="T469" i="17"/>
  <c r="X469" i="17" s="1"/>
  <c r="W475" i="17"/>
  <c r="W457" i="17"/>
  <c r="W485" i="17"/>
  <c r="W476" i="17"/>
  <c r="W465" i="17"/>
  <c r="W488" i="17"/>
  <c r="W454" i="17"/>
  <c r="W459" i="17"/>
  <c r="W464" i="17"/>
  <c r="X353" i="17"/>
  <c r="X321" i="17"/>
  <c r="X452" i="17"/>
  <c r="W452" i="17"/>
  <c r="W461" i="17"/>
  <c r="P368" i="17"/>
  <c r="S368" i="17" s="1"/>
  <c r="W304" i="17"/>
  <c r="X329" i="17"/>
  <c r="X462" i="17"/>
  <c r="W462" i="17"/>
  <c r="W321" i="17"/>
  <c r="X286" i="17"/>
  <c r="W286" i="17"/>
  <c r="X287" i="17"/>
  <c r="W287" i="17"/>
  <c r="W280" i="17"/>
  <c r="X280" i="17"/>
  <c r="X278" i="17" s="1"/>
  <c r="X304" i="17"/>
  <c r="W329" i="17"/>
  <c r="W354" i="17"/>
  <c r="W352" i="17" s="1"/>
  <c r="X354" i="17"/>
  <c r="W318" i="17"/>
  <c r="X318" i="17"/>
  <c r="X314" i="17"/>
  <c r="W314" i="17"/>
  <c r="W317" i="17"/>
  <c r="X317" i="17"/>
  <c r="X315" i="17"/>
  <c r="W315" i="17"/>
  <c r="W316" i="17"/>
  <c r="X316" i="17"/>
  <c r="W289" i="17"/>
  <c r="W288" i="17" s="1"/>
  <c r="X289" i="17"/>
  <c r="X288" i="17" s="1"/>
  <c r="T328" i="17"/>
  <c r="W292" i="17"/>
  <c r="W281" i="17"/>
  <c r="W299" i="17"/>
  <c r="X292" i="17"/>
  <c r="W334" i="17"/>
  <c r="W320" i="17"/>
  <c r="X320" i="17"/>
  <c r="W319" i="17"/>
  <c r="X319" i="17"/>
  <c r="T298" i="17"/>
  <c r="X334" i="17"/>
  <c r="X299" i="17"/>
  <c r="W546" i="17"/>
  <c r="X546" i="17"/>
  <c r="X545" i="17"/>
  <c r="W545" i="17"/>
  <c r="X542" i="17"/>
  <c r="W542" i="17"/>
  <c r="X544" i="17"/>
  <c r="W544" i="17"/>
  <c r="X543" i="17"/>
  <c r="W543" i="17"/>
  <c r="X547" i="17"/>
  <c r="W547" i="17"/>
  <c r="X443" i="17"/>
  <c r="W345" i="17"/>
  <c r="W344" i="17"/>
  <c r="W341" i="17"/>
  <c r="W342" i="17"/>
  <c r="W343" i="17"/>
  <c r="T321" i="17"/>
  <c r="S310" i="17"/>
  <c r="T311" i="17" s="1"/>
  <c r="W278" i="17" l="1"/>
  <c r="W527" i="17"/>
  <c r="W536" i="17"/>
  <c r="W531" i="17"/>
  <c r="W540" i="17"/>
  <c r="W535" i="17"/>
  <c r="W537" i="17"/>
  <c r="W526" i="17"/>
  <c r="W529" i="17"/>
  <c r="W534" i="17"/>
  <c r="X532" i="17"/>
  <c r="X524" i="17" s="1"/>
  <c r="W533" i="17"/>
  <c r="W525" i="17"/>
  <c r="W583" i="17"/>
  <c r="W538" i="17"/>
  <c r="W530" i="17"/>
  <c r="W528" i="17"/>
  <c r="X583" i="17"/>
  <c r="X674" i="17"/>
  <c r="W539" i="17"/>
  <c r="W674" i="17"/>
  <c r="W616" i="17"/>
  <c r="S591" i="17"/>
  <c r="T600" i="17" s="1"/>
  <c r="W625" i="17"/>
  <c r="W598" i="17"/>
  <c r="X598" i="17"/>
  <c r="W594" i="17"/>
  <c r="X594" i="17"/>
  <c r="W607" i="17"/>
  <c r="X607" i="17"/>
  <c r="X606" i="17"/>
  <c r="W606" i="17"/>
  <c r="W612" i="17"/>
  <c r="X612" i="17"/>
  <c r="X610" i="17"/>
  <c r="W610" i="17"/>
  <c r="W643" i="17"/>
  <c r="X643" i="17"/>
  <c r="X648" i="17"/>
  <c r="W648" i="17"/>
  <c r="X639" i="17"/>
  <c r="W639" i="17"/>
  <c r="W672" i="17"/>
  <c r="X672" i="17"/>
  <c r="X599" i="17"/>
  <c r="W599" i="17"/>
  <c r="X596" i="17"/>
  <c r="W596" i="17"/>
  <c r="X602" i="17"/>
  <c r="W602" i="17"/>
  <c r="W605" i="17"/>
  <c r="X605" i="17"/>
  <c r="X614" i="17"/>
  <c r="W614" i="17"/>
  <c r="W645" i="17"/>
  <c r="X645" i="17"/>
  <c r="X647" i="17"/>
  <c r="W647" i="17"/>
  <c r="W638" i="17"/>
  <c r="X638" i="17"/>
  <c r="X637" i="17"/>
  <c r="W637" i="17"/>
  <c r="W670" i="17"/>
  <c r="X670" i="17"/>
  <c r="W673" i="17"/>
  <c r="X673" i="17"/>
  <c r="W597" i="17"/>
  <c r="X597" i="17"/>
  <c r="X603" i="17"/>
  <c r="W603" i="17"/>
  <c r="W615" i="17"/>
  <c r="X615" i="17"/>
  <c r="X611" i="17"/>
  <c r="W611" i="17"/>
  <c r="X644" i="17"/>
  <c r="W644" i="17"/>
  <c r="X640" i="17"/>
  <c r="W640" i="17"/>
  <c r="W635" i="17"/>
  <c r="X635" i="17"/>
  <c r="X625" i="17"/>
  <c r="X671" i="17"/>
  <c r="W671" i="17"/>
  <c r="X669" i="17"/>
  <c r="W669" i="17"/>
  <c r="X595" i="17"/>
  <c r="W595" i="17"/>
  <c r="X604" i="17"/>
  <c r="W604" i="17"/>
  <c r="X642" i="17"/>
  <c r="W642" i="17"/>
  <c r="X613" i="17"/>
  <c r="W613" i="17"/>
  <c r="X634" i="17"/>
  <c r="W634" i="17"/>
  <c r="X646" i="17"/>
  <c r="W646" i="17"/>
  <c r="W636" i="17"/>
  <c r="X636" i="17"/>
  <c r="X616" i="17"/>
  <c r="X668" i="17"/>
  <c r="W668" i="17"/>
  <c r="X649" i="17"/>
  <c r="W649" i="17"/>
  <c r="T625" i="17"/>
  <c r="T633" i="17"/>
  <c r="W516" i="17"/>
  <c r="W443" i="17"/>
  <c r="W491" i="17"/>
  <c r="W467" i="17"/>
  <c r="X491" i="17"/>
  <c r="X473" i="17" s="1"/>
  <c r="X427" i="17"/>
  <c r="X370" i="17"/>
  <c r="W370" i="17"/>
  <c r="W401" i="17"/>
  <c r="X498" i="17"/>
  <c r="W499" i="17"/>
  <c r="T498" i="17"/>
  <c r="T523" i="17"/>
  <c r="S423" i="17"/>
  <c r="T473" i="17"/>
  <c r="T427" i="17"/>
  <c r="T369" i="17"/>
  <c r="T384" i="17"/>
  <c r="X401" i="17"/>
  <c r="W412" i="17"/>
  <c r="S351" i="17"/>
  <c r="W474" i="17"/>
  <c r="W451" i="17"/>
  <c r="X451" i="17"/>
  <c r="W428" i="17"/>
  <c r="S391" i="17"/>
  <c r="T392" i="17" s="1"/>
  <c r="T393" i="17"/>
  <c r="X399" i="17"/>
  <c r="W399" i="17"/>
  <c r="W363" i="17"/>
  <c r="X363" i="17"/>
  <c r="W358" i="17"/>
  <c r="X358" i="17"/>
  <c r="W400" i="17"/>
  <c r="X400" i="17"/>
  <c r="X364" i="17"/>
  <c r="W364" i="17"/>
  <c r="W359" i="17"/>
  <c r="X359" i="17"/>
  <c r="X366" i="17"/>
  <c r="W366" i="17"/>
  <c r="W398" i="17"/>
  <c r="X398" i="17"/>
  <c r="X357" i="17"/>
  <c r="W357" i="17"/>
  <c r="X362" i="17"/>
  <c r="W362" i="17"/>
  <c r="X365" i="17"/>
  <c r="W365" i="17"/>
  <c r="X412" i="17"/>
  <c r="X374" i="17"/>
  <c r="P351" i="17"/>
  <c r="T396" i="17"/>
  <c r="W360" i="17"/>
  <c r="X360" i="17"/>
  <c r="X367" i="17"/>
  <c r="W367" i="17"/>
  <c r="X361" i="17"/>
  <c r="W361" i="17"/>
  <c r="W374" i="17"/>
  <c r="X328" i="17"/>
  <c r="X352" i="17"/>
  <c r="W471" i="17"/>
  <c r="W472" i="17"/>
  <c r="W470" i="17"/>
  <c r="W469" i="17"/>
  <c r="W298" i="17"/>
  <c r="W291" i="17" s="1"/>
  <c r="X468" i="17"/>
  <c r="X466" i="17" s="1"/>
  <c r="W468" i="17"/>
  <c r="T327" i="17"/>
  <c r="X312" i="17"/>
  <c r="X311" i="17" s="1"/>
  <c r="X298" i="17"/>
  <c r="X291" i="17" s="1"/>
  <c r="W312" i="17"/>
  <c r="W311" i="17" s="1"/>
  <c r="W285" i="17"/>
  <c r="W328" i="17"/>
  <c r="X285" i="17"/>
  <c r="W541" i="17"/>
  <c r="X541" i="17"/>
  <c r="W340" i="17"/>
  <c r="X340" i="17"/>
  <c r="T624" i="17" l="1"/>
  <c r="W524" i="17"/>
  <c r="W523" i="17" s="1"/>
  <c r="S582" i="17"/>
  <c r="T583" i="17" s="1"/>
  <c r="T616" i="17"/>
  <c r="T608" i="17"/>
  <c r="T592" i="17"/>
  <c r="X592" i="17"/>
  <c r="W600" i="17"/>
  <c r="W473" i="17"/>
  <c r="W633" i="17"/>
  <c r="W592" i="17"/>
  <c r="W666" i="17"/>
  <c r="W608" i="17"/>
  <c r="X666" i="17"/>
  <c r="X608" i="17"/>
  <c r="X600" i="17"/>
  <c r="W641" i="17"/>
  <c r="X633" i="17"/>
  <c r="X641" i="17"/>
  <c r="W427" i="17"/>
  <c r="W498" i="17"/>
  <c r="W327" i="17"/>
  <c r="W310" i="17" s="1"/>
  <c r="W396" i="17"/>
  <c r="W392" i="17" s="1"/>
  <c r="W369" i="17"/>
  <c r="W368" i="17" s="1"/>
  <c r="X369" i="17"/>
  <c r="X368" i="17" s="1"/>
  <c r="X396" i="17"/>
  <c r="X392" i="17" s="1"/>
  <c r="X327" i="17"/>
  <c r="X310" i="17" s="1"/>
  <c r="X523" i="17"/>
  <c r="T424" i="17"/>
  <c r="T426" i="17"/>
  <c r="X450" i="17"/>
  <c r="T352" i="17"/>
  <c r="T356" i="17"/>
  <c r="T368" i="17"/>
  <c r="X356" i="17"/>
  <c r="T401" i="17"/>
  <c r="T412" i="17"/>
  <c r="W356" i="17"/>
  <c r="W466" i="17"/>
  <c r="W450" i="17" s="1"/>
  <c r="T649" i="17" l="1"/>
  <c r="T591" i="17"/>
  <c r="T666" i="17"/>
  <c r="W624" i="17"/>
  <c r="W591" i="17" s="1"/>
  <c r="X624" i="17"/>
  <c r="X591" i="17" s="1"/>
  <c r="X426" i="17"/>
  <c r="X423" i="17" s="1"/>
  <c r="W426" i="17"/>
  <c r="W423" i="17" s="1"/>
  <c r="X351" i="17"/>
  <c r="W351" i="17"/>
  <c r="X391" i="17"/>
  <c r="W391" i="17"/>
  <c r="S274" i="17"/>
  <c r="S271" i="17"/>
  <c r="S266" i="17"/>
  <c r="S261" i="17"/>
  <c r="X582" i="17" l="1"/>
  <c r="W582" i="17"/>
  <c r="T275" i="17"/>
  <c r="X275" i="17" s="1"/>
  <c r="T276" i="17"/>
  <c r="X276" i="17" s="1"/>
  <c r="T262" i="17"/>
  <c r="T265" i="17"/>
  <c r="T264" i="17"/>
  <c r="T263" i="17"/>
  <c r="T268" i="17"/>
  <c r="T267" i="17"/>
  <c r="T270" i="17"/>
  <c r="T269" i="17"/>
  <c r="T273" i="17"/>
  <c r="T272" i="17"/>
  <c r="S260" i="17"/>
  <c r="T261" i="17" s="1"/>
  <c r="T285" i="17"/>
  <c r="T288" i="17"/>
  <c r="L259" i="17"/>
  <c r="P259" i="17" s="1"/>
  <c r="S259" i="17" s="1"/>
  <c r="L258" i="17"/>
  <c r="P258" i="17" s="1"/>
  <c r="S258" i="17" s="1"/>
  <c r="L257" i="17"/>
  <c r="L247" i="17"/>
  <c r="L256" i="17"/>
  <c r="P256" i="17" s="1"/>
  <c r="S256" i="17" s="1"/>
  <c r="L255" i="17"/>
  <c r="P255" i="17" s="1"/>
  <c r="S255" i="17" s="1"/>
  <c r="L254" i="17"/>
  <c r="P254" i="17" s="1"/>
  <c r="S254" i="17" s="1"/>
  <c r="L253" i="17"/>
  <c r="P253" i="17" s="1"/>
  <c r="S253" i="17" s="1"/>
  <c r="L252" i="17"/>
  <c r="P252" i="17" s="1"/>
  <c r="S252" i="17" s="1"/>
  <c r="L251" i="17"/>
  <c r="P251" i="17" s="1"/>
  <c r="S251" i="17" s="1"/>
  <c r="L250" i="17"/>
  <c r="P250" i="17" s="1"/>
  <c r="S250" i="17" s="1"/>
  <c r="L249" i="17"/>
  <c r="P249" i="17" s="1"/>
  <c r="S249" i="17" s="1"/>
  <c r="L248" i="17"/>
  <c r="L243" i="17"/>
  <c r="P243" i="17" s="1"/>
  <c r="S243" i="17" s="1"/>
  <c r="L244" i="17"/>
  <c r="P244" i="17" s="1"/>
  <c r="S244" i="17" s="1"/>
  <c r="L245" i="17"/>
  <c r="P245" i="17" s="1"/>
  <c r="S245" i="17" s="1"/>
  <c r="L242" i="17"/>
  <c r="P242" i="17" s="1"/>
  <c r="L240" i="17"/>
  <c r="P240" i="17" s="1"/>
  <c r="S240" i="17" s="1"/>
  <c r="L239" i="17"/>
  <c r="P239" i="17" s="1"/>
  <c r="S239" i="17" s="1"/>
  <c r="L238" i="17"/>
  <c r="P238" i="17" s="1"/>
  <c r="S238" i="17" s="1"/>
  <c r="L237" i="17"/>
  <c r="P237" i="17" s="1"/>
  <c r="S237" i="17" s="1"/>
  <c r="L236" i="17"/>
  <c r="P236" i="17" s="1"/>
  <c r="S236" i="17" s="1"/>
  <c r="L235" i="17"/>
  <c r="P235" i="17" s="1"/>
  <c r="L234" i="17"/>
  <c r="L233" i="17"/>
  <c r="P233" i="17" s="1"/>
  <c r="S233" i="17" s="1"/>
  <c r="L232" i="17"/>
  <c r="P232" i="17" s="1"/>
  <c r="S232" i="17" s="1"/>
  <c r="L231" i="17"/>
  <c r="L230" i="17"/>
  <c r="P230" i="17" s="1"/>
  <c r="S230" i="17" s="1"/>
  <c r="L229" i="17"/>
  <c r="P229" i="17" s="1"/>
  <c r="S229" i="17" s="1"/>
  <c r="L228" i="17"/>
  <c r="L227" i="17"/>
  <c r="P227" i="17" s="1"/>
  <c r="S227" i="17" s="1"/>
  <c r="L226" i="17"/>
  <c r="P226" i="17" s="1"/>
  <c r="S226" i="17" s="1"/>
  <c r="L225" i="17"/>
  <c r="P225" i="17" s="1"/>
  <c r="S225" i="17" s="1"/>
  <c r="L224" i="17"/>
  <c r="P224" i="17" s="1"/>
  <c r="S224" i="17" s="1"/>
  <c r="L223" i="17"/>
  <c r="P223" i="17" s="1"/>
  <c r="L222" i="17"/>
  <c r="P222" i="17" s="1"/>
  <c r="L221" i="17"/>
  <c r="L220" i="17"/>
  <c r="P220" i="17" s="1"/>
  <c r="L219" i="17"/>
  <c r="P219" i="17" s="1"/>
  <c r="L218" i="17"/>
  <c r="L201" i="17"/>
  <c r="L209" i="17"/>
  <c r="L216" i="17"/>
  <c r="P216" i="17" s="1"/>
  <c r="S216" i="17" s="1"/>
  <c r="L215" i="17"/>
  <c r="P215" i="17" s="1"/>
  <c r="S215" i="17" s="1"/>
  <c r="L214" i="17"/>
  <c r="P214" i="17" s="1"/>
  <c r="S214" i="17" s="1"/>
  <c r="L213" i="17"/>
  <c r="P213" i="17" s="1"/>
  <c r="S213" i="17" s="1"/>
  <c r="L212" i="17"/>
  <c r="P212" i="17" s="1"/>
  <c r="S212" i="17" s="1"/>
  <c r="L211" i="17"/>
  <c r="P211" i="17" s="1"/>
  <c r="S211" i="17" s="1"/>
  <c r="L210" i="17"/>
  <c r="P210" i="17" s="1"/>
  <c r="S210" i="17" s="1"/>
  <c r="L208" i="17"/>
  <c r="P208" i="17" s="1"/>
  <c r="S208" i="17" s="1"/>
  <c r="L207" i="17"/>
  <c r="P207" i="17" s="1"/>
  <c r="S207" i="17" s="1"/>
  <c r="L206" i="17"/>
  <c r="P206" i="17" s="1"/>
  <c r="S206" i="17" s="1"/>
  <c r="L205" i="17"/>
  <c r="P205" i="17" s="1"/>
  <c r="S205" i="17" s="1"/>
  <c r="L204" i="17"/>
  <c r="P204" i="17" s="1"/>
  <c r="S204" i="17" s="1"/>
  <c r="L203" i="17"/>
  <c r="P203" i="17" s="1"/>
  <c r="S203" i="17" s="1"/>
  <c r="L202" i="17"/>
  <c r="P202" i="17" s="1"/>
  <c r="L198" i="17"/>
  <c r="P198" i="17" s="1"/>
  <c r="S198" i="17" s="1"/>
  <c r="L197" i="17"/>
  <c r="P197" i="17" s="1"/>
  <c r="K196" i="17"/>
  <c r="K195" i="17" s="1"/>
  <c r="J196" i="17"/>
  <c r="L194" i="17"/>
  <c r="P194" i="17" s="1"/>
  <c r="J190" i="17"/>
  <c r="L190" i="17" s="1"/>
  <c r="L192" i="17"/>
  <c r="L191" i="17"/>
  <c r="L189" i="17"/>
  <c r="P189" i="17" s="1"/>
  <c r="S189" i="17" s="1"/>
  <c r="L188" i="17"/>
  <c r="P188" i="17" s="1"/>
  <c r="S188" i="17" s="1"/>
  <c r="L186" i="17"/>
  <c r="P186" i="17" s="1"/>
  <c r="L184" i="17"/>
  <c r="P184" i="17" s="1"/>
  <c r="S184" i="17" s="1"/>
  <c r="L183" i="17"/>
  <c r="P183" i="17" s="1"/>
  <c r="S183" i="17" s="1"/>
  <c r="L182" i="17"/>
  <c r="P182" i="17" s="1"/>
  <c r="S182" i="17" s="1"/>
  <c r="L181" i="17"/>
  <c r="P181" i="17" s="1"/>
  <c r="S181" i="17" s="1"/>
  <c r="L180" i="17"/>
  <c r="P180" i="17" s="1"/>
  <c r="L178" i="17"/>
  <c r="P178" i="17" s="1"/>
  <c r="L187" i="17"/>
  <c r="P187" i="17" s="1"/>
  <c r="S187" i="17" s="1"/>
  <c r="P192" i="17"/>
  <c r="S192" i="17" s="1"/>
  <c r="P191" i="17"/>
  <c r="J177" i="17"/>
  <c r="L177" i="17" s="1"/>
  <c r="J179" i="17"/>
  <c r="L179" i="17" s="1"/>
  <c r="J193" i="17"/>
  <c r="L193" i="17" s="1"/>
  <c r="J185" i="17"/>
  <c r="L185" i="17" s="1"/>
  <c r="S231" i="17" l="1"/>
  <c r="T233" i="17" s="1"/>
  <c r="X233" i="17" s="1"/>
  <c r="S209" i="17"/>
  <c r="P201" i="17"/>
  <c r="S180" i="17"/>
  <c r="P179" i="17"/>
  <c r="L196" i="17"/>
  <c r="J195" i="17"/>
  <c r="L195" i="17" s="1"/>
  <c r="W265" i="17"/>
  <c r="X265" i="17"/>
  <c r="S186" i="17"/>
  <c r="S185" i="17" s="1"/>
  <c r="P185" i="17"/>
  <c r="P241" i="17"/>
  <c r="W284" i="17"/>
  <c r="X284" i="17"/>
  <c r="W273" i="17"/>
  <c r="X273" i="17"/>
  <c r="X268" i="17"/>
  <c r="W268" i="17"/>
  <c r="W262" i="17"/>
  <c r="X262" i="17"/>
  <c r="S191" i="17"/>
  <c r="S190" i="17" s="1"/>
  <c r="T191" i="17" s="1"/>
  <c r="P190" i="17"/>
  <c r="W272" i="17"/>
  <c r="X272" i="17"/>
  <c r="S197" i="17"/>
  <c r="S196" i="17" s="1"/>
  <c r="T198" i="17" s="1"/>
  <c r="P196" i="17"/>
  <c r="P195" i="17" s="1"/>
  <c r="S228" i="17"/>
  <c r="T229" i="17" s="1"/>
  <c r="T281" i="17"/>
  <c r="T278" i="17"/>
  <c r="X269" i="17"/>
  <c r="W269" i="17"/>
  <c r="X263" i="17"/>
  <c r="W263" i="17"/>
  <c r="W276" i="17"/>
  <c r="W267" i="17"/>
  <c r="X267" i="17"/>
  <c r="S178" i="17"/>
  <c r="S177" i="17" s="1"/>
  <c r="P177" i="17"/>
  <c r="S194" i="17"/>
  <c r="S193" i="17" s="1"/>
  <c r="T194" i="17" s="1"/>
  <c r="P193" i="17"/>
  <c r="P247" i="17"/>
  <c r="W270" i="17"/>
  <c r="X270" i="17"/>
  <c r="W264" i="17"/>
  <c r="X264" i="17"/>
  <c r="W275" i="17"/>
  <c r="P221" i="17"/>
  <c r="T274" i="17"/>
  <c r="T271" i="17"/>
  <c r="T266" i="17"/>
  <c r="P218" i="17"/>
  <c r="P234" i="17"/>
  <c r="S257" i="17"/>
  <c r="T259" i="17" s="1"/>
  <c r="S248" i="17"/>
  <c r="P257" i="17"/>
  <c r="S235" i="17"/>
  <c r="P228" i="17"/>
  <c r="S242" i="17"/>
  <c r="S223" i="17"/>
  <c r="S220" i="17"/>
  <c r="S219" i="17"/>
  <c r="S222" i="17"/>
  <c r="S202" i="17"/>
  <c r="P209" i="17"/>
  <c r="W271" i="17" l="1"/>
  <c r="T232" i="17"/>
  <c r="W232" i="17" s="1"/>
  <c r="T192" i="17"/>
  <c r="W192" i="17" s="1"/>
  <c r="W233" i="17"/>
  <c r="T258" i="17"/>
  <c r="W258" i="17" s="1"/>
  <c r="X274" i="17"/>
  <c r="T189" i="17"/>
  <c r="X189" i="17" s="1"/>
  <c r="T186" i="17"/>
  <c r="X186" i="17" s="1"/>
  <c r="P176" i="17"/>
  <c r="X261" i="17"/>
  <c r="P246" i="17"/>
  <c r="P217" i="17" s="1"/>
  <c r="X259" i="17"/>
  <c r="W259" i="17"/>
  <c r="W198" i="17"/>
  <c r="X198" i="17"/>
  <c r="S179" i="17"/>
  <c r="T180" i="17" s="1"/>
  <c r="X277" i="17"/>
  <c r="W277" i="17"/>
  <c r="T230" i="17"/>
  <c r="X271" i="17"/>
  <c r="S218" i="17"/>
  <c r="T219" i="17" s="1"/>
  <c r="W229" i="17"/>
  <c r="X229" i="17"/>
  <c r="W261" i="17"/>
  <c r="W194" i="17"/>
  <c r="W193" i="17" s="1"/>
  <c r="X194" i="17"/>
  <c r="X193" i="17" s="1"/>
  <c r="W274" i="17"/>
  <c r="W266" i="17"/>
  <c r="W191" i="17"/>
  <c r="X191" i="17"/>
  <c r="X266" i="17"/>
  <c r="S241" i="17"/>
  <c r="T242" i="17" s="1"/>
  <c r="S247" i="17"/>
  <c r="T248" i="17" s="1"/>
  <c r="T188" i="17"/>
  <c r="T187" i="17"/>
  <c r="S234" i="17"/>
  <c r="S221" i="17"/>
  <c r="T223" i="17" s="1"/>
  <c r="X223" i="17" s="1"/>
  <c r="T197" i="17"/>
  <c r="S201" i="17"/>
  <c r="T202" i="17" s="1"/>
  <c r="S195" i="17"/>
  <c r="T196" i="17" s="1"/>
  <c r="T215" i="17"/>
  <c r="T210" i="17"/>
  <c r="T211" i="17"/>
  <c r="T216" i="17"/>
  <c r="T212" i="17"/>
  <c r="P200" i="17"/>
  <c r="T213" i="17"/>
  <c r="T214" i="17"/>
  <c r="X192" i="17" l="1"/>
  <c r="X190" i="17" s="1"/>
  <c r="W190" i="17"/>
  <c r="X232" i="17"/>
  <c r="X231" i="17" s="1"/>
  <c r="X258" i="17"/>
  <c r="X257" i="17" s="1"/>
  <c r="T181" i="17"/>
  <c r="X181" i="17" s="1"/>
  <c r="T184" i="17"/>
  <c r="X184" i="17" s="1"/>
  <c r="W189" i="17"/>
  <c r="W231" i="17"/>
  <c r="W257" i="17"/>
  <c r="P199" i="17"/>
  <c r="P175" i="17" s="1"/>
  <c r="T199" i="17" s="1"/>
  <c r="W186" i="17"/>
  <c r="X260" i="17"/>
  <c r="X219" i="17"/>
  <c r="W219" i="17"/>
  <c r="W242" i="17"/>
  <c r="X242" i="17"/>
  <c r="W180" i="17"/>
  <c r="X180" i="17"/>
  <c r="W211" i="17"/>
  <c r="X211" i="17"/>
  <c r="W188" i="17"/>
  <c r="X188" i="17"/>
  <c r="T237" i="17"/>
  <c r="T236" i="17"/>
  <c r="T240" i="17"/>
  <c r="T239" i="17"/>
  <c r="T238" i="17"/>
  <c r="T220" i="17"/>
  <c r="W213" i="17"/>
  <c r="X213" i="17"/>
  <c r="X210" i="17"/>
  <c r="W210" i="17"/>
  <c r="W212" i="17"/>
  <c r="X212" i="17"/>
  <c r="W187" i="17"/>
  <c r="X187" i="17"/>
  <c r="W260" i="17"/>
  <c r="T182" i="17"/>
  <c r="T183" i="17"/>
  <c r="X202" i="17"/>
  <c r="W202" i="17"/>
  <c r="X248" i="17"/>
  <c r="W248" i="17"/>
  <c r="X215" i="17"/>
  <c r="W215" i="17"/>
  <c r="W197" i="17"/>
  <c r="W196" i="17" s="1"/>
  <c r="W195" i="17" s="1"/>
  <c r="X197" i="17"/>
  <c r="X196" i="17" s="1"/>
  <c r="X195" i="17" s="1"/>
  <c r="W230" i="17"/>
  <c r="W228" i="17" s="1"/>
  <c r="X230" i="17"/>
  <c r="X228" i="17" s="1"/>
  <c r="X214" i="17"/>
  <c r="W214" i="17"/>
  <c r="W216" i="17"/>
  <c r="X216" i="17"/>
  <c r="S176" i="17"/>
  <c r="W223" i="17"/>
  <c r="T225" i="17"/>
  <c r="X225" i="17" s="1"/>
  <c r="T226" i="17"/>
  <c r="X226" i="17" s="1"/>
  <c r="T227" i="17"/>
  <c r="X227" i="17" s="1"/>
  <c r="T224" i="17"/>
  <c r="X224" i="17" s="1"/>
  <c r="T222" i="17"/>
  <c r="X222" i="17" s="1"/>
  <c r="S246" i="17"/>
  <c r="T257" i="17" s="1"/>
  <c r="T256" i="17"/>
  <c r="T253" i="17"/>
  <c r="T255" i="17"/>
  <c r="T254" i="17"/>
  <c r="T250" i="17"/>
  <c r="T252" i="17"/>
  <c r="T249" i="17"/>
  <c r="T251" i="17"/>
  <c r="S200" i="17"/>
  <c r="T201" i="17" s="1"/>
  <c r="T235" i="17"/>
  <c r="T244" i="17"/>
  <c r="T243" i="17"/>
  <c r="T245" i="17"/>
  <c r="T205" i="17"/>
  <c r="T208" i="17"/>
  <c r="T206" i="17"/>
  <c r="T203" i="17"/>
  <c r="T204" i="17"/>
  <c r="T207" i="17"/>
  <c r="T209" i="17" l="1"/>
  <c r="X185" i="17"/>
  <c r="W184" i="17"/>
  <c r="W181" i="17"/>
  <c r="W185" i="17"/>
  <c r="X253" i="17"/>
  <c r="W253" i="17"/>
  <c r="T185" i="17"/>
  <c r="T177" i="17"/>
  <c r="T193" i="17"/>
  <c r="T190" i="17"/>
  <c r="T179" i="17"/>
  <c r="W220" i="17"/>
  <c r="W218" i="17" s="1"/>
  <c r="X220" i="17"/>
  <c r="X218" i="17" s="1"/>
  <c r="W236" i="17"/>
  <c r="X236" i="17"/>
  <c r="W245" i="17"/>
  <c r="X245" i="17"/>
  <c r="W250" i="17"/>
  <c r="X250" i="17"/>
  <c r="X256" i="17"/>
  <c r="W256" i="17"/>
  <c r="W209" i="17"/>
  <c r="W238" i="17"/>
  <c r="X238" i="17"/>
  <c r="W237" i="17"/>
  <c r="X237" i="17"/>
  <c r="X235" i="17"/>
  <c r="W235" i="17"/>
  <c r="X252" i="17"/>
  <c r="W252" i="17"/>
  <c r="W207" i="17"/>
  <c r="X207" i="17"/>
  <c r="W251" i="17"/>
  <c r="X251" i="17"/>
  <c r="W183" i="17"/>
  <c r="X183" i="17"/>
  <c r="X209" i="17"/>
  <c r="W239" i="17"/>
  <c r="X239" i="17"/>
  <c r="W203" i="17"/>
  <c r="X203" i="17"/>
  <c r="W206" i="17"/>
  <c r="X206" i="17"/>
  <c r="X208" i="17"/>
  <c r="W208" i="17"/>
  <c r="W243" i="17"/>
  <c r="X243" i="17"/>
  <c r="X254" i="17"/>
  <c r="W254" i="17"/>
  <c r="X204" i="17"/>
  <c r="W204" i="17"/>
  <c r="W205" i="17"/>
  <c r="X205" i="17"/>
  <c r="X244" i="17"/>
  <c r="W244" i="17"/>
  <c r="X249" i="17"/>
  <c r="W249" i="17"/>
  <c r="W255" i="17"/>
  <c r="X255" i="17"/>
  <c r="W182" i="17"/>
  <c r="X182" i="17"/>
  <c r="W240" i="17"/>
  <c r="X240" i="17"/>
  <c r="W224" i="17"/>
  <c r="W227" i="17"/>
  <c r="W226" i="17"/>
  <c r="W222" i="17"/>
  <c r="W225" i="17"/>
  <c r="T195" i="17"/>
  <c r="T176" i="17"/>
  <c r="T348" i="17"/>
  <c r="T346" i="17"/>
  <c r="T310" i="17"/>
  <c r="T291" i="17"/>
  <c r="S217" i="17"/>
  <c r="T247" i="17"/>
  <c r="W179" i="17" l="1"/>
  <c r="W176" i="17" s="1"/>
  <c r="X179" i="17"/>
  <c r="X176" i="17" s="1"/>
  <c r="W247" i="17"/>
  <c r="W246" i="17" s="1"/>
  <c r="X241" i="17"/>
  <c r="X201" i="17"/>
  <c r="X200" i="17" s="1"/>
  <c r="W241" i="17"/>
  <c r="W201" i="17"/>
  <c r="W200" i="17" s="1"/>
  <c r="X247" i="17"/>
  <c r="X246" i="17" s="1"/>
  <c r="W234" i="17"/>
  <c r="X234" i="17"/>
  <c r="X221" i="17"/>
  <c r="W221" i="17"/>
  <c r="T246" i="17"/>
  <c r="T231" i="17"/>
  <c r="T228" i="17"/>
  <c r="T218" i="17"/>
  <c r="T234" i="17"/>
  <c r="S199" i="17"/>
  <c r="S175" i="17" s="1"/>
  <c r="T241" i="17"/>
  <c r="T221" i="17"/>
  <c r="X217" i="17" l="1"/>
  <c r="W217" i="17"/>
  <c r="T217" i="17"/>
  <c r="T200" i="17"/>
  <c r="T277" i="17"/>
  <c r="T260" i="17"/>
  <c r="T284" i="17"/>
  <c r="W199" i="17" l="1"/>
  <c r="W175" i="17" s="1"/>
  <c r="E1" i="20" s="1"/>
  <c r="X199" i="17"/>
  <c r="H60" i="11"/>
  <c r="I60" i="11"/>
  <c r="R60" i="11"/>
  <c r="G60" i="11"/>
  <c r="S60" i="11"/>
  <c r="T60" i="11"/>
  <c r="U60" i="11"/>
  <c r="V60" i="11"/>
  <c r="W60" i="11"/>
  <c r="X60" i="11"/>
  <c r="Y60" i="11"/>
  <c r="Z60" i="11"/>
  <c r="AA60" i="11"/>
  <c r="AB60" i="11"/>
  <c r="AC60" i="11"/>
  <c r="AD60" i="11"/>
  <c r="AE60" i="11"/>
  <c r="AF60" i="11"/>
  <c r="AG60" i="11"/>
  <c r="AH60" i="11"/>
  <c r="AI60" i="11"/>
  <c r="AL60" i="11"/>
  <c r="AM60" i="11"/>
  <c r="H47" i="14"/>
  <c r="I47" i="14"/>
  <c r="L47" i="14"/>
  <c r="M47" i="14"/>
  <c r="P47" i="14"/>
  <c r="G47" i="14"/>
  <c r="J47" i="14"/>
  <c r="K47" i="14"/>
  <c r="N47" i="14"/>
  <c r="O47" i="14"/>
  <c r="O20" i="11"/>
  <c r="F20" i="11" s="1"/>
  <c r="P7" i="11"/>
  <c r="R56" i="11"/>
  <c r="R55" i="11"/>
  <c r="R54" i="11"/>
  <c r="R26" i="11"/>
  <c r="F14" i="11"/>
  <c r="F15" i="11"/>
  <c r="F16" i="11"/>
  <c r="F17" i="11"/>
  <c r="F18" i="11"/>
  <c r="F19" i="11"/>
  <c r="F21" i="11"/>
  <c r="F22" i="11"/>
  <c r="F23" i="11"/>
  <c r="F24" i="11"/>
  <c r="AR24" i="11" s="1"/>
  <c r="F25" i="11"/>
  <c r="D25" i="11"/>
  <c r="C25" i="11"/>
  <c r="D24" i="11"/>
  <c r="C24" i="11"/>
  <c r="D23" i="11"/>
  <c r="C23" i="11"/>
  <c r="D22" i="11"/>
  <c r="C22" i="11"/>
  <c r="D21" i="11"/>
  <c r="C21" i="11"/>
  <c r="D20" i="11"/>
  <c r="C20" i="11"/>
  <c r="D19" i="11"/>
  <c r="C19" i="11"/>
  <c r="D18" i="11"/>
  <c r="C18" i="11"/>
  <c r="D17" i="11"/>
  <c r="C17" i="11"/>
  <c r="D16" i="11"/>
  <c r="C16" i="11"/>
  <c r="B16" i="11"/>
  <c r="D15" i="11"/>
  <c r="C15" i="11"/>
  <c r="D14" i="11"/>
  <c r="C14" i="11"/>
  <c r="B24" i="11"/>
  <c r="AK24" i="11"/>
  <c r="B25" i="11"/>
  <c r="B23" i="11"/>
  <c r="B22" i="11"/>
  <c r="B21" i="11"/>
  <c r="B20" i="11"/>
  <c r="B19" i="11"/>
  <c r="B18" i="11"/>
  <c r="B17" i="11"/>
  <c r="B15" i="11"/>
  <c r="B14" i="11"/>
  <c r="D13" i="11"/>
  <c r="C13" i="11"/>
  <c r="B13" i="11"/>
  <c r="F10" i="14"/>
  <c r="D4" i="16"/>
  <c r="E4" i="16"/>
  <c r="F4" i="16"/>
  <c r="G4" i="16"/>
  <c r="H4" i="16"/>
  <c r="I4" i="16"/>
  <c r="J4" i="16"/>
  <c r="K4" i="16"/>
  <c r="L4" i="16"/>
  <c r="C4" i="16"/>
  <c r="D2" i="16"/>
  <c r="E2" i="16"/>
  <c r="F2" i="16"/>
  <c r="G2" i="16"/>
  <c r="H2" i="16"/>
  <c r="I2" i="16"/>
  <c r="J2" i="16"/>
  <c r="K2" i="16"/>
  <c r="L2" i="16"/>
  <c r="C2" i="16"/>
  <c r="F7" i="14"/>
  <c r="F8" i="14"/>
  <c r="F9" i="14"/>
  <c r="F11" i="14"/>
  <c r="F12" i="14"/>
  <c r="F13" i="14"/>
  <c r="F14" i="14"/>
  <c r="S14" i="14" s="1"/>
  <c r="F15" i="14"/>
  <c r="S15" i="14" s="1"/>
  <c r="F16" i="14"/>
  <c r="S16" i="14" s="1"/>
  <c r="F17" i="14"/>
  <c r="S17" i="14" s="1"/>
  <c r="F18" i="14"/>
  <c r="S18" i="14" s="1"/>
  <c r="F6" i="14"/>
  <c r="P43" i="14"/>
  <c r="P42" i="14"/>
  <c r="P41" i="14"/>
  <c r="P19" i="14"/>
  <c r="P21" i="14" s="1"/>
  <c r="P22" i="14" s="1"/>
  <c r="O43" i="14"/>
  <c r="O42" i="14"/>
  <c r="O41" i="14"/>
  <c r="O28" i="14"/>
  <c r="O37" i="14" s="1"/>
  <c r="O19" i="14"/>
  <c r="O21" i="14" s="1"/>
  <c r="O22" i="14" s="1"/>
  <c r="D18" i="14"/>
  <c r="C18" i="14"/>
  <c r="B18" i="14"/>
  <c r="D17" i="14"/>
  <c r="C17" i="14"/>
  <c r="B17" i="14"/>
  <c r="D16" i="14"/>
  <c r="C16" i="14"/>
  <c r="B16" i="14"/>
  <c r="D15" i="14"/>
  <c r="C15" i="14"/>
  <c r="B15" i="14"/>
  <c r="D14" i="14"/>
  <c r="C14" i="14"/>
  <c r="B14" i="14"/>
  <c r="D13" i="14"/>
  <c r="C13" i="14"/>
  <c r="B13" i="14"/>
  <c r="D12" i="14"/>
  <c r="C12" i="14"/>
  <c r="B12" i="14"/>
  <c r="D11" i="14"/>
  <c r="C11" i="14"/>
  <c r="B11" i="14"/>
  <c r="D10" i="14"/>
  <c r="C10" i="14"/>
  <c r="B10" i="14"/>
  <c r="D9" i="14"/>
  <c r="C9" i="14"/>
  <c r="B9" i="14"/>
  <c r="D8" i="14"/>
  <c r="C8" i="14"/>
  <c r="B8" i="14"/>
  <c r="D7" i="14"/>
  <c r="C7" i="14"/>
  <c r="B7" i="14"/>
  <c r="D6" i="14"/>
  <c r="C6" i="14"/>
  <c r="B6" i="14"/>
  <c r="X175" i="17" l="1"/>
  <c r="E24" i="11"/>
  <c r="AP24" i="11" s="1"/>
  <c r="P28" i="14"/>
  <c r="P37" i="14" s="1"/>
  <c r="R28" i="11"/>
  <c r="R29" i="11" s="1"/>
  <c r="AL24" i="11"/>
  <c r="L6" i="16"/>
  <c r="K6" i="16"/>
  <c r="O31" i="14"/>
  <c r="O40" i="14" s="1"/>
  <c r="O29" i="14"/>
  <c r="O30" i="14"/>
  <c r="O39" i="14" s="1"/>
  <c r="K3" i="16" l="1"/>
  <c r="K5" i="16" s="1"/>
  <c r="P31" i="14"/>
  <c r="P40" i="14" s="1"/>
  <c r="P30" i="14"/>
  <c r="P39" i="14" s="1"/>
  <c r="P29" i="14"/>
  <c r="P45" i="14" s="1"/>
  <c r="R30" i="11"/>
  <c r="O45" i="14"/>
  <c r="O38" i="14"/>
  <c r="E17" i="14"/>
  <c r="E18" i="14"/>
  <c r="P38" i="14" l="1"/>
  <c r="L3" i="16"/>
  <c r="L5" i="16" s="1"/>
  <c r="R41" i="11"/>
  <c r="R42" i="11"/>
  <c r="R43" i="11"/>
  <c r="R44" i="11"/>
  <c r="G42" i="14"/>
  <c r="M29" i="14"/>
  <c r="M45" i="14" s="1"/>
  <c r="H28" i="14"/>
  <c r="H29" i="14" s="1"/>
  <c r="H45" i="14" s="1"/>
  <c r="I28" i="14"/>
  <c r="K28" i="14"/>
  <c r="K30" i="14" s="1"/>
  <c r="K39" i="14" s="1"/>
  <c r="L28" i="14"/>
  <c r="L30" i="14" s="1"/>
  <c r="L39" i="14" s="1"/>
  <c r="M28" i="14"/>
  <c r="N28" i="14"/>
  <c r="G28" i="14"/>
  <c r="G31" i="14" s="1"/>
  <c r="G40" i="14" s="1"/>
  <c r="N43" i="14"/>
  <c r="M43" i="14"/>
  <c r="L43" i="14"/>
  <c r="K43" i="14"/>
  <c r="J43" i="14"/>
  <c r="I43" i="14"/>
  <c r="H43" i="14"/>
  <c r="G43" i="14"/>
  <c r="N42" i="14"/>
  <c r="M42" i="14"/>
  <c r="L42" i="14"/>
  <c r="K42" i="14"/>
  <c r="J42" i="14"/>
  <c r="I42" i="14"/>
  <c r="H42" i="14"/>
  <c r="N41" i="14"/>
  <c r="M41" i="14"/>
  <c r="L41" i="14"/>
  <c r="K41" i="14"/>
  <c r="J41" i="14"/>
  <c r="I41" i="14"/>
  <c r="H41" i="14"/>
  <c r="G41" i="14"/>
  <c r="H19" i="14"/>
  <c r="I19" i="14"/>
  <c r="J19" i="14"/>
  <c r="K19" i="14"/>
  <c r="L19" i="14"/>
  <c r="M19" i="14"/>
  <c r="N19" i="14"/>
  <c r="G19" i="14"/>
  <c r="Y7" i="14"/>
  <c r="Y8" i="14"/>
  <c r="Y9" i="14"/>
  <c r="Y10" i="14"/>
  <c r="Y11" i="14"/>
  <c r="Y12" i="14"/>
  <c r="Y13" i="14"/>
  <c r="Y14" i="14"/>
  <c r="Y15" i="14"/>
  <c r="Y17" i="14"/>
  <c r="Y18" i="14"/>
  <c r="Y6" i="14"/>
  <c r="E7" i="14"/>
  <c r="E8" i="14"/>
  <c r="E9" i="14"/>
  <c r="E10" i="14"/>
  <c r="E11" i="14"/>
  <c r="E12" i="14"/>
  <c r="E13" i="14"/>
  <c r="E14" i="14"/>
  <c r="E15" i="14"/>
  <c r="E6" i="14"/>
  <c r="K29" i="14" l="1"/>
  <c r="K45" i="14" s="1"/>
  <c r="G21" i="14"/>
  <c r="G22" i="14" s="1"/>
  <c r="C6" i="16"/>
  <c r="K31" i="14"/>
  <c r="K40" i="14" s="1"/>
  <c r="G37" i="14"/>
  <c r="G30" i="14"/>
  <c r="G39" i="14" s="1"/>
  <c r="G29" i="14"/>
  <c r="C3" i="16" s="1"/>
  <c r="C5" i="16" s="1"/>
  <c r="K38" i="14"/>
  <c r="L29" i="14"/>
  <c r="N37" i="14"/>
  <c r="I37" i="14"/>
  <c r="N31" i="14"/>
  <c r="N40" i="14" s="1"/>
  <c r="I31" i="14"/>
  <c r="I40" i="14" s="1"/>
  <c r="M37" i="14"/>
  <c r="H37" i="14"/>
  <c r="N30" i="14"/>
  <c r="N39" i="14" s="1"/>
  <c r="I30" i="14"/>
  <c r="I39" i="14" s="1"/>
  <c r="M31" i="14"/>
  <c r="M40" i="14" s="1"/>
  <c r="H31" i="14"/>
  <c r="H40" i="14" s="1"/>
  <c r="L37" i="14"/>
  <c r="N29" i="14"/>
  <c r="I29" i="14"/>
  <c r="M30" i="14"/>
  <c r="M39" i="14" s="1"/>
  <c r="H30" i="14"/>
  <c r="H39" i="14" s="1"/>
  <c r="L31" i="14"/>
  <c r="L40" i="14" s="1"/>
  <c r="M38" i="14"/>
  <c r="H38" i="14"/>
  <c r="K37" i="14"/>
  <c r="H21" i="14"/>
  <c r="H22" i="14" s="1"/>
  <c r="D6" i="16"/>
  <c r="K21" i="14"/>
  <c r="K22" i="14" s="1"/>
  <c r="G6" i="16"/>
  <c r="J21" i="14"/>
  <c r="J22" i="14" s="1"/>
  <c r="J28" i="14" s="1"/>
  <c r="J31" i="14" s="1"/>
  <c r="J40" i="14" s="1"/>
  <c r="F6" i="16"/>
  <c r="M21" i="14"/>
  <c r="M22" i="14" s="1"/>
  <c r="I6" i="16"/>
  <c r="L21" i="14"/>
  <c r="L22" i="14" s="1"/>
  <c r="H6" i="16"/>
  <c r="N21" i="14"/>
  <c r="N22" i="14" s="1"/>
  <c r="J6" i="16"/>
  <c r="I21" i="14"/>
  <c r="I22" i="14" s="1"/>
  <c r="E6" i="16"/>
  <c r="S8" i="14"/>
  <c r="S11" i="14"/>
  <c r="S9" i="14"/>
  <c r="S7" i="14"/>
  <c r="F19" i="14"/>
  <c r="S10" i="14"/>
  <c r="T12" i="14"/>
  <c r="S13" i="14"/>
  <c r="T14" i="14"/>
  <c r="R22" i="14"/>
  <c r="S6" i="14"/>
  <c r="S12" i="14"/>
  <c r="G20" i="14"/>
  <c r="G3" i="16" l="1"/>
  <c r="G5" i="16" s="1"/>
  <c r="G45" i="14"/>
  <c r="G38" i="14"/>
  <c r="D3" i="16"/>
  <c r="D5" i="16" s="1"/>
  <c r="E3" i="16"/>
  <c r="E5" i="16" s="1"/>
  <c r="L45" i="14"/>
  <c r="L38" i="14"/>
  <c r="N45" i="14"/>
  <c r="N38" i="14"/>
  <c r="I3" i="16"/>
  <c r="I5" i="16" s="1"/>
  <c r="J3" i="16"/>
  <c r="J5" i="16" s="1"/>
  <c r="J30" i="14"/>
  <c r="J39" i="14" s="1"/>
  <c r="I45" i="14"/>
  <c r="I38" i="14"/>
  <c r="H3" i="16"/>
  <c r="H5" i="16" s="1"/>
  <c r="J29" i="14"/>
  <c r="J38" i="14" s="1"/>
  <c r="J37" i="14"/>
  <c r="H20" i="14"/>
  <c r="F3" i="16" l="1"/>
  <c r="F5" i="16" s="1"/>
  <c r="J45" i="14"/>
  <c r="I20" i="14"/>
  <c r="J20" i="14" l="1"/>
  <c r="K20" i="14" l="1"/>
  <c r="L20" i="14" l="1"/>
  <c r="M20" i="14" l="1"/>
  <c r="N20" i="14" l="1"/>
  <c r="O20" i="14" s="1"/>
  <c r="P20" i="14" s="1"/>
  <c r="D4" i="12" l="1"/>
  <c r="E4" i="12"/>
  <c r="F4" i="12"/>
  <c r="G4" i="12"/>
  <c r="H4" i="12"/>
  <c r="I4" i="12"/>
  <c r="J4" i="12"/>
  <c r="K4" i="12"/>
  <c r="L4" i="12"/>
  <c r="M4" i="12"/>
  <c r="N4" i="12"/>
  <c r="C4" i="12"/>
  <c r="N7" i="12"/>
  <c r="K2" i="12"/>
  <c r="L2" i="12"/>
  <c r="M2" i="12"/>
  <c r="N2" i="12"/>
  <c r="D2" i="12"/>
  <c r="E2" i="12"/>
  <c r="F2" i="12"/>
  <c r="G2" i="12"/>
  <c r="H2" i="12"/>
  <c r="I2" i="12"/>
  <c r="J2" i="12"/>
  <c r="C2" i="12"/>
  <c r="H56" i="11"/>
  <c r="I56" i="11"/>
  <c r="J56" i="11"/>
  <c r="K56" i="11"/>
  <c r="L56" i="11"/>
  <c r="M56" i="11"/>
  <c r="N56" i="11"/>
  <c r="O56" i="11"/>
  <c r="P56" i="11"/>
  <c r="Q56" i="11"/>
  <c r="G56" i="11"/>
  <c r="H55" i="11"/>
  <c r="I55" i="11"/>
  <c r="J55" i="11"/>
  <c r="K55" i="11"/>
  <c r="L55" i="11"/>
  <c r="M55" i="11"/>
  <c r="N55" i="11"/>
  <c r="O55" i="11"/>
  <c r="P55" i="11"/>
  <c r="Q55" i="11"/>
  <c r="G55" i="11"/>
  <c r="H54" i="11"/>
  <c r="I54" i="11"/>
  <c r="J54" i="11"/>
  <c r="K54" i="11"/>
  <c r="L54" i="11"/>
  <c r="M54" i="11"/>
  <c r="N54" i="11"/>
  <c r="O54" i="11"/>
  <c r="P54" i="11"/>
  <c r="Q54" i="11"/>
  <c r="G54" i="11"/>
  <c r="AK11" i="11" l="1"/>
  <c r="AJ11" i="11"/>
  <c r="O8" i="11"/>
  <c r="N8" i="11"/>
  <c r="L8" i="11"/>
  <c r="P8" i="11"/>
  <c r="K8" i="11"/>
  <c r="G8" i="11"/>
  <c r="AJ30" i="11"/>
  <c r="AJ60" i="11" s="1"/>
  <c r="R8" i="11"/>
  <c r="N6" i="12" s="1"/>
  <c r="Q8" i="11"/>
  <c r="M8" i="11"/>
  <c r="J8" i="11"/>
  <c r="I8" i="11"/>
  <c r="H8" i="11"/>
  <c r="U8" i="11"/>
  <c r="U10" i="11" s="1"/>
  <c r="AK10" i="11"/>
  <c r="AJ10" i="11"/>
  <c r="AI10" i="11"/>
  <c r="AH10" i="11"/>
  <c r="AG10" i="11"/>
  <c r="AF10" i="11"/>
  <c r="AE10" i="11"/>
  <c r="AD10" i="11"/>
  <c r="AC10" i="11"/>
  <c r="AB10" i="11"/>
  <c r="AA10" i="11"/>
  <c r="Z10" i="11"/>
  <c r="Y10" i="11"/>
  <c r="X10" i="11"/>
  <c r="W10" i="11"/>
  <c r="V10" i="11"/>
  <c r="T10" i="11"/>
  <c r="S10" i="11"/>
  <c r="R10" i="11"/>
  <c r="C12" i="11"/>
  <c r="D12" i="11"/>
  <c r="I26" i="11"/>
  <c r="J26" i="11"/>
  <c r="K26" i="11"/>
  <c r="L26" i="11"/>
  <c r="M26" i="11"/>
  <c r="N26" i="11"/>
  <c r="O26" i="11"/>
  <c r="P26" i="11"/>
  <c r="Q26" i="11"/>
  <c r="G26" i="11"/>
  <c r="C7" i="12" s="1"/>
  <c r="AR21" i="11"/>
  <c r="AK20" i="11"/>
  <c r="AR19" i="11"/>
  <c r="AR14" i="11"/>
  <c r="AR15" i="11"/>
  <c r="AR16" i="11"/>
  <c r="AR17" i="11"/>
  <c r="AR18" i="11"/>
  <c r="AR20" i="11"/>
  <c r="AR22" i="11"/>
  <c r="AR23" i="11"/>
  <c r="AR25" i="11"/>
  <c r="H26" i="11"/>
  <c r="E20" i="11"/>
  <c r="AP20" i="11" s="1"/>
  <c r="E19" i="11"/>
  <c r="AP19" i="11" s="1"/>
  <c r="AK18" i="11"/>
  <c r="E18" i="11"/>
  <c r="AP18" i="11" s="1"/>
  <c r="AK17" i="11"/>
  <c r="E17" i="11"/>
  <c r="AP17" i="11" s="1"/>
  <c r="AK16" i="11"/>
  <c r="E16" i="11"/>
  <c r="AP16" i="11" s="1"/>
  <c r="AK15" i="11"/>
  <c r="E15" i="11"/>
  <c r="AP15" i="11" s="1"/>
  <c r="AK14" i="11"/>
  <c r="E14" i="11"/>
  <c r="AP14" i="11" s="1"/>
  <c r="R11" i="11" l="1"/>
  <c r="R32" i="11"/>
  <c r="H28" i="11"/>
  <c r="H29" i="11" s="1"/>
  <c r="H30" i="11" s="1"/>
  <c r="D7" i="12"/>
  <c r="Q28" i="11"/>
  <c r="Q29" i="11" s="1"/>
  <c r="M7" i="12"/>
  <c r="P28" i="11"/>
  <c r="P29" i="11" s="1"/>
  <c r="P30" i="11" s="1"/>
  <c r="L7" i="12"/>
  <c r="O28" i="11"/>
  <c r="O29" i="11" s="1"/>
  <c r="K7" i="12"/>
  <c r="N28" i="11"/>
  <c r="N29" i="11" s="1"/>
  <c r="J7" i="12"/>
  <c r="M28" i="11"/>
  <c r="M29" i="11" s="1"/>
  <c r="M30" i="11" s="1"/>
  <c r="I7" i="12"/>
  <c r="L28" i="11"/>
  <c r="L29" i="11" s="1"/>
  <c r="L30" i="11" s="1"/>
  <c r="H7" i="12"/>
  <c r="K28" i="11"/>
  <c r="K29" i="11" s="1"/>
  <c r="G7" i="12"/>
  <c r="J28" i="11"/>
  <c r="J29" i="11" s="1"/>
  <c r="J30" i="11" s="1"/>
  <c r="F7" i="12"/>
  <c r="I28" i="11"/>
  <c r="I29" i="11" s="1"/>
  <c r="I30" i="11" s="1"/>
  <c r="E7" i="12"/>
  <c r="H9" i="11"/>
  <c r="H10" i="11" s="1"/>
  <c r="D6" i="12"/>
  <c r="I9" i="11"/>
  <c r="I10" i="11" s="1"/>
  <c r="I11" i="11" s="1"/>
  <c r="E6" i="12"/>
  <c r="J9" i="11"/>
  <c r="J10" i="11" s="1"/>
  <c r="J11" i="11" s="1"/>
  <c r="F6" i="12"/>
  <c r="M9" i="11"/>
  <c r="M10" i="11" s="1"/>
  <c r="M11" i="11" s="1"/>
  <c r="I6" i="12"/>
  <c r="Q9" i="11"/>
  <c r="Q10" i="11" s="1"/>
  <c r="Q11" i="11" s="1"/>
  <c r="Q37" i="11" s="1"/>
  <c r="M6" i="12"/>
  <c r="G9" i="11"/>
  <c r="G10" i="11" s="1"/>
  <c r="C6" i="12"/>
  <c r="K9" i="11"/>
  <c r="K10" i="11" s="1"/>
  <c r="G6" i="12"/>
  <c r="P9" i="11"/>
  <c r="P10" i="11" s="1"/>
  <c r="L6" i="12"/>
  <c r="L9" i="11"/>
  <c r="L10" i="11" s="1"/>
  <c r="L11" i="11" s="1"/>
  <c r="L39" i="11" s="1"/>
  <c r="H6" i="12"/>
  <c r="N9" i="11"/>
  <c r="N10" i="11" s="1"/>
  <c r="N11" i="11" s="1"/>
  <c r="J6" i="12"/>
  <c r="O9" i="11"/>
  <c r="O10" i="11" s="1"/>
  <c r="O11" i="11" s="1"/>
  <c r="K6" i="12"/>
  <c r="AL15" i="11"/>
  <c r="F8" i="11"/>
  <c r="F7" i="11"/>
  <c r="AK7" i="11"/>
  <c r="E12" i="11"/>
  <c r="F26" i="11"/>
  <c r="G28" i="11"/>
  <c r="G29" i="11" s="1"/>
  <c r="G30" i="11" s="1"/>
  <c r="AL20" i="11"/>
  <c r="AK19" i="11"/>
  <c r="AL19" i="11" s="1"/>
  <c r="AL16" i="11"/>
  <c r="AL14" i="11"/>
  <c r="AL18" i="11"/>
  <c r="AM18" i="11"/>
  <c r="AL17" i="11"/>
  <c r="AM17" i="11"/>
  <c r="Q36" i="11" l="1"/>
  <c r="Q38" i="11"/>
  <c r="AR7" i="11"/>
  <c r="N390" i="17"/>
  <c r="Y390" i="17" s="1"/>
  <c r="J31" i="11"/>
  <c r="L31" i="11"/>
  <c r="Q39" i="11"/>
  <c r="I31" i="11"/>
  <c r="M31" i="11"/>
  <c r="R37" i="11"/>
  <c r="R36" i="11"/>
  <c r="R39" i="11"/>
  <c r="R53" i="11" s="1"/>
  <c r="R38" i="11"/>
  <c r="R52" i="11" s="1"/>
  <c r="R31" i="11"/>
  <c r="L38" i="11"/>
  <c r="L36" i="11"/>
  <c r="L37" i="11"/>
  <c r="O37" i="11"/>
  <c r="O39" i="11"/>
  <c r="O36" i="11"/>
  <c r="O38" i="11"/>
  <c r="N37" i="11"/>
  <c r="N38" i="11"/>
  <c r="N39" i="11"/>
  <c r="N36" i="11"/>
  <c r="O30" i="11"/>
  <c r="N32" i="11"/>
  <c r="N30" i="11"/>
  <c r="N31" i="11" s="1"/>
  <c r="M42" i="11"/>
  <c r="M44" i="11"/>
  <c r="M41" i="11"/>
  <c r="M43" i="11"/>
  <c r="H44" i="11"/>
  <c r="H43" i="11"/>
  <c r="H42" i="11"/>
  <c r="H41" i="11"/>
  <c r="I41" i="11"/>
  <c r="I42" i="11"/>
  <c r="I43" i="11"/>
  <c r="I44" i="11"/>
  <c r="K32" i="11"/>
  <c r="K30" i="11"/>
  <c r="J41" i="11"/>
  <c r="J42" i="11"/>
  <c r="J43" i="11"/>
  <c r="J44" i="11"/>
  <c r="L44" i="11"/>
  <c r="L53" i="11" s="1"/>
  <c r="L43" i="11"/>
  <c r="L42" i="11"/>
  <c r="L51" i="11" s="1"/>
  <c r="L41" i="11"/>
  <c r="Q32" i="11"/>
  <c r="Q30" i="11"/>
  <c r="Q31" i="11" s="1"/>
  <c r="P43" i="11"/>
  <c r="P41" i="11"/>
  <c r="P44" i="11"/>
  <c r="P42" i="11"/>
  <c r="P32" i="11"/>
  <c r="M32" i="11"/>
  <c r="M39" i="11"/>
  <c r="M37" i="11"/>
  <c r="M36" i="11"/>
  <c r="M38" i="11"/>
  <c r="K11" i="11"/>
  <c r="K38" i="11" s="1"/>
  <c r="P11" i="11"/>
  <c r="P38" i="11" s="1"/>
  <c r="L32" i="11"/>
  <c r="J36" i="11"/>
  <c r="J38" i="11"/>
  <c r="J39" i="11"/>
  <c r="J37" i="11"/>
  <c r="J32" i="11"/>
  <c r="I37" i="11"/>
  <c r="I38" i="11"/>
  <c r="I36" i="11"/>
  <c r="I39" i="11"/>
  <c r="I32" i="11"/>
  <c r="G32" i="11"/>
  <c r="G11" i="11"/>
  <c r="H11" i="11"/>
  <c r="H31" i="11" s="1"/>
  <c r="H32" i="11"/>
  <c r="O32" i="11"/>
  <c r="G42" i="11"/>
  <c r="G41" i="11"/>
  <c r="G44" i="11"/>
  <c r="G43" i="11"/>
  <c r="AL7" i="11"/>
  <c r="K31" i="11" l="1"/>
  <c r="AO11" i="11"/>
  <c r="AN11" i="11" s="1"/>
  <c r="O41" i="11"/>
  <c r="O50" i="11" s="1"/>
  <c r="O31" i="11"/>
  <c r="R51" i="11"/>
  <c r="R58" i="11"/>
  <c r="V390" i="17"/>
  <c r="R390" i="17"/>
  <c r="P390" i="17" s="1"/>
  <c r="P31" i="11"/>
  <c r="R50" i="11"/>
  <c r="N3" i="12"/>
  <c r="N5" i="12" s="1"/>
  <c r="G31" i="11"/>
  <c r="O43" i="11"/>
  <c r="O52" i="11" s="1"/>
  <c r="L52" i="11"/>
  <c r="L50" i="11"/>
  <c r="L63" i="11" s="1"/>
  <c r="O44" i="11"/>
  <c r="O53" i="11" s="1"/>
  <c r="L58" i="11"/>
  <c r="P52" i="11"/>
  <c r="O42" i="11"/>
  <c r="O51" i="11" s="1"/>
  <c r="M53" i="11"/>
  <c r="N42" i="11"/>
  <c r="N43" i="11"/>
  <c r="N52" i="11" s="1"/>
  <c r="N41" i="11"/>
  <c r="N44" i="11"/>
  <c r="N53" i="11" s="1"/>
  <c r="M52" i="11"/>
  <c r="I53" i="11"/>
  <c r="I52" i="11"/>
  <c r="K44" i="11"/>
  <c r="K42" i="11"/>
  <c r="K43" i="11"/>
  <c r="K52" i="11" s="1"/>
  <c r="K41" i="11"/>
  <c r="J52" i="11"/>
  <c r="J53" i="11"/>
  <c r="H3" i="12"/>
  <c r="H5" i="12" s="1"/>
  <c r="Q41" i="11"/>
  <c r="Q42" i="11"/>
  <c r="Q43" i="11"/>
  <c r="Q52" i="11" s="1"/>
  <c r="Q44" i="11"/>
  <c r="Q53" i="11" s="1"/>
  <c r="P36" i="11"/>
  <c r="P50" i="11" s="1"/>
  <c r="M58" i="11"/>
  <c r="M51" i="11"/>
  <c r="I3" i="12"/>
  <c r="I5" i="12" s="1"/>
  <c r="M50" i="11"/>
  <c r="K37" i="11"/>
  <c r="K39" i="11"/>
  <c r="K36" i="11"/>
  <c r="P39" i="11"/>
  <c r="P53" i="11" s="1"/>
  <c r="P37" i="11"/>
  <c r="J58" i="11"/>
  <c r="J51" i="11"/>
  <c r="J50" i="11"/>
  <c r="F3" i="12"/>
  <c r="F5" i="12" s="1"/>
  <c r="I50" i="11"/>
  <c r="E3" i="12"/>
  <c r="E5" i="12" s="1"/>
  <c r="I58" i="11"/>
  <c r="I51" i="11"/>
  <c r="G38" i="11"/>
  <c r="G52" i="11" s="1"/>
  <c r="G37" i="11"/>
  <c r="G51" i="11" s="1"/>
  <c r="G36" i="11"/>
  <c r="G39" i="11"/>
  <c r="G53" i="11" s="1"/>
  <c r="H39" i="11"/>
  <c r="H53" i="11" s="1"/>
  <c r="H36" i="11"/>
  <c r="H37" i="11"/>
  <c r="H38" i="11"/>
  <c r="H52" i="11" s="1"/>
  <c r="AJ29" i="11"/>
  <c r="AJ5" i="11"/>
  <c r="E21" i="11"/>
  <c r="AP21" i="11" s="1"/>
  <c r="E23" i="11"/>
  <c r="AP23" i="11" s="1"/>
  <c r="E25" i="11"/>
  <c r="AP25" i="11" s="1"/>
  <c r="E22" i="11"/>
  <c r="AP22" i="11" s="1"/>
  <c r="E13" i="11"/>
  <c r="AP13" i="11" s="1"/>
  <c r="AO41" i="11" l="1"/>
  <c r="G50" i="11"/>
  <c r="G63" i="11" s="1"/>
  <c r="AO36" i="11"/>
  <c r="S390" i="17"/>
  <c r="S389" i="17" s="1"/>
  <c r="P389" i="17"/>
  <c r="P388" i="17" s="1"/>
  <c r="K53" i="11"/>
  <c r="K50" i="11"/>
  <c r="O63" i="11"/>
  <c r="K3" i="12"/>
  <c r="K5" i="12" s="1"/>
  <c r="O58" i="11"/>
  <c r="M63" i="11"/>
  <c r="J3" i="12"/>
  <c r="J5" i="12" s="1"/>
  <c r="N50" i="11"/>
  <c r="N58" i="11"/>
  <c r="N51" i="11"/>
  <c r="G3" i="12"/>
  <c r="G5" i="12" s="1"/>
  <c r="J63" i="11"/>
  <c r="Q51" i="11"/>
  <c r="Q58" i="11"/>
  <c r="Q50" i="11"/>
  <c r="M3" i="12"/>
  <c r="M5" i="12" s="1"/>
  <c r="C3" i="12"/>
  <c r="C5" i="12" s="1"/>
  <c r="K58" i="11"/>
  <c r="K51" i="11"/>
  <c r="P51" i="11"/>
  <c r="P63" i="11" s="1"/>
  <c r="P58" i="11"/>
  <c r="L3" i="12"/>
  <c r="L5" i="12" s="1"/>
  <c r="I63" i="11"/>
  <c r="G58" i="11"/>
  <c r="H58" i="11"/>
  <c r="H51" i="11"/>
  <c r="D3" i="12"/>
  <c r="D5" i="12" s="1"/>
  <c r="H50" i="11"/>
  <c r="G27" i="11"/>
  <c r="AK21" i="11"/>
  <c r="AK22" i="11"/>
  <c r="AL22" i="11" s="1"/>
  <c r="AK25" i="11"/>
  <c r="AL25" i="11" s="1"/>
  <c r="T390" i="17" l="1"/>
  <c r="S388" i="17"/>
  <c r="T391" i="17" s="1"/>
  <c r="K63" i="11"/>
  <c r="Q63" i="11"/>
  <c r="N63" i="11"/>
  <c r="H63" i="11"/>
  <c r="AL21" i="11"/>
  <c r="H27" i="11"/>
  <c r="T389" i="17" l="1"/>
  <c r="W390" i="17"/>
  <c r="W389" i="17" s="1"/>
  <c r="X390" i="17"/>
  <c r="X389" i="17" s="1"/>
  <c r="I27" i="11"/>
  <c r="X388" i="17" l="1"/>
  <c r="W388" i="17"/>
  <c r="J27" i="11"/>
  <c r="K27" i="11" l="1"/>
  <c r="AN57" i="9"/>
  <c r="AN58" i="9" s="1"/>
  <c r="AN61" i="9" s="1"/>
  <c r="AN63" i="9" s="1"/>
  <c r="AO57" i="9"/>
  <c r="AO58" i="9" s="1"/>
  <c r="AO61" i="9" s="1"/>
  <c r="AO63" i="9" s="1"/>
  <c r="AP57" i="9"/>
  <c r="AP62" i="9" s="1"/>
  <c r="AQ57" i="9"/>
  <c r="AQ64" i="9" s="1"/>
  <c r="AR57" i="9"/>
  <c r="AR58" i="9" s="1"/>
  <c r="AR61" i="9" s="1"/>
  <c r="AR63" i="9" s="1"/>
  <c r="AS57" i="9"/>
  <c r="AS62" i="9" s="1"/>
  <c r="AT57" i="9"/>
  <c r="AT64" i="9" s="1"/>
  <c r="AU57" i="9"/>
  <c r="AU64" i="9" s="1"/>
  <c r="AV57" i="9"/>
  <c r="AV58" i="9" s="1"/>
  <c r="AV61" i="9" s="1"/>
  <c r="AV63" i="9" s="1"/>
  <c r="AW57" i="9"/>
  <c r="AW60" i="9" s="1"/>
  <c r="AX57" i="9"/>
  <c r="AX58" i="9" s="1"/>
  <c r="AX61" i="9" s="1"/>
  <c r="AX63" i="9" s="1"/>
  <c r="BU57" i="9"/>
  <c r="BU58" i="9" s="1"/>
  <c r="BU61" i="9" s="1"/>
  <c r="BU63" i="9" s="1"/>
  <c r="BV57" i="9"/>
  <c r="BV64" i="9" s="1"/>
  <c r="BW57" i="9"/>
  <c r="BW59" i="9" s="1"/>
  <c r="BX57" i="9"/>
  <c r="BX62" i="9" s="1"/>
  <c r="BY57" i="9"/>
  <c r="BY58" i="9" s="1"/>
  <c r="BY61" i="9" s="1"/>
  <c r="BY63" i="9" s="1"/>
  <c r="BZ57" i="9"/>
  <c r="BZ64" i="9" s="1"/>
  <c r="CA57" i="9"/>
  <c r="CA59" i="9" s="1"/>
  <c r="CB57" i="9"/>
  <c r="CB62" i="9" s="1"/>
  <c r="CC57" i="9"/>
  <c r="CC58" i="9" s="1"/>
  <c r="CC61" i="9" s="1"/>
  <c r="CC63" i="9" s="1"/>
  <c r="CD57" i="9"/>
  <c r="CD60" i="9" s="1"/>
  <c r="CE57" i="9"/>
  <c r="CE59" i="9" s="1"/>
  <c r="AM57" i="9"/>
  <c r="AM62" i="9" s="1"/>
  <c r="AY16" i="9"/>
  <c r="DM16" i="9" s="1"/>
  <c r="AY54" i="9" s="1"/>
  <c r="BL18" i="9"/>
  <c r="DM18" i="9" s="1"/>
  <c r="BL56" i="9" s="1"/>
  <c r="AX11" i="9"/>
  <c r="DM11" i="9" s="1"/>
  <c r="AY57" i="9" l="1"/>
  <c r="AZ54" i="9"/>
  <c r="AP59" i="9"/>
  <c r="CE62" i="9"/>
  <c r="CA62" i="9"/>
  <c r="BW62" i="9"/>
  <c r="AX62" i="9"/>
  <c r="AR62" i="9"/>
  <c r="CC60" i="9"/>
  <c r="BY60" i="9"/>
  <c r="BU60" i="9"/>
  <c r="AS60" i="9"/>
  <c r="CD59" i="9"/>
  <c r="BZ59" i="9"/>
  <c r="BV59" i="9"/>
  <c r="AU59" i="9"/>
  <c r="AQ59" i="9"/>
  <c r="CB58" i="9"/>
  <c r="CB61" i="9" s="1"/>
  <c r="CB63" i="9" s="1"/>
  <c r="BX58" i="9"/>
  <c r="BX61" i="9" s="1"/>
  <c r="BX63" i="9" s="1"/>
  <c r="AU58" i="9"/>
  <c r="AU61" i="9" s="1"/>
  <c r="AU63" i="9" s="1"/>
  <c r="AQ58" i="9"/>
  <c r="AQ61" i="9" s="1"/>
  <c r="AQ63" i="9" s="1"/>
  <c r="AM59" i="9"/>
  <c r="AN60" i="9"/>
  <c r="AN62" i="9"/>
  <c r="BY64" i="9"/>
  <c r="BU64" i="9"/>
  <c r="AW64" i="9"/>
  <c r="AS64" i="9"/>
  <c r="BM18" i="9"/>
  <c r="BN18" i="9" s="1"/>
  <c r="BO18" i="9" s="1"/>
  <c r="BP18" i="9" s="1"/>
  <c r="BQ18" i="9" s="1"/>
  <c r="BR18" i="9" s="1"/>
  <c r="AP60" i="9"/>
  <c r="CD62" i="9"/>
  <c r="BZ62" i="9"/>
  <c r="BV62" i="9"/>
  <c r="AU62" i="9"/>
  <c r="AQ62" i="9"/>
  <c r="CB60" i="9"/>
  <c r="BX60" i="9"/>
  <c r="AV60" i="9"/>
  <c r="AR60" i="9"/>
  <c r="CC59" i="9"/>
  <c r="BY59" i="9"/>
  <c r="BU59" i="9"/>
  <c r="AT59" i="9"/>
  <c r="CE58" i="9"/>
  <c r="CE61" i="9" s="1"/>
  <c r="CE63" i="9" s="1"/>
  <c r="CA58" i="9"/>
  <c r="CA61" i="9" s="1"/>
  <c r="CA63" i="9" s="1"/>
  <c r="BW58" i="9"/>
  <c r="BW61" i="9" s="1"/>
  <c r="BW63" i="9" s="1"/>
  <c r="AT58" i="9"/>
  <c r="AT61" i="9" s="1"/>
  <c r="AT63" i="9" s="1"/>
  <c r="AM58" i="9"/>
  <c r="AM61" i="9" s="1"/>
  <c r="AM63" i="9" s="1"/>
  <c r="AN59" i="9"/>
  <c r="AO60" i="9"/>
  <c r="AO62" i="9"/>
  <c r="BX64" i="9"/>
  <c r="AV64" i="9"/>
  <c r="AR64" i="9"/>
  <c r="CC62" i="9"/>
  <c r="BY62" i="9"/>
  <c r="BU62" i="9"/>
  <c r="AT62" i="9"/>
  <c r="CE60" i="9"/>
  <c r="CA60" i="9"/>
  <c r="BW60" i="9"/>
  <c r="AU60" i="9"/>
  <c r="AQ60" i="9"/>
  <c r="CB59" i="9"/>
  <c r="BX59" i="9"/>
  <c r="AS59" i="9"/>
  <c r="CD58" i="9"/>
  <c r="CD61" i="9" s="1"/>
  <c r="CD63" i="9" s="1"/>
  <c r="BZ58" i="9"/>
  <c r="BZ61" i="9" s="1"/>
  <c r="BZ63" i="9" s="1"/>
  <c r="BV58" i="9"/>
  <c r="BV61" i="9" s="1"/>
  <c r="BV63" i="9" s="1"/>
  <c r="AS58" i="9"/>
  <c r="AS61" i="9" s="1"/>
  <c r="AS63" i="9" s="1"/>
  <c r="AO59" i="9"/>
  <c r="AP64" i="9"/>
  <c r="BW64" i="9"/>
  <c r="AP58" i="9"/>
  <c r="AP61" i="9" s="1"/>
  <c r="AP63" i="9" s="1"/>
  <c r="BZ60" i="9"/>
  <c r="BV60" i="9"/>
  <c r="AT60" i="9"/>
  <c r="AV59" i="9"/>
  <c r="AR59" i="9"/>
  <c r="AM60" i="9"/>
  <c r="AX64" i="9"/>
  <c r="L27" i="11"/>
  <c r="AY59" i="9"/>
  <c r="AY60" i="9"/>
  <c r="AY62" i="9"/>
  <c r="AX60" i="9"/>
  <c r="AX59" i="9"/>
  <c r="AW62" i="9"/>
  <c r="AW59" i="9"/>
  <c r="AW58" i="9"/>
  <c r="AW61" i="9" s="1"/>
  <c r="AW63" i="9" s="1"/>
  <c r="AV62" i="9"/>
  <c r="AV17" i="9"/>
  <c r="DM17" i="9" s="1"/>
  <c r="AZ55" i="9" s="1"/>
  <c r="AZ16" i="9"/>
  <c r="BA16" i="9" s="1"/>
  <c r="BB16" i="9" s="1"/>
  <c r="BC16" i="9" s="1"/>
  <c r="BD16" i="9" s="1"/>
  <c r="BE16" i="9" s="1"/>
  <c r="BF16" i="9" s="1"/>
  <c r="BG16" i="9" s="1"/>
  <c r="BH16" i="9" s="1"/>
  <c r="BI16" i="9" s="1"/>
  <c r="BJ16" i="9" s="1"/>
  <c r="BK16" i="9" s="1"/>
  <c r="BL16" i="9" s="1"/>
  <c r="BM16" i="9" s="1"/>
  <c r="BN16" i="9" s="1"/>
  <c r="BO16" i="9" s="1"/>
  <c r="BP16" i="9" s="1"/>
  <c r="BQ16" i="9" s="1"/>
  <c r="BR16" i="9" s="1"/>
  <c r="BS16" i="9" s="1"/>
  <c r="BT16" i="9" s="1"/>
  <c r="AR15" i="9"/>
  <c r="AS15" i="9" s="1"/>
  <c r="AT15" i="9" s="1"/>
  <c r="AU15" i="9" s="1"/>
  <c r="AV15" i="9" s="1"/>
  <c r="AW15" i="9" s="1"/>
  <c r="AX15" i="9" s="1"/>
  <c r="AY15" i="9" s="1"/>
  <c r="AZ15" i="9" s="1"/>
  <c r="DM14" i="9"/>
  <c r="BR52" i="9" s="1"/>
  <c r="AZ14" i="9"/>
  <c r="BA14" i="9" s="1"/>
  <c r="BB14" i="9" s="1"/>
  <c r="BC14" i="9" s="1"/>
  <c r="BD14" i="9" s="1"/>
  <c r="BE14" i="9" s="1"/>
  <c r="BF14" i="9" s="1"/>
  <c r="BG14" i="9" s="1"/>
  <c r="BH14" i="9" s="1"/>
  <c r="BI14" i="9" s="1"/>
  <c r="BJ14" i="9" s="1"/>
  <c r="BK14" i="9" s="1"/>
  <c r="BL14" i="9" s="1"/>
  <c r="BM14" i="9" s="1"/>
  <c r="BN14" i="9" s="1"/>
  <c r="BO14" i="9" s="1"/>
  <c r="BP14" i="9" s="1"/>
  <c r="BQ14" i="9" s="1"/>
  <c r="BR14" i="9" s="1"/>
  <c r="BF13" i="9"/>
  <c r="BG13" i="9" s="1"/>
  <c r="BH13" i="9" s="1"/>
  <c r="BI13" i="9" s="1"/>
  <c r="BJ13" i="9" s="1"/>
  <c r="BK13" i="9" s="1"/>
  <c r="BL13" i="9" s="1"/>
  <c r="BM13" i="9" s="1"/>
  <c r="BN13" i="9" s="1"/>
  <c r="BO13" i="9" s="1"/>
  <c r="BP13" i="9" s="1"/>
  <c r="BQ13" i="9" s="1"/>
  <c r="BR13" i="9" s="1"/>
  <c r="BS13" i="9" s="1"/>
  <c r="BT13" i="9" s="1"/>
  <c r="BU13" i="9" s="1"/>
  <c r="BV13" i="9" s="1"/>
  <c r="BW13" i="9" s="1"/>
  <c r="BX13" i="9" s="1"/>
  <c r="BY13" i="9" s="1"/>
  <c r="DM12" i="9"/>
  <c r="AU12" i="9"/>
  <c r="AV12" i="9" s="1"/>
  <c r="AW12" i="9" s="1"/>
  <c r="AX12" i="9" s="1"/>
  <c r="AY12" i="9" s="1"/>
  <c r="AZ12" i="9" s="1"/>
  <c r="BA12" i="9" s="1"/>
  <c r="BB12" i="9" s="1"/>
  <c r="BC12" i="9" s="1"/>
  <c r="BD12" i="9" s="1"/>
  <c r="BE12" i="9" s="1"/>
  <c r="BF12" i="9" s="1"/>
  <c r="BG12" i="9" s="1"/>
  <c r="BH12" i="9" s="1"/>
  <c r="BI12" i="9" s="1"/>
  <c r="BJ12" i="9" s="1"/>
  <c r="BK12" i="9" s="1"/>
  <c r="BL12" i="9" s="1"/>
  <c r="BM12" i="9" s="1"/>
  <c r="BN12" i="9" s="1"/>
  <c r="BO12" i="9" s="1"/>
  <c r="BP12" i="9" s="1"/>
  <c r="BQ12" i="9" s="1"/>
  <c r="BR12" i="9" s="1"/>
  <c r="BS12" i="9" s="1"/>
  <c r="BT12" i="9" s="1"/>
  <c r="BU12" i="9" s="1"/>
  <c r="BV12" i="9" s="1"/>
  <c r="BW12" i="9" s="1"/>
  <c r="BX12" i="9" s="1"/>
  <c r="BY12" i="9" s="1"/>
  <c r="AY11" i="9"/>
  <c r="AZ11" i="9" s="1"/>
  <c r="BA11" i="9" s="1"/>
  <c r="BB11" i="9" s="1"/>
  <c r="BC11" i="9" s="1"/>
  <c r="BD11" i="9" s="1"/>
  <c r="BE11" i="9" s="1"/>
  <c r="BF11" i="9" s="1"/>
  <c r="BG11" i="9" s="1"/>
  <c r="BH11" i="9" s="1"/>
  <c r="BI11" i="9" s="1"/>
  <c r="BJ11" i="9" s="1"/>
  <c r="DM10" i="9"/>
  <c r="AQ10" i="9"/>
  <c r="AR10" i="9" s="1"/>
  <c r="AS10" i="9" s="1"/>
  <c r="AT10" i="9" s="1"/>
  <c r="AP10" i="9"/>
  <c r="AR9" i="9"/>
  <c r="DN9" i="9" s="1"/>
  <c r="D10" i="9"/>
  <c r="D11" i="9"/>
  <c r="D12" i="9"/>
  <c r="D13" i="9"/>
  <c r="D14" i="9"/>
  <c r="D15" i="9"/>
  <c r="D16" i="9"/>
  <c r="D17" i="9"/>
  <c r="D18" i="9"/>
  <c r="D9" i="9"/>
  <c r="G9" i="9" s="1"/>
  <c r="AS9" i="9" l="1"/>
  <c r="AT9" i="9" s="1"/>
  <c r="AU9" i="9" s="1"/>
  <c r="AV9" i="9" s="1"/>
  <c r="AW9" i="9" s="1"/>
  <c r="AX9" i="9" s="1"/>
  <c r="AY9" i="9" s="1"/>
  <c r="AZ9" i="9" s="1"/>
  <c r="BA9" i="9" s="1"/>
  <c r="BB9" i="9" s="1"/>
  <c r="BC9" i="9" s="1"/>
  <c r="BD9" i="9" s="1"/>
  <c r="BE9" i="9" s="1"/>
  <c r="BF9" i="9" s="1"/>
  <c r="BG9" i="9" s="1"/>
  <c r="BH9" i="9" s="1"/>
  <c r="BI9" i="9" s="1"/>
  <c r="BJ9" i="9" s="1"/>
  <c r="BK9" i="9" s="1"/>
  <c r="BL9" i="9" s="1"/>
  <c r="BM9" i="9" s="1"/>
  <c r="BN9" i="9" s="1"/>
  <c r="DM13" i="9"/>
  <c r="BF51" i="9" s="1"/>
  <c r="DM15" i="9"/>
  <c r="BA54" i="9"/>
  <c r="AZ57" i="9"/>
  <c r="AW17" i="9"/>
  <c r="AX17" i="9" s="1"/>
  <c r="AY17" i="9" s="1"/>
  <c r="AZ17" i="9" s="1"/>
  <c r="AY58" i="9"/>
  <c r="AY61" i="9" s="1"/>
  <c r="AY63" i="9" s="1"/>
  <c r="AY64" i="9"/>
  <c r="M27" i="11"/>
  <c r="D38" i="9"/>
  <c r="AZ58" i="9" l="1"/>
  <c r="AZ61" i="9" s="1"/>
  <c r="AZ63" i="9" s="1"/>
  <c r="AZ62" i="9"/>
  <c r="AZ59" i="9"/>
  <c r="AZ64" i="9"/>
  <c r="AZ60" i="9"/>
  <c r="BB54" i="9"/>
  <c r="BA57" i="9"/>
  <c r="N27" i="11"/>
  <c r="D43" i="9"/>
  <c r="G43" i="9" s="1"/>
  <c r="F44" i="9"/>
  <c r="G12" i="9"/>
  <c r="G14" i="9"/>
  <c r="E8" i="9"/>
  <c r="C8" i="9"/>
  <c r="G17" i="9"/>
  <c r="G18" i="9"/>
  <c r="D19" i="9"/>
  <c r="G19" i="9" s="1"/>
  <c r="D20" i="9"/>
  <c r="G20" i="9" s="1"/>
  <c r="D21" i="9"/>
  <c r="G21" i="9" s="1"/>
  <c r="D22" i="9"/>
  <c r="G22" i="9" s="1"/>
  <c r="D23" i="9"/>
  <c r="G23" i="9" s="1"/>
  <c r="D24" i="9"/>
  <c r="G24" i="9" s="1"/>
  <c r="D25" i="9"/>
  <c r="G25" i="9" s="1"/>
  <c r="D26" i="9"/>
  <c r="G26" i="9" s="1"/>
  <c r="D27" i="9"/>
  <c r="G27" i="9" s="1"/>
  <c r="D28" i="9"/>
  <c r="G28" i="9" s="1"/>
  <c r="D29" i="9"/>
  <c r="G29" i="9" s="1"/>
  <c r="D30" i="9"/>
  <c r="G30" i="9" s="1"/>
  <c r="D31" i="9"/>
  <c r="G31" i="9" s="1"/>
  <c r="D32" i="9"/>
  <c r="G32" i="9" s="1"/>
  <c r="D33" i="9"/>
  <c r="G33" i="9" s="1"/>
  <c r="D34" i="9"/>
  <c r="G34" i="9" s="1"/>
  <c r="D35" i="9"/>
  <c r="G35" i="9" s="1"/>
  <c r="D36" i="9"/>
  <c r="G36" i="9" s="1"/>
  <c r="D37" i="9"/>
  <c r="G37" i="9" s="1"/>
  <c r="D39" i="9"/>
  <c r="G39" i="9" s="1"/>
  <c r="D40" i="9"/>
  <c r="G40" i="9" s="1"/>
  <c r="D41" i="9"/>
  <c r="G41" i="9" s="1"/>
  <c r="D42" i="9"/>
  <c r="G42" i="9" s="1"/>
  <c r="H6" i="9"/>
  <c r="I7" i="9"/>
  <c r="J7" i="9" s="1"/>
  <c r="K7" i="9" s="1"/>
  <c r="L7" i="9" s="1"/>
  <c r="M7" i="9" s="1"/>
  <c r="N7" i="9" s="1"/>
  <c r="O7" i="9" s="1"/>
  <c r="P7" i="9" s="1"/>
  <c r="Q7" i="9" s="1"/>
  <c r="R7" i="9" s="1"/>
  <c r="S7" i="9" s="1"/>
  <c r="T7" i="9" s="1"/>
  <c r="U7" i="9" s="1"/>
  <c r="V7" i="9" s="1"/>
  <c r="W7" i="9" s="1"/>
  <c r="X7" i="9" s="1"/>
  <c r="Y7" i="9" s="1"/>
  <c r="Z7" i="9" s="1"/>
  <c r="AA7" i="9" s="1"/>
  <c r="AB7" i="9" s="1"/>
  <c r="AC7" i="9" s="1"/>
  <c r="AD7" i="9" s="1"/>
  <c r="AE7" i="9" s="1"/>
  <c r="AF7" i="9" s="1"/>
  <c r="AG7" i="9" s="1"/>
  <c r="AH7" i="9" s="1"/>
  <c r="AI7" i="9" s="1"/>
  <c r="AJ7" i="9" s="1"/>
  <c r="AK7" i="9" s="1"/>
  <c r="AL7" i="9" s="1"/>
  <c r="AM7" i="9" s="1"/>
  <c r="AN7" i="9" s="1"/>
  <c r="AO7" i="9" s="1"/>
  <c r="AP7" i="9" s="1"/>
  <c r="AQ7" i="9" s="1"/>
  <c r="AR7" i="9" s="1"/>
  <c r="AS7" i="9" s="1"/>
  <c r="AT7" i="9" s="1"/>
  <c r="AU7" i="9" s="1"/>
  <c r="AV7" i="9" s="1"/>
  <c r="AW7" i="9" s="1"/>
  <c r="AX7" i="9" s="1"/>
  <c r="AY7" i="9" s="1"/>
  <c r="AZ7" i="9" s="1"/>
  <c r="BA7" i="9" s="1"/>
  <c r="BB7" i="9" s="1"/>
  <c r="BC7" i="9" s="1"/>
  <c r="BD7" i="9" s="1"/>
  <c r="BE7" i="9" s="1"/>
  <c r="BF7" i="9" s="1"/>
  <c r="BG7" i="9" s="1"/>
  <c r="BH7" i="9" s="1"/>
  <c r="BI7" i="9" s="1"/>
  <c r="BJ7" i="9" s="1"/>
  <c r="BK7" i="9" s="1"/>
  <c r="BL7" i="9" s="1"/>
  <c r="BM7" i="9" s="1"/>
  <c r="BN7" i="9" s="1"/>
  <c r="BO7" i="9" s="1"/>
  <c r="BP7" i="9" s="1"/>
  <c r="BQ7" i="9" s="1"/>
  <c r="BR7" i="9" s="1"/>
  <c r="BS7" i="9" s="1"/>
  <c r="BT7" i="9" s="1"/>
  <c r="BU7" i="9" s="1"/>
  <c r="BV7" i="9" s="1"/>
  <c r="BW7" i="9" s="1"/>
  <c r="BX7" i="9" s="1"/>
  <c r="BY7" i="9" s="1"/>
  <c r="BZ7" i="9" s="1"/>
  <c r="CA7" i="9" s="1"/>
  <c r="CB7" i="9" s="1"/>
  <c r="CC7" i="9" s="1"/>
  <c r="CD7" i="9" s="1"/>
  <c r="CE7" i="9" s="1"/>
  <c r="CF7" i="9" s="1"/>
  <c r="CG7" i="9" s="1"/>
  <c r="CH7" i="9" s="1"/>
  <c r="CI7" i="9" s="1"/>
  <c r="CJ7" i="9" s="1"/>
  <c r="CK7" i="9" s="1"/>
  <c r="CL7" i="9" s="1"/>
  <c r="CM7" i="9" s="1"/>
  <c r="CN7" i="9" s="1"/>
  <c r="CO7" i="9" s="1"/>
  <c r="CP7" i="9" s="1"/>
  <c r="CQ7" i="9" s="1"/>
  <c r="CR7" i="9" s="1"/>
  <c r="CS7" i="9" s="1"/>
  <c r="CT7" i="9" s="1"/>
  <c r="CU7" i="9" s="1"/>
  <c r="CV7" i="9" s="1"/>
  <c r="CW7" i="9" s="1"/>
  <c r="CX7" i="9" s="1"/>
  <c r="CY7" i="9" s="1"/>
  <c r="CZ7" i="9" s="1"/>
  <c r="DA7" i="9" s="1"/>
  <c r="DB7" i="9" s="1"/>
  <c r="DC7" i="9" s="1"/>
  <c r="DD7" i="9" s="1"/>
  <c r="DE7" i="9" s="1"/>
  <c r="DF7" i="9" s="1"/>
  <c r="DG7" i="9" s="1"/>
  <c r="DH7" i="9" s="1"/>
  <c r="DI7" i="9" s="1"/>
  <c r="DJ7" i="9" s="1"/>
  <c r="DK7" i="9" s="1"/>
  <c r="DL7" i="9" s="1"/>
  <c r="G13" i="9"/>
  <c r="G11" i="9"/>
  <c r="G10" i="9"/>
  <c r="G16" i="9"/>
  <c r="G15" i="9"/>
  <c r="DI6" i="9" l="1"/>
  <c r="DE6" i="9"/>
  <c r="DA6" i="9"/>
  <c r="CW6" i="9"/>
  <c r="CS6" i="9"/>
  <c r="CO6" i="9"/>
  <c r="CK6" i="9"/>
  <c r="CG6" i="9"/>
  <c r="CC6" i="9"/>
  <c r="BY6" i="9"/>
  <c r="BU6" i="9"/>
  <c r="BQ6" i="9"/>
  <c r="BM6" i="9"/>
  <c r="BI6" i="9"/>
  <c r="BE6" i="9"/>
  <c r="BA6" i="9"/>
  <c r="AW6" i="9"/>
  <c r="AS6" i="9"/>
  <c r="AO6" i="9"/>
  <c r="AK6" i="9"/>
  <c r="AG6" i="9"/>
  <c r="AC6" i="9"/>
  <c r="Y6" i="9"/>
  <c r="U6" i="9"/>
  <c r="Q6" i="9"/>
  <c r="M6" i="9"/>
  <c r="I6" i="9"/>
  <c r="DH6" i="9"/>
  <c r="DD6" i="9"/>
  <c r="CZ6" i="9"/>
  <c r="CV6" i="9"/>
  <c r="CR6" i="9"/>
  <c r="CN6" i="9"/>
  <c r="CJ6" i="9"/>
  <c r="CF6" i="9"/>
  <c r="CB6" i="9"/>
  <c r="BX6" i="9"/>
  <c r="BT6" i="9"/>
  <c r="BP6" i="9"/>
  <c r="BL6" i="9"/>
  <c r="BH6" i="9"/>
  <c r="BD6" i="9"/>
  <c r="AZ6" i="9"/>
  <c r="AV6" i="9"/>
  <c r="AR6" i="9"/>
  <c r="AN6" i="9"/>
  <c r="AJ6" i="9"/>
  <c r="AF6" i="9"/>
  <c r="AB6" i="9"/>
  <c r="X6" i="9"/>
  <c r="T6" i="9"/>
  <c r="P6" i="9"/>
  <c r="L6" i="9"/>
  <c r="BA60" i="9"/>
  <c r="BA58" i="9"/>
  <c r="BA61" i="9" s="1"/>
  <c r="BA63" i="9" s="1"/>
  <c r="BA62" i="9"/>
  <c r="BA59" i="9"/>
  <c r="BA64" i="9"/>
  <c r="DG6" i="9"/>
  <c r="DC6" i="9"/>
  <c r="CY6" i="9"/>
  <c r="CU6" i="9"/>
  <c r="CQ6" i="9"/>
  <c r="CM6" i="9"/>
  <c r="CI6" i="9"/>
  <c r="CE6" i="9"/>
  <c r="CA6" i="9"/>
  <c r="BW6" i="9"/>
  <c r="BS6" i="9"/>
  <c r="BO6" i="9"/>
  <c r="BK6" i="9"/>
  <c r="BG6" i="9"/>
  <c r="BC6" i="9"/>
  <c r="AY6" i="9"/>
  <c r="AU6" i="9"/>
  <c r="AQ6" i="9"/>
  <c r="AM6" i="9"/>
  <c r="AI6" i="9"/>
  <c r="AE6" i="9"/>
  <c r="AA6" i="9"/>
  <c r="W6" i="9"/>
  <c r="S6" i="9"/>
  <c r="O6" i="9"/>
  <c r="K6" i="9"/>
  <c r="BC54" i="9"/>
  <c r="BB57" i="9"/>
  <c r="DF6" i="9"/>
  <c r="DB6" i="9"/>
  <c r="CX6" i="9"/>
  <c r="CT6" i="9"/>
  <c r="CP6" i="9"/>
  <c r="CL6" i="9"/>
  <c r="CH6" i="9"/>
  <c r="CD6" i="9"/>
  <c r="BZ6" i="9"/>
  <c r="BV6" i="9"/>
  <c r="BR6" i="9"/>
  <c r="BN6" i="9"/>
  <c r="BJ6" i="9"/>
  <c r="BF6" i="9"/>
  <c r="BB6" i="9"/>
  <c r="AX6" i="9"/>
  <c r="AT6" i="9"/>
  <c r="AP6" i="9"/>
  <c r="AL6" i="9"/>
  <c r="AH6" i="9"/>
  <c r="AD6" i="9"/>
  <c r="Z6" i="9"/>
  <c r="V6" i="9"/>
  <c r="R6" i="9"/>
  <c r="N6" i="9"/>
  <c r="J6" i="9"/>
  <c r="O27" i="11"/>
  <c r="G44" i="9"/>
  <c r="D8" i="9"/>
  <c r="BB64" i="9" l="1"/>
  <c r="BB60" i="9"/>
  <c r="BB58" i="9"/>
  <c r="BB61" i="9" s="1"/>
  <c r="BB63" i="9" s="1"/>
  <c r="BB62" i="9"/>
  <c r="BB59" i="9"/>
  <c r="BC57" i="9"/>
  <c r="BD54" i="9"/>
  <c r="E50" i="4"/>
  <c r="BE54" i="9" l="1"/>
  <c r="BD57" i="9"/>
  <c r="BC59" i="9"/>
  <c r="BC64" i="9"/>
  <c r="BC60" i="9"/>
  <c r="BC58" i="9"/>
  <c r="BC61" i="9" s="1"/>
  <c r="BC63" i="9" s="1"/>
  <c r="BC62" i="9"/>
  <c r="AK23" i="11"/>
  <c r="AK30" i="11" s="1"/>
  <c r="AK60" i="11" s="1"/>
  <c r="BD58" i="9" l="1"/>
  <c r="BD61" i="9" s="1"/>
  <c r="BD63" i="9" s="1"/>
  <c r="BD62" i="9"/>
  <c r="BD59" i="9"/>
  <c r="BD64" i="9"/>
  <c r="BD60" i="9"/>
  <c r="BF54" i="9"/>
  <c r="BE57" i="9"/>
  <c r="AM23" i="11"/>
  <c r="BE60" i="9" l="1"/>
  <c r="BE58" i="9"/>
  <c r="BE61" i="9" s="1"/>
  <c r="BE63" i="9" s="1"/>
  <c r="BE62" i="9"/>
  <c r="BE59" i="9"/>
  <c r="BE64" i="9"/>
  <c r="BG54" i="9"/>
  <c r="BF57" i="9"/>
  <c r="AL23" i="11"/>
  <c r="BF64" i="9" l="1"/>
  <c r="BF60" i="9"/>
  <c r="BF58" i="9"/>
  <c r="BF61" i="9" s="1"/>
  <c r="BF63" i="9" s="1"/>
  <c r="BF62" i="9"/>
  <c r="BF59" i="9"/>
  <c r="BH54" i="9"/>
  <c r="BG57" i="9"/>
  <c r="AK13" i="11"/>
  <c r="AK29" i="11" s="1"/>
  <c r="F13" i="11"/>
  <c r="AR13" i="11" s="1"/>
  <c r="BG59" i="9" l="1"/>
  <c r="BG64" i="9"/>
  <c r="BG60" i="9"/>
  <c r="BG58" i="9"/>
  <c r="BG61" i="9" s="1"/>
  <c r="BG63" i="9" s="1"/>
  <c r="BG62" i="9"/>
  <c r="BI54" i="9"/>
  <c r="BH57" i="9"/>
  <c r="AL13" i="11"/>
  <c r="P27" i="11"/>
  <c r="BH58" i="9" l="1"/>
  <c r="BH61" i="9" s="1"/>
  <c r="BH63" i="9" s="1"/>
  <c r="BH62" i="9"/>
  <c r="BH59" i="9"/>
  <c r="BH64" i="9"/>
  <c r="BH60" i="9"/>
  <c r="BJ54" i="9"/>
  <c r="BI57" i="9"/>
  <c r="Q27" i="11"/>
  <c r="R27" i="11" s="1"/>
  <c r="P416" i="17"/>
  <c r="P415" i="17" s="1"/>
  <c r="BI60" i="9" l="1"/>
  <c r="BI58" i="9"/>
  <c r="BI61" i="9" s="1"/>
  <c r="BI63" i="9" s="1"/>
  <c r="BI62" i="9"/>
  <c r="BI59" i="9"/>
  <c r="BI64" i="9"/>
  <c r="BK54" i="9"/>
  <c r="BJ57" i="9"/>
  <c r="P350" i="17"/>
  <c r="S415" i="17"/>
  <c r="BJ64" i="9" l="1"/>
  <c r="BJ60" i="9"/>
  <c r="BJ58" i="9"/>
  <c r="BJ61" i="9" s="1"/>
  <c r="BJ63" i="9" s="1"/>
  <c r="BJ62" i="9"/>
  <c r="BJ59" i="9"/>
  <c r="BL54" i="9"/>
  <c r="BK57" i="9"/>
  <c r="T416" i="17"/>
  <c r="T423" i="17"/>
  <c r="BM54" i="9" l="1"/>
  <c r="BL57" i="9"/>
  <c r="BK59" i="9"/>
  <c r="BK64" i="9"/>
  <c r="BK60" i="9"/>
  <c r="BK58" i="9"/>
  <c r="BK61" i="9" s="1"/>
  <c r="BK63" i="9" s="1"/>
  <c r="BK62" i="9"/>
  <c r="W415" i="17"/>
  <c r="X415" i="17"/>
  <c r="BL58" i="9" l="1"/>
  <c r="BL61" i="9" s="1"/>
  <c r="BL63" i="9" s="1"/>
  <c r="BL62" i="9"/>
  <c r="BL59" i="9"/>
  <c r="BL64" i="9"/>
  <c r="BL60" i="9"/>
  <c r="BN54" i="9"/>
  <c r="BM57" i="9"/>
  <c r="S84" i="17"/>
  <c r="BM59" i="9" l="1"/>
  <c r="BM64" i="9"/>
  <c r="BM60" i="9"/>
  <c r="BM58" i="9"/>
  <c r="BM61" i="9" s="1"/>
  <c r="BM63" i="9" s="1"/>
  <c r="BM62" i="9"/>
  <c r="BO54" i="9"/>
  <c r="BN57" i="9"/>
  <c r="T107" i="17"/>
  <c r="S83" i="17"/>
  <c r="T84" i="17" s="1"/>
  <c r="T91" i="17"/>
  <c r="T97" i="17"/>
  <c r="T105" i="17"/>
  <c r="T87" i="17"/>
  <c r="T102" i="17"/>
  <c r="T95" i="17"/>
  <c r="T94" i="17"/>
  <c r="T92" i="17"/>
  <c r="T109" i="17"/>
  <c r="T89" i="17"/>
  <c r="T96" i="17"/>
  <c r="T110" i="17"/>
  <c r="T90" i="17"/>
  <c r="T108" i="17"/>
  <c r="T93" i="17"/>
  <c r="T100" i="17"/>
  <c r="T86" i="17"/>
  <c r="T103" i="17"/>
  <c r="T101" i="17"/>
  <c r="T106" i="17"/>
  <c r="T85" i="17"/>
  <c r="T98" i="17"/>
  <c r="T104" i="17"/>
  <c r="T111" i="17"/>
  <c r="T99" i="17"/>
  <c r="T88" i="17"/>
  <c r="BN60" i="9" l="1"/>
  <c r="BN64" i="9"/>
  <c r="BN58" i="9"/>
  <c r="BN61" i="9" s="1"/>
  <c r="BN63" i="9" s="1"/>
  <c r="BN62" i="9"/>
  <c r="BN59" i="9"/>
  <c r="BP54" i="9"/>
  <c r="BO57" i="9"/>
  <c r="W102" i="17"/>
  <c r="X102" i="17"/>
  <c r="W106" i="17"/>
  <c r="X106" i="17"/>
  <c r="W99" i="17"/>
  <c r="X99" i="17"/>
  <c r="W90" i="17"/>
  <c r="X90" i="17"/>
  <c r="X111" i="17"/>
  <c r="W111" i="17"/>
  <c r="X92" i="17"/>
  <c r="W92" i="17"/>
  <c r="W104" i="17"/>
  <c r="X104" i="17"/>
  <c r="X105" i="17"/>
  <c r="W105" i="17"/>
  <c r="T124" i="17"/>
  <c r="T112" i="17"/>
  <c r="T151" i="17"/>
  <c r="T154" i="17"/>
  <c r="W85" i="17"/>
  <c r="X85" i="17"/>
  <c r="X86" i="17"/>
  <c r="W86" i="17"/>
  <c r="X109" i="17"/>
  <c r="W109" i="17"/>
  <c r="X91" i="17"/>
  <c r="W91" i="17"/>
  <c r="X100" i="17"/>
  <c r="W100" i="17"/>
  <c r="X110" i="17"/>
  <c r="W110" i="17"/>
  <c r="W87" i="17"/>
  <c r="X87" i="17"/>
  <c r="W101" i="17"/>
  <c r="X101" i="17"/>
  <c r="W93" i="17"/>
  <c r="X93" i="17"/>
  <c r="X96" i="17"/>
  <c r="W96" i="17"/>
  <c r="W94" i="17"/>
  <c r="X94" i="17"/>
  <c r="X88" i="17"/>
  <c r="W88" i="17"/>
  <c r="X98" i="17"/>
  <c r="W98" i="17"/>
  <c r="X103" i="17"/>
  <c r="W103" i="17"/>
  <c r="X108" i="17"/>
  <c r="W108" i="17"/>
  <c r="X89" i="17"/>
  <c r="W89" i="17"/>
  <c r="X95" i="17"/>
  <c r="W95" i="17"/>
  <c r="W97" i="17"/>
  <c r="X97" i="17"/>
  <c r="W107" i="17"/>
  <c r="X107" i="17"/>
  <c r="BO58" i="9" l="1"/>
  <c r="BO61" i="9" s="1"/>
  <c r="BO63" i="9" s="1"/>
  <c r="BO64" i="9"/>
  <c r="BO60" i="9"/>
  <c r="BO59" i="9"/>
  <c r="BO62" i="9"/>
  <c r="BQ54" i="9"/>
  <c r="BP57" i="9"/>
  <c r="X84" i="17"/>
  <c r="X83" i="17" s="1"/>
  <c r="W84" i="17"/>
  <c r="W83" i="17" s="1"/>
  <c r="D1" i="20" s="1"/>
  <c r="S551" i="17"/>
  <c r="BP58" i="9" l="1"/>
  <c r="BP61" i="9" s="1"/>
  <c r="BP63" i="9" s="1"/>
  <c r="BP60" i="9"/>
  <c r="BP64" i="9"/>
  <c r="BP62" i="9"/>
  <c r="BP59" i="9"/>
  <c r="BR54" i="9"/>
  <c r="BQ57" i="9"/>
  <c r="T554" i="17"/>
  <c r="T553" i="17"/>
  <c r="S550" i="17"/>
  <c r="S350" i="17" s="1"/>
  <c r="T552" i="17"/>
  <c r="BS54" i="9" l="1"/>
  <c r="BR57" i="9"/>
  <c r="BQ58" i="9"/>
  <c r="BQ61" i="9" s="1"/>
  <c r="BQ63" i="9" s="1"/>
  <c r="BQ64" i="9"/>
  <c r="BQ59" i="9"/>
  <c r="BQ60" i="9"/>
  <c r="BQ62" i="9"/>
  <c r="T551" i="17"/>
  <c r="T557" i="17"/>
  <c r="T555" i="17"/>
  <c r="T576" i="17"/>
  <c r="T580" i="17"/>
  <c r="T574" i="17"/>
  <c r="T578" i="17"/>
  <c r="X553" i="17"/>
  <c r="W553" i="17"/>
  <c r="W554" i="17"/>
  <c r="X554" i="17"/>
  <c r="W552" i="17"/>
  <c r="X552" i="17"/>
  <c r="T550" i="17"/>
  <c r="BR59" i="9" l="1"/>
  <c r="BR64" i="9"/>
  <c r="BR58" i="9"/>
  <c r="BR61" i="9" s="1"/>
  <c r="BR63" i="9" s="1"/>
  <c r="BR62" i="9"/>
  <c r="BR60" i="9"/>
  <c r="BT54" i="9"/>
  <c r="BT57" i="9" s="1"/>
  <c r="BS57" i="9"/>
  <c r="W551" i="17"/>
  <c r="W550" i="17" s="1"/>
  <c r="X551" i="17"/>
  <c r="X550" i="17" s="1"/>
  <c r="T351" i="17"/>
  <c r="S82" i="17"/>
  <c r="S7" i="17" s="1"/>
  <c r="T388" i="17"/>
  <c r="T415" i="17"/>
  <c r="BS59" i="9" l="1"/>
  <c r="BS64" i="9"/>
  <c r="BS60" i="9"/>
  <c r="BS58" i="9"/>
  <c r="BS61" i="9" s="1"/>
  <c r="BS63" i="9" s="1"/>
  <c r="BS62" i="9"/>
  <c r="BT62" i="9"/>
  <c r="BT59" i="9"/>
  <c r="BT64" i="9"/>
  <c r="BT60" i="9"/>
  <c r="BT58" i="9"/>
  <c r="BT61" i="9" s="1"/>
  <c r="BT63" i="9" s="1"/>
  <c r="X350" i="17"/>
  <c r="W350" i="17"/>
  <c r="T83" i="17"/>
  <c r="T582" i="17"/>
  <c r="T175" i="17"/>
  <c r="T350" i="17"/>
  <c r="X82" i="17" l="1"/>
  <c r="W82" i="17"/>
  <c r="T82" i="17"/>
  <c r="T674" i="17"/>
  <c r="T21" i="17"/>
  <c r="W7" i="17" l="1"/>
  <c r="F1" i="20" s="1"/>
  <c r="T7" i="17"/>
  <c r="X7" i="17"/>
  <c r="E6" i="1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Mahmoud Shahwan</author>
  </authors>
  <commentList>
    <comment ref="B1" authorId="0" shapeId="0" xr:uid="{DE4045B5-CE02-4CBB-94F9-5CB2140964DA}">
      <text>
        <r>
          <rPr>
            <b/>
            <sz val="9"/>
            <color indexed="81"/>
            <rFont val="Tahoma"/>
            <charset val="1"/>
          </rPr>
          <t>Mahmoud Shahwan:</t>
        </r>
        <r>
          <rPr>
            <sz val="9"/>
            <color indexed="81"/>
            <rFont val="Tahoma"/>
            <charset val="1"/>
          </rPr>
          <t xml:space="preserve">
to control sheet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MBorham</author>
  </authors>
  <commentList>
    <comment ref="O356" authorId="0" shapeId="0" xr:uid="{00000000-0006-0000-0900-000001000000}">
      <text>
        <r>
          <rPr>
            <b/>
            <sz val="9"/>
            <color indexed="81"/>
            <rFont val="Tahoma"/>
          </rPr>
          <t>MBorham:</t>
        </r>
        <r>
          <rPr>
            <sz val="9"/>
            <color indexed="81"/>
            <rFont val="Tahoma"/>
          </rPr>
          <t xml:space="preserve">
</t>
        </r>
        <r>
          <rPr>
            <b/>
            <sz val="11"/>
            <color indexed="81"/>
            <rFont val="Tahoma"/>
            <family val="2"/>
          </rPr>
          <t>transfer to  site</t>
        </r>
        <r>
          <rPr>
            <sz val="9"/>
            <color indexed="81"/>
            <rFont val="Tahoma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<sst xmlns="http://schemas.openxmlformats.org/spreadsheetml/2006/main" count="2473" uniqueCount="1253">
  <si>
    <t>Civil Activities</t>
  </si>
  <si>
    <t>ID</t>
  </si>
  <si>
    <t>PKG Activities</t>
  </si>
  <si>
    <t>Unit</t>
  </si>
  <si>
    <t>Piles</t>
  </si>
  <si>
    <t>No.</t>
  </si>
  <si>
    <t>Excavation</t>
  </si>
  <si>
    <r>
      <t>m</t>
    </r>
    <r>
      <rPr>
        <vertAlign val="superscript"/>
        <sz val="22"/>
        <color theme="1"/>
        <rFont val="Calibri"/>
        <family val="2"/>
        <scheme val="minor"/>
      </rPr>
      <t>3</t>
    </r>
  </si>
  <si>
    <t>Foundation RC</t>
  </si>
  <si>
    <t>m3</t>
  </si>
  <si>
    <t>Backfilling</t>
  </si>
  <si>
    <t>Open Drain Network</t>
  </si>
  <si>
    <t>m</t>
  </si>
  <si>
    <t>RC  Paving</t>
  </si>
  <si>
    <r>
      <t>m</t>
    </r>
    <r>
      <rPr>
        <vertAlign val="superscript"/>
        <sz val="22"/>
        <color theme="1"/>
        <rFont val="Calibri"/>
        <family val="2"/>
        <scheme val="minor"/>
      </rPr>
      <t>2</t>
    </r>
  </si>
  <si>
    <t>Steel Structure Activities</t>
  </si>
  <si>
    <t>Activities</t>
  </si>
  <si>
    <t>Ton</t>
  </si>
  <si>
    <t>Grating</t>
  </si>
  <si>
    <t xml:space="preserve">Piping and Equipment Activities </t>
  </si>
  <si>
    <t>Piping Fabrication</t>
  </si>
  <si>
    <t>Piping Erection</t>
  </si>
  <si>
    <t>Piping Supports Fabrication</t>
  </si>
  <si>
    <t>Kg.</t>
  </si>
  <si>
    <t>Piping Supports Erection</t>
  </si>
  <si>
    <t>Test Loops</t>
  </si>
  <si>
    <t>Loop</t>
  </si>
  <si>
    <t>Mech-Reinstatement</t>
  </si>
  <si>
    <t>Mech. Equipment Installation</t>
  </si>
  <si>
    <t>E &amp; I Activities</t>
  </si>
  <si>
    <t>Power Main Cables Trays Installation</t>
  </si>
  <si>
    <t>M/L</t>
  </si>
  <si>
    <t>Instrument Main Cables Trays Installation</t>
  </si>
  <si>
    <t>Secondary Cables tray Installation</t>
  </si>
  <si>
    <t>Power Cable Pulling</t>
  </si>
  <si>
    <t>Instruments Cables Pulling</t>
  </si>
  <si>
    <t>Telecom Cables</t>
  </si>
  <si>
    <t>F&amp;G Cables</t>
  </si>
  <si>
    <t>Power Cables  Glanding and termination</t>
  </si>
  <si>
    <t>Instrument Cables  Glanding and termination</t>
  </si>
  <si>
    <t>Telecom Cables  Glanding and termination</t>
  </si>
  <si>
    <t>F&amp;G Cables  Glanding and termination</t>
  </si>
  <si>
    <t>Power Adaptation JB</t>
  </si>
  <si>
    <t>LCS</t>
  </si>
  <si>
    <t>Power Socket</t>
  </si>
  <si>
    <t>Instrum. device</t>
  </si>
  <si>
    <t>Instrument Tubing</t>
  </si>
  <si>
    <t>Instrument &amp; F&amp;G JB</t>
  </si>
  <si>
    <t>Telecom devices</t>
  </si>
  <si>
    <t>F&amp;G device</t>
  </si>
  <si>
    <t>Earthing Installation</t>
  </si>
  <si>
    <t>Lighting fixtures installation</t>
  </si>
  <si>
    <t>Lighting Cables</t>
  </si>
  <si>
    <t>Lighting JB</t>
  </si>
  <si>
    <t>Lighting Glanding &amp; Termination</t>
  </si>
  <si>
    <t>COMPLETIONS (ITRs A&amp;B)</t>
  </si>
  <si>
    <t>ITRS  A</t>
  </si>
  <si>
    <t>ITRS  B</t>
  </si>
  <si>
    <t>Piping</t>
  </si>
  <si>
    <t>Steel structure erection</t>
  </si>
  <si>
    <t>Building RC Works</t>
  </si>
  <si>
    <t>Hydro/Pneumatic/Service test</t>
  </si>
  <si>
    <t>Pcs</t>
  </si>
  <si>
    <t>DI\</t>
  </si>
  <si>
    <t>DI</t>
  </si>
  <si>
    <t>P22-1</t>
  </si>
  <si>
    <t>P22-2</t>
  </si>
  <si>
    <t>P22-3</t>
  </si>
  <si>
    <t>P22-4</t>
  </si>
  <si>
    <t>B25-1</t>
  </si>
  <si>
    <t>B25-2</t>
  </si>
  <si>
    <t>R22-1</t>
  </si>
  <si>
    <t>R26</t>
  </si>
  <si>
    <t>U28-1</t>
  </si>
  <si>
    <t>U28-2</t>
  </si>
  <si>
    <t>S21-1</t>
  </si>
  <si>
    <t>S21-4</t>
  </si>
  <si>
    <t>R26 &amp; R21-1</t>
  </si>
  <si>
    <t>*Structures in MRU packages not included</t>
  </si>
  <si>
    <t>R21_1</t>
  </si>
  <si>
    <t>P21</t>
  </si>
  <si>
    <t>20000 m circa</t>
  </si>
  <si>
    <t>100000 m circa</t>
  </si>
  <si>
    <t>Glanding: 900 circa; Terminations: 3200 circa</t>
  </si>
  <si>
    <t>200 circa</t>
  </si>
  <si>
    <r>
      <t xml:space="preserve">BoQ Template </t>
    </r>
    <r>
      <rPr>
        <b/>
        <sz val="30"/>
        <color rgb="FFC00000"/>
        <rFont val="Calibri"/>
        <family val="2"/>
        <scheme val="minor"/>
      </rPr>
      <t>DD =Detail Design phase</t>
    </r>
  </si>
  <si>
    <t>DD</t>
  </si>
  <si>
    <t>Refer To Sheet F&amp;G</t>
  </si>
  <si>
    <t xml:space="preserve"> Refer to Sheet I&amp;A</t>
  </si>
  <si>
    <t>building</t>
  </si>
  <si>
    <t>mrua rea</t>
  </si>
  <si>
    <t>racks</t>
  </si>
  <si>
    <t>flare P22-1</t>
  </si>
  <si>
    <t>tank P22-2</t>
  </si>
  <si>
    <t>pkgs 3 4 5 P22-4</t>
  </si>
  <si>
    <t>pumps P22-3</t>
  </si>
  <si>
    <t>MRU Process Area</t>
  </si>
  <si>
    <t>Area</t>
  </si>
  <si>
    <t>From</t>
  </si>
  <si>
    <t>Subject</t>
  </si>
  <si>
    <t>Received</t>
  </si>
  <si>
    <t>Size</t>
  </si>
  <si>
    <t>Categories</t>
  </si>
  <si>
    <t>Pasquini Stefano</t>
  </si>
  <si>
    <t>Pasquini Stefano shared "20220607_W23_ASU_Main Steel Structure Status_Working Copy" with you.</t>
  </si>
  <si>
    <t>Tue 10:40 PM</t>
  </si>
  <si>
    <t>55 KB</t>
  </si>
  <si>
    <t>K411 Zohr MEG Project - 20220531 Main Steel Structure Progress &amp; C3 - Validated by KT</t>
  </si>
  <si>
    <t>Tue 10:23 PM</t>
  </si>
  <si>
    <t>2 MB</t>
  </si>
  <si>
    <t>K411 Zohr Project - Main Steel Structure Progress for ASDU Phase, Working Copy For The Next Cut-Off 07 June 2022</t>
  </si>
  <si>
    <t>Tue 10:46 PM</t>
  </si>
  <si>
    <t>Data Date :</t>
  </si>
  <si>
    <t>25-5-22</t>
  </si>
  <si>
    <t>Plan</t>
  </si>
  <si>
    <t>ACTIVITY</t>
  </si>
  <si>
    <t>Planned Start</t>
  </si>
  <si>
    <t>P.DUR</t>
  </si>
  <si>
    <t>Planned
Finish</t>
  </si>
  <si>
    <t xml:space="preserve">MRU RUP </t>
  </si>
  <si>
    <t>MRU RUP BrainStorming Scheduling</t>
  </si>
  <si>
    <t>Prod.Rate</t>
  </si>
  <si>
    <t xml:space="preserve">Sub Total </t>
  </si>
  <si>
    <t>Sour Water Stripper S21 (ZP-16, ZP-17, ZJ-19) (397 Tons)      Priority 01 Erec.</t>
  </si>
  <si>
    <t>R26-ZJ-020 (90 tons )                                             Priority 01 Erec.</t>
  </si>
  <si>
    <t>R26-ZJ-020 (177 tons )                                           Priority 01 Erec.</t>
  </si>
  <si>
    <t>R28 ZJ-004  (1560 tons)                                         Priority 01 Erec.</t>
  </si>
  <si>
    <t>U24 BOILER AREA (ZJ-006/007/012,  ZP-xx) (715 tons)       Priority 01 Erec.</t>
  </si>
  <si>
    <t>R22-1 Pipe Rack ZJ-005 (341 tons)                        Priority 02  Erec.</t>
  </si>
  <si>
    <t>P22-2 Tanks (ZJ-08/010/11) (162 tons)                 Priority 02  Erec.</t>
  </si>
  <si>
    <t>B90 Pipe Rack ZJ-003 (490 tons)                           Priority 03  Erec..</t>
  </si>
  <si>
    <t>F23 LLP Flare P/R ZJ-040 (93 tons)                       Priority 03  Erec.</t>
  </si>
  <si>
    <t>OTHER (Shelter,  Inj Pump PR, support misc) (130 tons)      Priority 04  Erec.</t>
  </si>
  <si>
    <t>Total Steel Erection QTY</t>
  </si>
  <si>
    <t xml:space="preserve">Total Crews  in side </t>
  </si>
  <si>
    <t xml:space="preserve">Steel Fitter </t>
  </si>
  <si>
    <t>Grinder</t>
  </si>
  <si>
    <t xml:space="preserve">rigger </t>
  </si>
  <si>
    <t>Steel welder</t>
  </si>
  <si>
    <t xml:space="preserve">Crane </t>
  </si>
  <si>
    <t xml:space="preserve">inferter (welding Machine ) </t>
  </si>
  <si>
    <t>Fab. Rate / day</t>
  </si>
  <si>
    <t xml:space="preserve">Duration </t>
  </si>
  <si>
    <t>Item</t>
  </si>
  <si>
    <t>Nov</t>
  </si>
  <si>
    <t>Dec</t>
  </si>
  <si>
    <t>Jan</t>
  </si>
  <si>
    <t>Feb</t>
  </si>
  <si>
    <t>Mar</t>
  </si>
  <si>
    <t xml:space="preserve">ZOHR Water management (MRU RUP ) </t>
  </si>
  <si>
    <t>REV: 01      Date: 20-Oct-2022</t>
  </si>
  <si>
    <t>Activity ID</t>
  </si>
  <si>
    <t>Activity Name</t>
  </si>
  <si>
    <t>Start</t>
  </si>
  <si>
    <t>Finish</t>
  </si>
  <si>
    <t>Original Duration</t>
  </si>
  <si>
    <t>SWS S21-1 (ZP-16)-  (7687 inch) Piping Erection</t>
  </si>
  <si>
    <t>SWS S21-2 ( ZJ-19)   (1500 inch) Piping Erection</t>
  </si>
  <si>
    <t>R22-1 -ZJ-005 (4360 inch) Piping Erection</t>
  </si>
  <si>
    <t>R28-ZJ-004  (20000 inch) Piping Erection</t>
  </si>
  <si>
    <t>R26-ZJ-020  (5350 inch) Piping Erection</t>
  </si>
  <si>
    <t>PR-B90  ZJ-003  (4209 inch) Piping Erection</t>
  </si>
  <si>
    <t>SWS S21-2 (ZP-17) Piping (5520 inch) Erection</t>
  </si>
  <si>
    <t>U24 BOILER AREA (ZJ-006/007/012,) Piping Erection (WP4 )</t>
  </si>
  <si>
    <t>SWS S21-2  ( ZJ-19)   Hydrotest and Reinstatement</t>
  </si>
  <si>
    <t>F23 - Flare P/R ZJ-040  (700 inch) Piping Erection</t>
  </si>
  <si>
    <t>OTHER (Shelter,  Inj Pump PR, support misc) Piping Erection</t>
  </si>
  <si>
    <t>SWS S21-1  Hydrotest and Reinstatement</t>
  </si>
  <si>
    <t>MRU (Incl. piperacks, pumps  and tanks) Hydrotest and Reinstatement</t>
  </si>
  <si>
    <t>P22-2 Tanks (Conn.TKS) Piping Erection</t>
  </si>
  <si>
    <t>WP4 - Piping Erection up to Hydrotest and Reinstatement</t>
  </si>
  <si>
    <t>SWS S21-2   (ZP-17)  Hydrotest and Reinstatement</t>
  </si>
  <si>
    <t>Estimated  QTY/ Inch</t>
  </si>
  <si>
    <t>Piping Fabrication (Site WS.)</t>
  </si>
  <si>
    <t>Apr</t>
  </si>
  <si>
    <t>May</t>
  </si>
  <si>
    <t>Jun</t>
  </si>
  <si>
    <t>Jul</t>
  </si>
  <si>
    <t>Aug</t>
  </si>
  <si>
    <t>Sep</t>
  </si>
  <si>
    <t>Oct</t>
  </si>
  <si>
    <t>QTY Prod./ Month</t>
  </si>
  <si>
    <t>QTY Prod./week</t>
  </si>
  <si>
    <t>QTY Prod./Day</t>
  </si>
  <si>
    <t>`</t>
  </si>
  <si>
    <t>19 " / day</t>
  </si>
  <si>
    <t>NO. Of Erec Crews/Day</t>
  </si>
  <si>
    <t>QTY Erec.  Prod./ Month</t>
  </si>
  <si>
    <t>QTY Erec.  Prod./week</t>
  </si>
  <si>
    <t xml:space="preserve">QTY Erec.  Prod./Day </t>
  </si>
  <si>
    <t>Cumulative QTY Erec.  Prod.</t>
  </si>
  <si>
    <t xml:space="preserve">Pipe Fitter </t>
  </si>
  <si>
    <t xml:space="preserve">Grinder </t>
  </si>
  <si>
    <t xml:space="preserve">Rigger </t>
  </si>
  <si>
    <t>24 " / day</t>
  </si>
  <si>
    <t>welder</t>
  </si>
  <si>
    <t>Welding Machine</t>
  </si>
  <si>
    <t>Crew Manpower</t>
  </si>
  <si>
    <t xml:space="preserve">ManLeft </t>
  </si>
  <si>
    <t>Mech Eng.</t>
  </si>
  <si>
    <t>Supv.</t>
  </si>
  <si>
    <t>Pa.</t>
  </si>
  <si>
    <t>Indirect Manpower</t>
  </si>
  <si>
    <t>Piping Erec.</t>
  </si>
  <si>
    <t>Piping Fab.</t>
  </si>
  <si>
    <t>Direct Manpower</t>
  </si>
  <si>
    <t xml:space="preserve">Equipment </t>
  </si>
  <si>
    <t>Total Direct/ indirect  Manpower (Without Vacation )</t>
  </si>
  <si>
    <t xml:space="preserve">Total Fab. QTY </t>
  </si>
  <si>
    <t>Total Erec. Qty</t>
  </si>
  <si>
    <t xml:space="preserve">Total  Direct Manpower </t>
  </si>
  <si>
    <t xml:space="preserve">Total  Indirect Manpower </t>
  </si>
  <si>
    <t xml:space="preserve">Total Man power </t>
  </si>
  <si>
    <t xml:space="preserve">Steel Erec.  QTY/ Ton </t>
  </si>
  <si>
    <t>3 Ton / day</t>
  </si>
  <si>
    <t xml:space="preserve">piping Fab&amp; Erec. Work load </t>
  </si>
  <si>
    <t xml:space="preserve">Steel erec. QTY </t>
  </si>
  <si>
    <t>Steel Str. Erec.</t>
  </si>
  <si>
    <t xml:space="preserve">Cumulative Prod. </t>
  </si>
  <si>
    <t xml:space="preserve">Steel Structure Erection  Work load </t>
  </si>
  <si>
    <t>SWS S21-1 (ZP-16) (166.3 Tons)                                                 Priority 01</t>
  </si>
  <si>
    <t>R22-1 Pipe Rack ZJ-005 (341 tons)                                         Priority 02</t>
  </si>
  <si>
    <t>R26-ZJ-020 (90 tons )                                                               Priority 01</t>
  </si>
  <si>
    <t>B90 Pipe Rack ZJ-003 (490 tons)                                            Priority 03</t>
  </si>
  <si>
    <t>R28 ZJ-004  (1560 tons)                                                          Priority 01</t>
  </si>
  <si>
    <t>R26-ZJ-020 (277 tons )                                                            Priority 01</t>
  </si>
  <si>
    <t>SWS S21-2 ( ZJ-19) (68.5 Tons)                                                   Priority 01</t>
  </si>
  <si>
    <t>U24 BOILER AREA (ZJ-006/007/012,  ZP-xx) (715 tons)       Priority 04</t>
  </si>
  <si>
    <t>SWS S21-2 ( ZP-17) (166.3 Tons)                                               Priority 01</t>
  </si>
  <si>
    <t>F23 LLP Flare P/R ZJ-040 (93 tons)                                        Priority 03</t>
  </si>
  <si>
    <t>OTHER (Shelter,  Inj Pump PR, support misc) (130 tons)          Priority 04</t>
  </si>
  <si>
    <t xml:space="preserve">  RUP2-9.1  RUP</t>
  </si>
  <si>
    <t xml:space="preserve">    RUP2-9.1.6  Milestones</t>
  </si>
  <si>
    <t xml:space="preserve">      RUP-ML-11040</t>
  </si>
  <si>
    <t xml:space="preserve">      RUP-ML-10950</t>
  </si>
  <si>
    <t xml:space="preserve">      RUP-ML-10910</t>
  </si>
  <si>
    <t xml:space="preserve">      RUP-MLS-5460</t>
  </si>
  <si>
    <t xml:space="preserve">      RUP-ML-10940</t>
  </si>
  <si>
    <t xml:space="preserve">      RUP-MLS-5430</t>
  </si>
  <si>
    <t xml:space="preserve">      RUP-MLS-5440</t>
  </si>
  <si>
    <t xml:space="preserve">      RUP-MLS-5450</t>
  </si>
  <si>
    <t xml:space="preserve">      RUP-ML-10900</t>
  </si>
  <si>
    <t xml:space="preserve">      RUP-MLS-080</t>
  </si>
  <si>
    <t xml:space="preserve">      RUP-MLS-090</t>
  </si>
  <si>
    <t xml:space="preserve">      RUP-MLS-0100</t>
  </si>
  <si>
    <t xml:space="preserve">      RUP2-9.1.6.2  Engineering Milestones</t>
  </si>
  <si>
    <t xml:space="preserve">        RUP2-9.1.6.2.1  SWS Area</t>
  </si>
  <si>
    <t xml:space="preserve">          RUP-MLS-5340</t>
  </si>
  <si>
    <t xml:space="preserve">          RUP-MLS-4020</t>
  </si>
  <si>
    <t xml:space="preserve">          RUP-MLS-5000</t>
  </si>
  <si>
    <t xml:space="preserve">          RUP-MLS-3970</t>
  </si>
  <si>
    <t xml:space="preserve">          RUP-MLS-5020</t>
  </si>
  <si>
    <t xml:space="preserve">          RUP-MLS-5010</t>
  </si>
  <si>
    <t xml:space="preserve">          RUP-MLS-4010</t>
  </si>
  <si>
    <t xml:space="preserve">        RUP2-9.1.6.2.3  MRU Area</t>
  </si>
  <si>
    <t xml:space="preserve">          RUP-MLS-5350</t>
  </si>
  <si>
    <t xml:space="preserve">          RUP-MLS-5260</t>
  </si>
  <si>
    <t xml:space="preserve">          RUP-MLS-5270</t>
  </si>
  <si>
    <t xml:space="preserve">          RUP-MLS-5290</t>
  </si>
  <si>
    <t xml:space="preserve">          RUP-MLS-5160</t>
  </si>
  <si>
    <t xml:space="preserve">          RUP-MLS-5390</t>
  </si>
  <si>
    <t xml:space="preserve">          RUP-MLS-5420</t>
  </si>
  <si>
    <t xml:space="preserve">          RUP-MLS-5400</t>
  </si>
  <si>
    <t xml:space="preserve">          RUP-MLS-5150</t>
  </si>
  <si>
    <t xml:space="preserve">          RUP-MLS-5130</t>
  </si>
  <si>
    <t xml:space="preserve">          RUP-MLS-5140</t>
  </si>
  <si>
    <t xml:space="preserve">          RUP-MLS-5370</t>
  </si>
  <si>
    <t xml:space="preserve">          RUP-MLS-5410</t>
  </si>
  <si>
    <t xml:space="preserve">          RUP-MLS-5050</t>
  </si>
  <si>
    <t xml:space="preserve">          RUP-MLS-5380</t>
  </si>
  <si>
    <t xml:space="preserve">          RUP-MLS-5090</t>
  </si>
  <si>
    <t xml:space="preserve">          RUP-MLS-5250</t>
  </si>
  <si>
    <t xml:space="preserve">          RUP-MLS-5170</t>
  </si>
  <si>
    <t xml:space="preserve">          RUP-MLS-5240</t>
  </si>
  <si>
    <t xml:space="preserve">        RUP2-9.1.6.2.2  Tanks Area (by PTJ-ENPPI)</t>
  </si>
  <si>
    <t xml:space="preserve">          RUP-MLS-5360</t>
  </si>
  <si>
    <t xml:space="preserve">          RUP-MLS-5120</t>
  </si>
  <si>
    <t xml:space="preserve">          RUP-MLS-5100</t>
  </si>
  <si>
    <t xml:space="preserve">          RUP-MLS-5110</t>
  </si>
  <si>
    <t xml:space="preserve">          RUP-MLS-5040</t>
  </si>
  <si>
    <t xml:space="preserve">          RUP-MLS-5210</t>
  </si>
  <si>
    <t xml:space="preserve">          RUP-MLS-5280</t>
  </si>
  <si>
    <t xml:space="preserve">          RUP-MLS-5060</t>
  </si>
  <si>
    <t xml:space="preserve">          RUP-MLS-5080</t>
  </si>
  <si>
    <t xml:space="preserve">          RUP-MLS-5310</t>
  </si>
  <si>
    <t xml:space="preserve">          RUP-MLS-5300</t>
  </si>
  <si>
    <t xml:space="preserve">          RUP-MLS-5320</t>
  </si>
  <si>
    <t xml:space="preserve">      RUP2-9.1.6.1  Piperack DWGS</t>
  </si>
  <si>
    <t xml:space="preserve">        A14190</t>
  </si>
  <si>
    <t xml:space="preserve">        A14200</t>
  </si>
  <si>
    <t xml:space="preserve">        A13320</t>
  </si>
  <si>
    <t xml:space="preserve">        A13300</t>
  </si>
  <si>
    <t xml:space="preserve">        A13450</t>
  </si>
  <si>
    <t xml:space="preserve">        A13310</t>
  </si>
  <si>
    <t xml:space="preserve">        A14210</t>
  </si>
  <si>
    <t xml:space="preserve">        A13370</t>
  </si>
  <si>
    <t xml:space="preserve">        A13340</t>
  </si>
  <si>
    <t xml:space="preserve">        A13330</t>
  </si>
  <si>
    <t xml:space="preserve">        A13390</t>
  </si>
  <si>
    <t xml:space="preserve">        A13440</t>
  </si>
  <si>
    <t xml:space="preserve">        A13430</t>
  </si>
  <si>
    <t xml:space="preserve">        A13360</t>
  </si>
  <si>
    <t xml:space="preserve">        A13410</t>
  </si>
  <si>
    <t xml:space="preserve">        A13350</t>
  </si>
  <si>
    <t xml:space="preserve">        A13400</t>
  </si>
  <si>
    <t xml:space="preserve">        A13380</t>
  </si>
  <si>
    <t xml:space="preserve">    RUP2-9.1.7  Construction</t>
  </si>
  <si>
    <t xml:space="preserve">      RUP2-9.1.7.1  Material Availability at Site</t>
  </si>
  <si>
    <t xml:space="preserve">        RUP2-9.1.7.1.13  Equipment</t>
  </si>
  <si>
    <t xml:space="preserve">          A8310</t>
  </si>
  <si>
    <t xml:space="preserve">          A8330</t>
  </si>
  <si>
    <t xml:space="preserve">          A8370</t>
  </si>
  <si>
    <t xml:space="preserve">          A8300</t>
  </si>
  <si>
    <t xml:space="preserve">          A8350</t>
  </si>
  <si>
    <t xml:space="preserve">          A8360</t>
  </si>
  <si>
    <t xml:space="preserve">          A8320</t>
  </si>
  <si>
    <t xml:space="preserve">          A8460</t>
  </si>
  <si>
    <t xml:space="preserve">          A8470</t>
  </si>
  <si>
    <t xml:space="preserve">          A8410</t>
  </si>
  <si>
    <t xml:space="preserve">          A14390</t>
  </si>
  <si>
    <t xml:space="preserve">          A8390</t>
  </si>
  <si>
    <t xml:space="preserve">          A14370</t>
  </si>
  <si>
    <t xml:space="preserve">          A8440</t>
  </si>
  <si>
    <t xml:space="preserve">          A8340</t>
  </si>
  <si>
    <t xml:space="preserve">          A8450</t>
  </si>
  <si>
    <t xml:space="preserve">          A8830</t>
  </si>
  <si>
    <t>ZWM2-30 Filters at Site</t>
  </si>
  <si>
    <t xml:space="preserve">          A8480</t>
  </si>
  <si>
    <t>ZWM2-29 Steam Condensate Polishing Package at Site</t>
  </si>
  <si>
    <t xml:space="preserve">          A8270</t>
  </si>
  <si>
    <t>ZWM2-01 CC Lean Meg Booster Pumps at Site</t>
  </si>
  <si>
    <t xml:space="preserve">          A8290</t>
  </si>
  <si>
    <t>ZWM2-01 Lean Meg Booster Pumps at site</t>
  </si>
  <si>
    <t xml:space="preserve">          A8430</t>
  </si>
  <si>
    <t>ZWM2-24 Centrifugal Pumps non CC Zohr at Site</t>
  </si>
  <si>
    <t xml:space="preserve">          A14400</t>
  </si>
  <si>
    <t>ZWM2-75 Air cooled Heat Exchangers</t>
  </si>
  <si>
    <t xml:space="preserve">          A14380</t>
  </si>
  <si>
    <t>ZWM2-31 Rich MEG Filters</t>
  </si>
  <si>
    <t xml:space="preserve">          A8420</t>
  </si>
  <si>
    <t>ZWM2-23 HYDROCARBON CONDENSATE RE-RUN PUMP at Site</t>
  </si>
  <si>
    <t xml:space="preserve">          A8400</t>
  </si>
  <si>
    <t>ZWM2-21 Steam boiler at Site</t>
  </si>
  <si>
    <t xml:space="preserve">          A8280</t>
  </si>
  <si>
    <t>ZWM2-67 Meg Off Gas Compressor Package at Site</t>
  </si>
  <si>
    <t xml:space="preserve">          A8380</t>
  </si>
  <si>
    <t>ZWM2-17 Emergency Diesel Generator at Site</t>
  </si>
  <si>
    <t xml:space="preserve">        RUP2-9.1.7.1.59  Piping</t>
  </si>
  <si>
    <t xml:space="preserve">          A8570</t>
  </si>
  <si>
    <t>ZWM2-52 Bolts &amp; Nuts at Site</t>
  </si>
  <si>
    <t xml:space="preserve">          A8610</t>
  </si>
  <si>
    <t>ZWM2-56 Interlock at site</t>
  </si>
  <si>
    <t xml:space="preserve">          A8600</t>
  </si>
  <si>
    <t>ZWM2-55 Gaskets at Site</t>
  </si>
  <si>
    <t xml:space="preserve">          A8590</t>
  </si>
  <si>
    <t>ZWM2-54 Isolating Kits at Site</t>
  </si>
  <si>
    <t xml:space="preserve">          A8550</t>
  </si>
  <si>
    <t>ZWM2-50 Flanges at Site</t>
  </si>
  <si>
    <t xml:space="preserve">          A8530</t>
  </si>
  <si>
    <t>ZWM2-48 Pipes at Site</t>
  </si>
  <si>
    <t xml:space="preserve">          A8500</t>
  </si>
  <si>
    <t>ZWM2-68 Manual Valves at Site_Low Rating</t>
  </si>
  <si>
    <t xml:space="preserve">          A14410</t>
  </si>
  <si>
    <t>ZWM2-76 Piping 2nd MTO</t>
  </si>
  <si>
    <t xml:space="preserve">          A8560</t>
  </si>
  <si>
    <t>ZWM2-51 Fittings &amp; Strainers at Site</t>
  </si>
  <si>
    <t xml:space="preserve">          A14360</t>
  </si>
  <si>
    <t>ZWM2-68 Manual Valves at Site_High Rating</t>
  </si>
  <si>
    <t xml:space="preserve">          A14420</t>
  </si>
  <si>
    <t>Piping TopUp</t>
  </si>
  <si>
    <t xml:space="preserve">        RUP2-9.1.7.1.30  E&amp;I</t>
  </si>
  <si>
    <t xml:space="preserve">          A8780</t>
  </si>
  <si>
    <t>ZWM2-65 Electrical Bulk at Site</t>
  </si>
  <si>
    <t xml:space="preserve">          A8620</t>
  </si>
  <si>
    <t>ZWM2-09 CC Analyzer (CC) at Site</t>
  </si>
  <si>
    <t xml:space="preserve">          A8760</t>
  </si>
  <si>
    <t>ZWM2-63 Electrical Cable Trays &amp; Conduits at Site</t>
  </si>
  <si>
    <t xml:space="preserve">          A8800</t>
  </si>
  <si>
    <t>ZWM2-09 ADD01 Analyzer (NON CC) at Site</t>
  </si>
  <si>
    <t xml:space="preserve">          A8680</t>
  </si>
  <si>
    <t>ZWM2-14 Fire and Gas Detection at Site</t>
  </si>
  <si>
    <t xml:space="preserve">          A8740</t>
  </si>
  <si>
    <t>ZWM2-62 Instrument Bulk Materials  at Site</t>
  </si>
  <si>
    <t xml:space="preserve">          A12190</t>
  </si>
  <si>
    <t>ZWM2-70 Electrical and Instrumentation Junction Boxes Materials at Site</t>
  </si>
  <si>
    <t xml:space="preserve">          A8730</t>
  </si>
  <si>
    <t>ZWM2-16 Cathodic protection at Site</t>
  </si>
  <si>
    <t xml:space="preserve">          A12180</t>
  </si>
  <si>
    <t>ZWM2-69 Electrical Distribution Panels Materials at Site</t>
  </si>
  <si>
    <t xml:space="preserve">          A8790</t>
  </si>
  <si>
    <t>ZWM2-66 Grounding &amp; lightning Materials at Site</t>
  </si>
  <si>
    <t xml:space="preserve">          A12200</t>
  </si>
  <si>
    <t>ZWM2-71 Electrical Cables, TCs, Cable Glands &amp; Accessories at Site</t>
  </si>
  <si>
    <t xml:space="preserve">          A12210</t>
  </si>
  <si>
    <t>ZWM2-72 MCT Materials at Site</t>
  </si>
  <si>
    <t xml:space="preserve">          A8630</t>
  </si>
  <si>
    <t>ZWM2-19 A On-Off valves at Site</t>
  </si>
  <si>
    <t xml:space="preserve">          A8700</t>
  </si>
  <si>
    <t>ZWM2-15 CCTV at Site</t>
  </si>
  <si>
    <t xml:space="preserve">          A14430</t>
  </si>
  <si>
    <t>ZWM2-19 B On-Off valves at Site</t>
  </si>
  <si>
    <t xml:space="preserve">          A8770</t>
  </si>
  <si>
    <t>ZWM2-64 Lighting &amp; small Power Material  at Site</t>
  </si>
  <si>
    <t xml:space="preserve">          A8750</t>
  </si>
  <si>
    <t>ZWM2-18 Control valves at Site</t>
  </si>
  <si>
    <t xml:space="preserve">          A8640</t>
  </si>
  <si>
    <t>ZWM2-57 Pressure Safety Valves at Site</t>
  </si>
  <si>
    <t xml:space="preserve">          A14440</t>
  </si>
  <si>
    <t>ZWM2-74 Actuated On-Off valves NON CC</t>
  </si>
  <si>
    <t xml:space="preserve">          A8660</t>
  </si>
  <si>
    <t>ZWM2-58 Flow Meters at Site</t>
  </si>
  <si>
    <t xml:space="preserve">          A8690</t>
  </si>
  <si>
    <t>ZWM2-59 Orifice Plate &amp; Restriction Orifices at Site</t>
  </si>
  <si>
    <t xml:space="preserve">          A8720</t>
  </si>
  <si>
    <t>ZWM2-61 FIRE FIGHTING AND SAFETY EQUIPMENT at Site</t>
  </si>
  <si>
    <t xml:space="preserve">          A8670</t>
  </si>
  <si>
    <t>ZWM2-11 ICSS at Site</t>
  </si>
  <si>
    <t xml:space="preserve">          A8920</t>
  </si>
  <si>
    <t>ZWM2-60 Loose Instruments at Site</t>
  </si>
  <si>
    <t xml:space="preserve">          A8650</t>
  </si>
  <si>
    <t>ZWM2-13 Main Electrical Equipment _Batch1 at Site (LV, MV-SWG)</t>
  </si>
  <si>
    <t xml:space="preserve">          A14640</t>
  </si>
  <si>
    <t>ZWM2-13 Main Electrical Equipment at Site_Batch2 at Site (TRAFO, CB, EMS)</t>
  </si>
  <si>
    <t xml:space="preserve">        RUP2-9.1.7.1.9  HVAC</t>
  </si>
  <si>
    <t xml:space="preserve">          A8810</t>
  </si>
  <si>
    <t>ZWM2-10 HVAC at Site_1 (Inside buildings)</t>
  </si>
  <si>
    <t xml:space="preserve">          A8930</t>
  </si>
  <si>
    <t>ZWM2-10 HVAC at Site_2 (Outside buildings)</t>
  </si>
  <si>
    <t xml:space="preserve">        RUP2-9.1.7.1.1  MRU Packages</t>
  </si>
  <si>
    <t xml:space="preserve">          RUP2-9.1.7.1.1.1  Common</t>
  </si>
  <si>
    <t xml:space="preserve">            PRO-M-14500</t>
  </si>
  <si>
    <t>MRU PKG - Vessels loose (At site)</t>
  </si>
  <si>
    <t xml:space="preserve">            PRO-M-14510</t>
  </si>
  <si>
    <t>MRU PKG - Columns (At site)</t>
  </si>
  <si>
    <t xml:space="preserve">            PRO-M-14520</t>
  </si>
  <si>
    <t>MRU PKG - ICSS cabinet &amp; materials (At site)</t>
  </si>
  <si>
    <t xml:space="preserve">            PRO-M-14530</t>
  </si>
  <si>
    <t>MRU PKG - Chemical dosing skid (At site)</t>
  </si>
  <si>
    <t xml:space="preserve">            PRO-M-14540</t>
  </si>
  <si>
    <t>MRU PKG - Air coolers and structures (At site)</t>
  </si>
  <si>
    <t xml:space="preserve">            PRO-M-14550</t>
  </si>
  <si>
    <t>MRU PKG - VFD cabinets &amp; materials (At site)</t>
  </si>
  <si>
    <t xml:space="preserve">            RUP2-9.1.7.1.1.1.2  Material at Site</t>
  </si>
  <si>
    <t xml:space="preserve">          RUP2-9.1.7.1.1.3  Train 5</t>
  </si>
  <si>
    <t xml:space="preserve">            PRO-M-14560</t>
  </si>
  <si>
    <t>MRU PKG - MRU 5 Complete Process Modules (EXW Fab. Yard EGY)</t>
  </si>
  <si>
    <t xml:space="preserve">            PRO-M-14570</t>
  </si>
  <si>
    <t>MRU PKG - MRU 5 loose materials other (at site)</t>
  </si>
  <si>
    <t xml:space="preserve">            PRO-M-14650</t>
  </si>
  <si>
    <t>Axens Equipment (Centrifuges and Spiral Exchanger)</t>
  </si>
  <si>
    <t xml:space="preserve">          RUP2-9.1.7.1.1.4  Train 6</t>
  </si>
  <si>
    <t xml:space="preserve">            PRO-M-14580</t>
  </si>
  <si>
    <t>MRU PKG - MRU 6 Complete Process Modules (EXW Fab. Yard EGY)</t>
  </si>
  <si>
    <t xml:space="preserve">            PRO-M-14590</t>
  </si>
  <si>
    <t>MRU PKG - MRU 6 loose materials other (at site)</t>
  </si>
  <si>
    <t xml:space="preserve">            PRO-M-14630</t>
  </si>
  <si>
    <t xml:space="preserve">          RUP2-9.1.7.1.1.2  Train 7</t>
  </si>
  <si>
    <t xml:space="preserve">            PRO-M-14600</t>
  </si>
  <si>
    <t>MRU PKG - MRU 7 Complete Process Modules (EXW Fab. Yard EGY)</t>
  </si>
  <si>
    <t xml:space="preserve">            PRO-M-14610</t>
  </si>
  <si>
    <t>MRU PKG - MRU 7 loose materials other (at site)</t>
  </si>
  <si>
    <t xml:space="preserve">            PRO-M-14640</t>
  </si>
  <si>
    <t xml:space="preserve">      RUP2-9.1.7.5  Civil Works</t>
  </si>
  <si>
    <t xml:space="preserve">        RUP2-9.1.7.5.1  Piles</t>
  </si>
  <si>
    <t xml:space="preserve">          RUP2-9.1.7.5.1.1  Piles - SWS Area</t>
  </si>
  <si>
    <t xml:space="preserve">            A14790</t>
  </si>
  <si>
    <t>Piles-SWS rea - Concrete Pouring</t>
  </si>
  <si>
    <t xml:space="preserve">          RUP2-9.1.7.5.1.2  Piles - MRU Area</t>
  </si>
  <si>
    <t xml:space="preserve">            A14860</t>
  </si>
  <si>
    <t>Piles-R08 -Pouring</t>
  </si>
  <si>
    <t xml:space="preserve">            A14660</t>
  </si>
  <si>
    <t>Piles-Tanks - Concrete Pouring</t>
  </si>
  <si>
    <t xml:space="preserve">            A14760</t>
  </si>
  <si>
    <t>Piles-Flare- Concrete Pouring</t>
  </si>
  <si>
    <t xml:space="preserve">            A14750</t>
  </si>
  <si>
    <t>Piles-Pkgs 5 ,6, 7- Concrete Pouring</t>
  </si>
  <si>
    <t xml:space="preserve">            A14740</t>
  </si>
  <si>
    <t>Piles-Pumps- Concrete Pouring</t>
  </si>
  <si>
    <t xml:space="preserve">          RUP2-9.1.7.5.1.4  Piles- Building</t>
  </si>
  <si>
    <t xml:space="preserve">            A14710</t>
  </si>
  <si>
    <t>Piles-SS900 - Concrete Pouring</t>
  </si>
  <si>
    <t xml:space="preserve">            A14700</t>
  </si>
  <si>
    <t>Piles-LER11 - Concrete Pouring</t>
  </si>
  <si>
    <t xml:space="preserve">            A14730</t>
  </si>
  <si>
    <t>Piles-EDG- 012 - Concrete Pouring</t>
  </si>
  <si>
    <t xml:space="preserve">            A14720</t>
  </si>
  <si>
    <t>Piles-Building P.R - Concrete Pouring</t>
  </si>
  <si>
    <t xml:space="preserve">          RUP2-9.1.7.5.1.5  Piles- Racks</t>
  </si>
  <si>
    <t xml:space="preserve">            A9530</t>
  </si>
  <si>
    <t>Piles-Rack 22- Concrete Pouring</t>
  </si>
  <si>
    <t xml:space="preserve">            A14800</t>
  </si>
  <si>
    <t>Piles-Rack 26- Concrete Pouring</t>
  </si>
  <si>
    <t xml:space="preserve">          RUP2-9.1.7.5.1.7  Piles- Steam genaration</t>
  </si>
  <si>
    <t xml:space="preserve">            A14810</t>
  </si>
  <si>
    <t>Piles-Steam Generation  - Concrete Pouring</t>
  </si>
  <si>
    <t xml:space="preserve">        RUP2-9.1.7.5.3  Foundation</t>
  </si>
  <si>
    <t xml:space="preserve">          RUP2-9.1.7.5.3.1  SWS Area</t>
  </si>
  <si>
    <t xml:space="preserve">            RUP2-9.1.7.5.3.1.1  ( S21-01 )</t>
  </si>
  <si>
    <t xml:space="preserve">              A14770</t>
  </si>
  <si>
    <t>D.W &amp; Excavation &amp; Piles H.Demolishing</t>
  </si>
  <si>
    <t xml:space="preserve">              A9250</t>
  </si>
  <si>
    <t>Shuttering &amp; Rebar &amp; RC  Foundatin  First Step</t>
  </si>
  <si>
    <t xml:space="preserve">              A9560</t>
  </si>
  <si>
    <t>Shuttering &amp; Rebar &amp; RC  pedestal First Step</t>
  </si>
  <si>
    <t xml:space="preserve">              A9300</t>
  </si>
  <si>
    <t>Shuttering &amp; Rebar &amp; RC  Foundatin  Second Step</t>
  </si>
  <si>
    <t xml:space="preserve">              A9570</t>
  </si>
  <si>
    <t>Shuttering &amp; Rebar &amp; RC pedestal  Second Step</t>
  </si>
  <si>
    <t xml:space="preserve">              A9301</t>
  </si>
  <si>
    <t>Shuttering &amp; Rebar &amp; RC  Foundatin  Third. Step</t>
  </si>
  <si>
    <t xml:space="preserve">              A10730</t>
  </si>
  <si>
    <t>Shuttering &amp; Rebar &amp; RC pedestal  Third. Step</t>
  </si>
  <si>
    <t xml:space="preserve">            RUP2-9.1.7.5.3.1.2  ( S21-04 )</t>
  </si>
  <si>
    <t xml:space="preserve">              A14780</t>
  </si>
  <si>
    <t xml:space="preserve">              A9270</t>
  </si>
  <si>
    <t>Shuttering &amp; Rebar &amp; RC   Foundatin   First. Step</t>
  </si>
  <si>
    <t xml:space="preserve">              A9580</t>
  </si>
  <si>
    <t>Shuttering &amp; Rebar &amp; RC pedestal First Step</t>
  </si>
  <si>
    <t xml:space="preserve">              A9410</t>
  </si>
  <si>
    <t>Shuttering &amp; Rebar &amp; RC   Foundatin  Second. Step</t>
  </si>
  <si>
    <t xml:space="preserve">              A9590</t>
  </si>
  <si>
    <t xml:space="preserve">              A9420</t>
  </si>
  <si>
    <t>Shuttering &amp; Rebar &amp; RC   Foundatin  Third. Step (PR.)</t>
  </si>
  <si>
    <t xml:space="preserve">              A9600</t>
  </si>
  <si>
    <t>Shuttering &amp; Rebar &amp; RC pedestal   Third. Step (PR.)</t>
  </si>
  <si>
    <t xml:space="preserve">          RUP2-9.1.7.5.3.2  MRU Area</t>
  </si>
  <si>
    <t xml:space="preserve">            RUP2-9.1.7.5.3.2.2  pkgs 5 - P22-4</t>
  </si>
  <si>
    <t xml:space="preserve">              A9220</t>
  </si>
  <si>
    <t>D.W &amp; Excavation &amp; Piles H.Demolishing  PKG  NO  5</t>
  </si>
  <si>
    <t xml:space="preserve">              A9230</t>
  </si>
  <si>
    <t>Shuttering &amp; Rebar &amp; RC Foundatin with pedestal  PKG 5</t>
  </si>
  <si>
    <t xml:space="preserve">            RUP2-9.1.7.5.3.2.7  pkgs  6&amp;7 - P22-4</t>
  </si>
  <si>
    <t xml:space="preserve">              A10740</t>
  </si>
  <si>
    <t>D.W &amp; Excavation &amp; Piles H.Demolishing  PKG  NO  6</t>
  </si>
  <si>
    <t xml:space="preserve">              A16634</t>
  </si>
  <si>
    <t xml:space="preserve">              A16644</t>
  </si>
  <si>
    <t xml:space="preserve">              A10750</t>
  </si>
  <si>
    <t>D.W &amp; Excavation &amp; Piles H.Demolishing  PKG  NO  7</t>
  </si>
  <si>
    <t xml:space="preserve">              A9430</t>
  </si>
  <si>
    <t>Shuttering &amp; Rebar &amp; RC Foundatin with pedestal  PKG 6</t>
  </si>
  <si>
    <t xml:space="preserve">              A9440</t>
  </si>
  <si>
    <t>Shuttering &amp; Rebar &amp; RC Foundatin with pedestal  PKG 7</t>
  </si>
  <si>
    <t xml:space="preserve">            RUP2-9.1.7.5.3.2.4  R28 ZJ-004</t>
  </si>
  <si>
    <t xml:space="preserve">              A14869</t>
  </si>
  <si>
    <t xml:space="preserve">              A14870</t>
  </si>
  <si>
    <t>Shuttering &amp; Rebar &amp; RC with pedestal</t>
  </si>
  <si>
    <t xml:space="preserve">            RUP2-9.1.7.5.3.2.1  pumps    (P22-3)</t>
  </si>
  <si>
    <t xml:space="preserve">              A14820</t>
  </si>
  <si>
    <t xml:space="preserve">              A9330</t>
  </si>
  <si>
    <t xml:space="preserve">            RUP2-9.1.7.5.3.2.5  Sump</t>
  </si>
  <si>
    <t xml:space="preserve">              A9610</t>
  </si>
  <si>
    <t xml:space="preserve">              A9620</t>
  </si>
  <si>
    <t>Shuttering &amp; Rebar &amp; RC foundation</t>
  </si>
  <si>
    <t xml:space="preserve">              A9630</t>
  </si>
  <si>
    <t>Scaffolding erec.</t>
  </si>
  <si>
    <t xml:space="preserve">              A9640</t>
  </si>
  <si>
    <t>Shuttering &amp; Rebar &amp; RC Walls</t>
  </si>
  <si>
    <t xml:space="preserve">              A9650</t>
  </si>
  <si>
    <t>Insulation &amp; backfilling</t>
  </si>
  <si>
    <t xml:space="preserve">              A9660</t>
  </si>
  <si>
    <t>De Shuttering</t>
  </si>
  <si>
    <t xml:space="preserve">            RUP2-9.1.7.5.3.2.3  Flare  (P22-1)</t>
  </si>
  <si>
    <t xml:space="preserve">              A9370</t>
  </si>
  <si>
    <t xml:space="preserve">            RUP2-9.1.7.5.3.2.6  Tanks Area (- P22-2)</t>
  </si>
  <si>
    <t xml:space="preserve">              RUP2-9.1.7.5.3.2.6.1  Tanks Area- P22-2</t>
  </si>
  <si>
    <t xml:space="preserve">                A9050</t>
  </si>
  <si>
    <t>Shuttering &amp; Rebar &amp; RC - 1St Rich Meg -Tank Foundatin</t>
  </si>
  <si>
    <t xml:space="preserve">                A14650</t>
  </si>
  <si>
    <t xml:space="preserve">                A9450</t>
  </si>
  <si>
    <t>Shuttering &amp; Rebar &amp; RC  -2nd Rich Meg - Tank Foundatin</t>
  </si>
  <si>
    <t xml:space="preserve">                A9452</t>
  </si>
  <si>
    <t>Shuttering &amp; Rebar &amp; RC For - FRZJ 10 - Between  1St &amp; 2nd Rich Meg tanks</t>
  </si>
  <si>
    <t xml:space="preserve">                A9460</t>
  </si>
  <si>
    <t>Shuttering &amp; Rebar &amp; RC  - 1St Lean Meg  - Tank Foundatin</t>
  </si>
  <si>
    <t xml:space="preserve">                A9470</t>
  </si>
  <si>
    <t>Shuttering &amp; Rebar &amp; RC  - 2nd Lean Meg  -  Tank Foundatin</t>
  </si>
  <si>
    <t xml:space="preserve">                A9471</t>
  </si>
  <si>
    <t>Shuttering &amp; Rebar &amp; RC For - RZJ 008 - Between  1St &amp; 2nd Lean Meg tanks</t>
  </si>
  <si>
    <t xml:space="preserve">                A9481</t>
  </si>
  <si>
    <t>Shuttering &amp; Rebar &amp; RC For - ZJ 011 foundation - Fresh Tank</t>
  </si>
  <si>
    <t xml:space="preserve">                A9480</t>
  </si>
  <si>
    <t>Shuttering &amp; Rebar &amp; RC For - Fresh Meg  -  Tank Foundatin</t>
  </si>
  <si>
    <t xml:space="preserve">              RUP2-9.1.7.5.3.2.6.2  Dike wall - P22-2</t>
  </si>
  <si>
    <t xml:space="preserve">                A11120</t>
  </si>
  <si>
    <t>Shuttering &amp; Rebar &amp; RC For - 1st Step (2 Side)</t>
  </si>
  <si>
    <t xml:space="preserve">                A11130</t>
  </si>
  <si>
    <t>Shuttering &amp; Rebar &amp; RC For - 2 nd Step (2 Side)</t>
  </si>
  <si>
    <t xml:space="preserve">          RUP2-9.1.7.5.3.4  Building Area (B25)</t>
  </si>
  <si>
    <t xml:space="preserve">            RUP2-9.1.7.5.3.4.1  Ler 11</t>
  </si>
  <si>
    <t xml:space="preserve">              A14670</t>
  </si>
  <si>
    <t xml:space="preserve">              A9080</t>
  </si>
  <si>
    <t>Shuttering &amp; Rebar &amp; RC Foundatin</t>
  </si>
  <si>
    <t xml:space="preserve">              A9680</t>
  </si>
  <si>
    <t>Curring &amp; insulation</t>
  </si>
  <si>
    <t xml:space="preserve">              A9490</t>
  </si>
  <si>
    <t>Backfilling &amp; RC Slap</t>
  </si>
  <si>
    <t xml:space="preserve">            RUP2-9.1.7.5.3.4.2  SS-900</t>
  </si>
  <si>
    <t xml:space="preserve">              A14680</t>
  </si>
  <si>
    <t xml:space="preserve">              A9100</t>
  </si>
  <si>
    <t>Shuttering &amp; Rebar &amp; RC  Foundatin</t>
  </si>
  <si>
    <t xml:space="preserve">              A9990</t>
  </si>
  <si>
    <t xml:space="preserve">              A9500</t>
  </si>
  <si>
    <t xml:space="preserve">            RUP2-9.1.7.5.3.4.3  RZJ 003  Building P.R</t>
  </si>
  <si>
    <t xml:space="preserve">              A9110</t>
  </si>
  <si>
    <t xml:space="preserve">              A9120</t>
  </si>
  <si>
    <t xml:space="preserve">            RUP2-9.1.7.5.3.4.4  EDG-012</t>
  </si>
  <si>
    <t xml:space="preserve">              A14690</t>
  </si>
  <si>
    <t xml:space="preserve">              A9140</t>
  </si>
  <si>
    <t xml:space="preserve">          RUP2-9.1.7.5.3.5  Steam genaration Area   (U28-1,2)</t>
  </si>
  <si>
    <t xml:space="preserve">            RUP2-9.1.7.5.3.5.2  ((Steam Boiler Polishing Package)</t>
  </si>
  <si>
    <t xml:space="preserve">              A10760</t>
  </si>
  <si>
    <t xml:space="preserve">              A10770</t>
  </si>
  <si>
    <t xml:space="preserve">            RUP2-9.1.7.5.3.5.1  (Polishing Package)</t>
  </si>
  <si>
    <t xml:space="preserve">              A15070</t>
  </si>
  <si>
    <t xml:space="preserve">              A15080</t>
  </si>
  <si>
    <t xml:space="preserve">          RUP2-9.1.7.5.3.6  Racks Area</t>
  </si>
  <si>
    <t xml:space="preserve">            RUP2-9.1.7.5.3.6.1  R22-01   - ZJ-005</t>
  </si>
  <si>
    <t xml:space="preserve">              A9540</t>
  </si>
  <si>
    <t xml:space="preserve">              A9550</t>
  </si>
  <si>
    <t xml:space="preserve">            RUP2-9.1.7.5.3.6.2  R26-01  -  ZJ020</t>
  </si>
  <si>
    <t xml:space="preserve">              A14850</t>
  </si>
  <si>
    <t xml:space="preserve">              A9390</t>
  </si>
  <si>
    <t xml:space="preserve">        RUP2-9.1.7.5.4  Concrete structure</t>
  </si>
  <si>
    <t xml:space="preserve">          RUP2-9.1.7.5.4.1  Ler 11</t>
  </si>
  <si>
    <t xml:space="preserve">            A9890</t>
  </si>
  <si>
    <t>Scaffolding For walls</t>
  </si>
  <si>
    <t xml:space="preserve">            A9690</t>
  </si>
  <si>
    <t>Shuttering &amp; Rebar &amp; RC for walls &amp; Stairs</t>
  </si>
  <si>
    <t xml:space="preserve">            A10070</t>
  </si>
  <si>
    <t>Scaffolding For Slab</t>
  </si>
  <si>
    <t xml:space="preserve">            A9700</t>
  </si>
  <si>
    <t>Shuttering &amp; Rebar &amp; RC Roof Slab</t>
  </si>
  <si>
    <t xml:space="preserve">            A9710</t>
  </si>
  <si>
    <t>Shuttering &amp; Rebar &amp; RC parapet</t>
  </si>
  <si>
    <t xml:space="preserve">          RUP2-9.1.7.5.4.2  SS-900</t>
  </si>
  <si>
    <t xml:space="preserve">            RUP2-9.1.7.5.4.2.1  First Floor</t>
  </si>
  <si>
    <t xml:space="preserve">              A10000</t>
  </si>
  <si>
    <t>Scaffolding  for Columns 1st Floor</t>
  </si>
  <si>
    <t xml:space="preserve">              A9900</t>
  </si>
  <si>
    <t>Shuttering &amp; Rebar &amp; RC for Columns 1st Floor</t>
  </si>
  <si>
    <t xml:space="preserve">              A10080</t>
  </si>
  <si>
    <t>Scaffolding  for Slab 1st Floor</t>
  </si>
  <si>
    <t xml:space="preserve">              A9910</t>
  </si>
  <si>
    <t>Shuttering &amp; Rebar &amp; RC for Slab 1st Floor</t>
  </si>
  <si>
    <t xml:space="preserve">            RUP2-9.1.7.5.4.2.2  Second Floor</t>
  </si>
  <si>
    <t xml:space="preserve">              A10010</t>
  </si>
  <si>
    <t>Scaffolding for Columns 2nd Floor</t>
  </si>
  <si>
    <t xml:space="preserve">              A9920</t>
  </si>
  <si>
    <t>Shuttering &amp; Rebar &amp; RC for Columns 2nd Floor</t>
  </si>
  <si>
    <t xml:space="preserve">              A10090</t>
  </si>
  <si>
    <t>Scaffolding  for Slab 2nd Floor</t>
  </si>
  <si>
    <t xml:space="preserve">              A9930</t>
  </si>
  <si>
    <t>Shuttering &amp; Rebar &amp; RC for Slab 2nd Floor</t>
  </si>
  <si>
    <t xml:space="preserve">              A9940</t>
  </si>
  <si>
    <t>Shuttering &amp; Rebar &amp; RC parapet 2nd Floor</t>
  </si>
  <si>
    <t xml:space="preserve">        RUP2-9.1.7.5.RUP  Finshing</t>
  </si>
  <si>
    <t xml:space="preserve">          RUP2-9.1.7.5.RUP.1  Ler 11</t>
  </si>
  <si>
    <t xml:space="preserve">            RUP2-9.1.7.5.RUP.1.1  Internal finishing</t>
  </si>
  <si>
    <t xml:space="preserve">              A9720</t>
  </si>
  <si>
    <t>Hollow Block masonry Wall</t>
  </si>
  <si>
    <t xml:space="preserve">              A9820</t>
  </si>
  <si>
    <t>Internal Scaffolding</t>
  </si>
  <si>
    <t xml:space="preserve">              A9730</t>
  </si>
  <si>
    <t>Internal Plaster</t>
  </si>
  <si>
    <t xml:space="preserve">              A9740</t>
  </si>
  <si>
    <t>Internal Paint</t>
  </si>
  <si>
    <t xml:space="preserve">              A9830</t>
  </si>
  <si>
    <t>Internal Scaffolding removal</t>
  </si>
  <si>
    <t xml:space="preserve">              A9750</t>
  </si>
  <si>
    <t>Epoxy</t>
  </si>
  <si>
    <t xml:space="preserve">              A9790</t>
  </si>
  <si>
    <t>install false ceiling</t>
  </si>
  <si>
    <t xml:space="preserve">              A9800</t>
  </si>
  <si>
    <t>install Rasid  Floor</t>
  </si>
  <si>
    <t xml:space="preserve">            RUP2-9.1.7.5.RUP.1.2  External finishing</t>
  </si>
  <si>
    <t xml:space="preserve">              A9760</t>
  </si>
  <si>
    <t>External Scaffolding Modification</t>
  </si>
  <si>
    <t xml:space="preserve">              A9670</t>
  </si>
  <si>
    <t>External Plaster</t>
  </si>
  <si>
    <t xml:space="preserve">              A9770</t>
  </si>
  <si>
    <t>External Paint</t>
  </si>
  <si>
    <t xml:space="preserve">              A9810</t>
  </si>
  <si>
    <t>protection for roof</t>
  </si>
  <si>
    <t xml:space="preserve">              A9780</t>
  </si>
  <si>
    <t>install doors</t>
  </si>
  <si>
    <t xml:space="preserve">          RUP2-9.1.7.5.RUP.2  SS-900</t>
  </si>
  <si>
    <t xml:space="preserve">            RUP2-9.1.7.5.RUP.2.3  Internal finishing</t>
  </si>
  <si>
    <t xml:space="preserve">              RUP2-9.1.7.5.RUP.2.3.1  finishing work First Floor</t>
  </si>
  <si>
    <t xml:space="preserve">                A9840</t>
  </si>
  <si>
    <t>Scaffolding</t>
  </si>
  <si>
    <t xml:space="preserve">                A9950</t>
  </si>
  <si>
    <t>masonry Wall</t>
  </si>
  <si>
    <t xml:space="preserve">                A9960</t>
  </si>
  <si>
    <t xml:space="preserve">                A9970</t>
  </si>
  <si>
    <t xml:space="preserve">              RUP2-9.1.7.5.RUP.2.3.2  finishing work Second Floor</t>
  </si>
  <si>
    <t xml:space="preserve">                A9860</t>
  </si>
  <si>
    <t xml:space="preserve">                A9850</t>
  </si>
  <si>
    <t xml:space="preserve">                A9870</t>
  </si>
  <si>
    <t xml:space="preserve">                A9880</t>
  </si>
  <si>
    <t xml:space="preserve">                A9980</t>
  </si>
  <si>
    <t xml:space="preserve">            RUP2-9.1.7.5.RUP.2.1  External finishing</t>
  </si>
  <si>
    <t xml:space="preserve">              A10020</t>
  </si>
  <si>
    <t>External Scaffolding</t>
  </si>
  <si>
    <t xml:space="preserve">              A10030</t>
  </si>
  <si>
    <t xml:space="preserve">              A10040</t>
  </si>
  <si>
    <t xml:space="preserve">              A10050</t>
  </si>
  <si>
    <t xml:space="preserve">              A10060</t>
  </si>
  <si>
    <t xml:space="preserve">        RUP2-9.1.7.5.5  Underground work</t>
  </si>
  <si>
    <t xml:space="preserve">          A16144</t>
  </si>
  <si>
    <t>Underground Works</t>
  </si>
  <si>
    <t xml:space="preserve">        RUP2-9.1.7.5.2  Roads</t>
  </si>
  <si>
    <t xml:space="preserve">          A15060</t>
  </si>
  <si>
    <t>Roads Works</t>
  </si>
  <si>
    <t xml:space="preserve">      RUP2-9.1.7.4  Mec Works</t>
  </si>
  <si>
    <t xml:space="preserve">        RUP2-9.1.7.4.3  Steel works</t>
  </si>
  <si>
    <t xml:space="preserve">          RUP2-9.1.7.4.3.3  Steel - Material Availability at WS.</t>
  </si>
  <si>
    <t xml:space="preserve">            A16114</t>
  </si>
  <si>
    <t>Steel Str. Material avalability at WS. 30%</t>
  </si>
  <si>
    <t xml:space="preserve">            A16124</t>
  </si>
  <si>
    <t>Steel Str. Material avalability at WS.  50 % (Comulative)</t>
  </si>
  <si>
    <t xml:space="preserve">            A16134</t>
  </si>
  <si>
    <t>Steel Str. Material avalability at WS.  100 %  (Comulative)</t>
  </si>
  <si>
    <t xml:space="preserve">          RUP2-9.1.7.4.3.1  Steel Fabrication</t>
  </si>
  <si>
    <t xml:space="preserve">            A10780</t>
  </si>
  <si>
    <t>SWS S21 (ZP-16) (166.3 Tons)                              Priority 01  Fab.</t>
  </si>
  <si>
    <t xml:space="preserve">            A10783</t>
  </si>
  <si>
    <t>R26-ZJ-020 (90 tons )                                             Priority 01  Fab.</t>
  </si>
  <si>
    <t xml:space="preserve">            A10782</t>
  </si>
  <si>
    <t>R22-1 Pipe Rack ZJ-005 (341 tons)                       Priority 01   Fab.</t>
  </si>
  <si>
    <t xml:space="preserve">            A10784</t>
  </si>
  <si>
    <t>B90 Pipe Rack ZJ-003 (490 tons)                           Priority 01  Fab.</t>
  </si>
  <si>
    <t xml:space="preserve">            A10785</t>
  </si>
  <si>
    <t>SWS S21 ( ZP-17, ZJ-19) (234.8Tons)                   Priority 02  Fab.</t>
  </si>
  <si>
    <t xml:space="preserve">            A10786</t>
  </si>
  <si>
    <t>R26-ZJ-020 (277 tons )                                           Priority 02  Fab.</t>
  </si>
  <si>
    <t xml:space="preserve">            A10840</t>
  </si>
  <si>
    <t>P22-2 Tanks (ZJ-08/010/11) (162 tons)                 Priority 02  Fab.</t>
  </si>
  <si>
    <t xml:space="preserve">            A10810</t>
  </si>
  <si>
    <t>R28 ZJ-004  (1560 tons)                                        Priority 01   Fab.</t>
  </si>
  <si>
    <t xml:space="preserve">            A10865</t>
  </si>
  <si>
    <t>U24 BOILER AREA (ZJ-006/007/012,  ZP-xx) (715 tons)        Priority 04 Fab.</t>
  </si>
  <si>
    <t xml:space="preserve">            A10860</t>
  </si>
  <si>
    <t>F23 LLP Flare P/R ZJ-040 (93 tons)                       Priority 03  Fab.</t>
  </si>
  <si>
    <t xml:space="preserve">            A10870</t>
  </si>
  <si>
    <t>OTHER (Shelter,  Inj Pump PR, support misc) (130 tons)          Priority 04 Fab.</t>
  </si>
  <si>
    <t xml:space="preserve">          RUP2-9.1.7.4.3.2  Steel Erection</t>
  </si>
  <si>
    <t xml:space="preserve">            RUP2-9.1.7.4.3.2.4  Steel Erection 1st Step</t>
  </si>
  <si>
    <t xml:space="preserve">              RUP2-9.1.7.4.3.2.4.1  SWS - Steel Erection</t>
  </si>
  <si>
    <t xml:space="preserve">                A10880</t>
  </si>
  <si>
    <t xml:space="preserve">                A10881</t>
  </si>
  <si>
    <t xml:space="preserve">                A10882</t>
  </si>
  <si>
    <t xml:space="preserve">              RUP2-9.1.7.4.3.2.4.2  Racks - Steel Erection</t>
  </si>
  <si>
    <t xml:space="preserve">                A10890</t>
  </si>
  <si>
    <t xml:space="preserve">                A10883</t>
  </si>
  <si>
    <t xml:space="preserve">                A10900</t>
  </si>
  <si>
    <t xml:space="preserve">                A10950</t>
  </si>
  <si>
    <t xml:space="preserve">                A10960</t>
  </si>
  <si>
    <t xml:space="preserve">                A10970</t>
  </si>
  <si>
    <t xml:space="preserve">                A10910</t>
  </si>
  <si>
    <t xml:space="preserve">              RUP2-9.1.7.4.3.2.4.3  U24 BOILER AREA - Steel Erection</t>
  </si>
  <si>
    <t xml:space="preserve">                A14880</t>
  </si>
  <si>
    <t xml:space="preserve">            RUP2-9.1.7.4.3.2.1  Steel Erection 2nd Step</t>
  </si>
  <si>
    <t xml:space="preserve">              RUP2-9.1.7.4.3.2.1.1  Tanks area - Steel Erection</t>
  </si>
  <si>
    <t xml:space="preserve">                A16654</t>
  </si>
  <si>
    <t>P22-2 Tanks (ZJ-08/010/11)  (62 tons)    (R28 ZJ-004  Area)      Priority 02</t>
  </si>
  <si>
    <t xml:space="preserve">                A10940</t>
  </si>
  <si>
    <t xml:space="preserve">        RUP2-9.1.7.4.17  Piping Works</t>
  </si>
  <si>
    <t xml:space="preserve">          RUP2-9.1.7.4.17.2  Piping Fabrication</t>
  </si>
  <si>
    <t xml:space="preserve">            A10530</t>
  </si>
  <si>
    <t xml:space="preserve">          RUP2-9.1.7.4.17.1  Piping Erection</t>
  </si>
  <si>
    <t xml:space="preserve">            RUP2-9.1.7.4.17.1.1  SWS - Piping Erection up to Hydrotest and Reinstatement</t>
  </si>
  <si>
    <t xml:space="preserve">              RUP2-9.1.7.4.17.1.1.4  SWS - S21-1</t>
  </si>
  <si>
    <t xml:space="preserve">                A14570</t>
  </si>
  <si>
    <t xml:space="preserve">                A14571</t>
  </si>
  <si>
    <t xml:space="preserve">              RUP2-9.1.7.4.17.1.1.1  SWS - S21-2</t>
  </si>
  <si>
    <t xml:space="preserve">                A14572</t>
  </si>
  <si>
    <t xml:space="preserve">                A14573</t>
  </si>
  <si>
    <t xml:space="preserve">                A14574</t>
  </si>
  <si>
    <t xml:space="preserve">                A14576</t>
  </si>
  <si>
    <t xml:space="preserve">            RUP2-9.1.7.4.17.1.2  MRU (Inc Racks , Pumps and tansk)  Piping Erec. up to Hydrotest and Rein.</t>
  </si>
  <si>
    <t xml:space="preserve">              A16664</t>
  </si>
  <si>
    <t>P22-2 Tanks (ZJ-08/010/11)  (1000 inch) Piping Erection   (R28 ZJ-004  Area)</t>
  </si>
  <si>
    <t xml:space="preserve">              A14970</t>
  </si>
  <si>
    <t xml:space="preserve">              A14990</t>
  </si>
  <si>
    <t xml:space="preserve">              A14980</t>
  </si>
  <si>
    <t xml:space="preserve">              A14950</t>
  </si>
  <si>
    <t xml:space="preserve">              A15040</t>
  </si>
  <si>
    <t xml:space="preserve">              A14960</t>
  </si>
  <si>
    <t xml:space="preserve">              A15000</t>
  </si>
  <si>
    <t>P22-2 Tanks (ZJ-08/010/11)  (5000 inch) Piping Erection</t>
  </si>
  <si>
    <t xml:space="preserve">              A15010</t>
  </si>
  <si>
    <t xml:space="preserve">              A15041</t>
  </si>
  <si>
    <t xml:space="preserve">            RUP2-9.1.7.4.17.1.3  wp4  - Piping Erection up to Hydrotest and Reinstatement</t>
  </si>
  <si>
    <t xml:space="preserve">              A15050</t>
  </si>
  <si>
    <t xml:space="preserve">              A15051</t>
  </si>
  <si>
    <t xml:space="preserve">        RUP2-9.1.7.4.2  Tanks Work</t>
  </si>
  <si>
    <t xml:space="preserve">            P1040</t>
  </si>
  <si>
    <t>Fire fighting</t>
  </si>
  <si>
    <t xml:space="preserve">            P1030</t>
  </si>
  <si>
    <t xml:space="preserve">            P1020</t>
  </si>
  <si>
    <t xml:space="preserve">            P1000</t>
  </si>
  <si>
    <t>Steel plates</t>
  </si>
  <si>
    <t xml:space="preserve">            P1010</t>
  </si>
  <si>
    <t>Tank accessories</t>
  </si>
  <si>
    <t xml:space="preserve">            P1050</t>
  </si>
  <si>
    <t>Level instruments</t>
  </si>
  <si>
    <t xml:space="preserve">          RUP2-9.1.7.4.2.4  Construction</t>
  </si>
  <si>
    <t xml:space="preserve">            RUP2-9.1.7.4.2.4.1  Fabrication  - at Central Work shop</t>
  </si>
  <si>
    <t xml:space="preserve">              A1060</t>
  </si>
  <si>
    <t>Fab of Plates at Central Work shop</t>
  </si>
  <si>
    <t xml:space="preserve">            RUP2-9.1.7.4.2.4.7  Erection  - at site</t>
  </si>
  <si>
    <t xml:space="preserve">              RUP2-9.1.7.4.2.4.7.2  1st Tank (Rich meg Tank) (004B)</t>
  </si>
  <si>
    <t xml:space="preserve">                RUP2-9.1.7.4.2.4.7.2.2  Erection &amp; Welding</t>
  </si>
  <si>
    <t xml:space="preserve">                  A1070</t>
  </si>
  <si>
    <t>underneath Painting</t>
  </si>
  <si>
    <t xml:space="preserve">                  A1071</t>
  </si>
  <si>
    <t>Erection &amp; welding Of Annular &amp; Bottom Plates</t>
  </si>
  <si>
    <t xml:space="preserve">                  A1081</t>
  </si>
  <si>
    <t>Scaffolding Erec. (for welding)</t>
  </si>
  <si>
    <t xml:space="preserve">                  A1080</t>
  </si>
  <si>
    <t>Erection &amp; welding Of Shell Plates - 6 &amp; 7  Course</t>
  </si>
  <si>
    <t xml:space="preserve">                  A1069</t>
  </si>
  <si>
    <t>Fab . Material Arrival to site From Central Work shop</t>
  </si>
  <si>
    <t xml:space="preserve">                  A1090</t>
  </si>
  <si>
    <t>Erection &amp; welding Of Roof Structure , Roof Plates, Accesories</t>
  </si>
  <si>
    <t xml:space="preserve">                  A1091</t>
  </si>
  <si>
    <t>Erection &amp; welding Of Shell Plates - 1: 5  Course</t>
  </si>
  <si>
    <t xml:space="preserve">                  A1093</t>
  </si>
  <si>
    <t>Erection &amp; welding Of Ladder &amp; Stairway &amp; FF. Supports</t>
  </si>
  <si>
    <t xml:space="preserve">                  A1092</t>
  </si>
  <si>
    <t>Erection &amp; welding Of Shell Manhole &amp; Nozzle &amp; Anchor &amp; Anodes..etc  in 1st Course</t>
  </si>
  <si>
    <t xml:space="preserve">                  A15090</t>
  </si>
  <si>
    <t>Descaffolding</t>
  </si>
  <si>
    <t xml:space="preserve">                  A1549</t>
  </si>
  <si>
    <t>Erection -Fire fighting</t>
  </si>
  <si>
    <t xml:space="preserve">                  A1550</t>
  </si>
  <si>
    <t>Boxing Up</t>
  </si>
  <si>
    <t xml:space="preserve">                  A1552</t>
  </si>
  <si>
    <t>Descaffolding (For Painting)</t>
  </si>
  <si>
    <t xml:space="preserve">                  A1570</t>
  </si>
  <si>
    <t>Precommisioning</t>
  </si>
  <si>
    <t xml:space="preserve">                RUP2-9.1.7.4.2.4.7.2.3  Hydrotest &amp; Painting</t>
  </si>
  <si>
    <t xml:space="preserve">                  A1109</t>
  </si>
  <si>
    <t>Release For Hydrotest</t>
  </si>
  <si>
    <t xml:space="preserve">                  A1110</t>
  </si>
  <si>
    <t>Water Filling &amp; Dewatering</t>
  </si>
  <si>
    <t xml:space="preserve">                  A1120</t>
  </si>
  <si>
    <t>Cleaning</t>
  </si>
  <si>
    <t xml:space="preserve">                  A1130</t>
  </si>
  <si>
    <t>Release For Painting</t>
  </si>
  <si>
    <t xml:space="preserve">                  A1135</t>
  </si>
  <si>
    <t>Scaffolding ( For Painting)</t>
  </si>
  <si>
    <t xml:space="preserve">                  A1140</t>
  </si>
  <si>
    <t>Tanks Painting</t>
  </si>
  <si>
    <t xml:space="preserve">              RUP2-9.1.7.4.2.4.7.1  2nd Tank (Rich meg Tank) (004A)</t>
  </si>
  <si>
    <t xml:space="preserve">                RUP2-9.1.7.4.2.4.7.1.2  Erection &amp; Welding</t>
  </si>
  <si>
    <t xml:space="preserve">                  A15171</t>
  </si>
  <si>
    <t xml:space="preserve">                  A15175</t>
  </si>
  <si>
    <t xml:space="preserve">                  A15178</t>
  </si>
  <si>
    <t xml:space="preserve">                  A15176</t>
  </si>
  <si>
    <t xml:space="preserve">                  A15170</t>
  </si>
  <si>
    <t xml:space="preserve">                  A15180</t>
  </si>
  <si>
    <t xml:space="preserve">                  A15181</t>
  </si>
  <si>
    <t xml:space="preserve">                  A15183</t>
  </si>
  <si>
    <t xml:space="preserve">                  A15182</t>
  </si>
  <si>
    <t xml:space="preserve">                  A15185</t>
  </si>
  <si>
    <t xml:space="preserve">                  A15194</t>
  </si>
  <si>
    <t xml:space="preserve">                  A15195</t>
  </si>
  <si>
    <t xml:space="preserve">                  A15196</t>
  </si>
  <si>
    <t xml:space="preserve">                  A15198</t>
  </si>
  <si>
    <t xml:space="preserve">                RUP2-9.1.7.4.2.4.7.1.3  Hydrotest &amp; Painting</t>
  </si>
  <si>
    <t xml:space="preserve">                  A15186</t>
  </si>
  <si>
    <t xml:space="preserve">                  A15187</t>
  </si>
  <si>
    <t xml:space="preserve">                  A15189</t>
  </si>
  <si>
    <t xml:space="preserve">                  A15191</t>
  </si>
  <si>
    <t xml:space="preserve">                  A15192</t>
  </si>
  <si>
    <t xml:space="preserve">                  A15193</t>
  </si>
  <si>
    <t xml:space="preserve">              RUP2-9.1.7.4.2.4.7.3  3rd Tank (LEAN MEG STORAGE TANK) (005B)</t>
  </si>
  <si>
    <t xml:space="preserve">                RUP2-9.1.7.4.2.4.7.3.2  Erection &amp; Welding</t>
  </si>
  <si>
    <t xml:space="preserve">                  A15279</t>
  </si>
  <si>
    <t xml:space="preserve">                  A15280</t>
  </si>
  <si>
    <t xml:space="preserve">                  A15278</t>
  </si>
  <si>
    <t xml:space="preserve">                  A15281</t>
  </si>
  <si>
    <t>Erection &amp; welding Of Shell Plates (5 Course)</t>
  </si>
  <si>
    <t xml:space="preserve">                  A15283</t>
  </si>
  <si>
    <t xml:space="preserve">                  A15284</t>
  </si>
  <si>
    <t>Erection &amp; welding Of Compresion bar</t>
  </si>
  <si>
    <t xml:space="preserve">                  A15285</t>
  </si>
  <si>
    <t>Assembly &amp; welding Of Roof Structure &amp; (50 %) Roof Plates</t>
  </si>
  <si>
    <t xml:space="preserve">                  A15286</t>
  </si>
  <si>
    <t>Installation Of   Roof Structure</t>
  </si>
  <si>
    <t xml:space="preserve">                  A15290</t>
  </si>
  <si>
    <t xml:space="preserve">                  A15291</t>
  </si>
  <si>
    <t xml:space="preserve">                  A15287</t>
  </si>
  <si>
    <t>Erection Of (Rem 50 % ) Roof Plates &amp; Accesories</t>
  </si>
  <si>
    <t xml:space="preserve">                  A15388</t>
  </si>
  <si>
    <t xml:space="preserve">                  A15308</t>
  </si>
  <si>
    <t xml:space="preserve">                  A15309</t>
  </si>
  <si>
    <t xml:space="preserve">                  A15310</t>
  </si>
  <si>
    <t xml:space="preserve">                  A15315</t>
  </si>
  <si>
    <t xml:space="preserve">                RUP2-9.1.7.4.2.4.7.3.3  Hydrotest &amp; Painting</t>
  </si>
  <si>
    <t xml:space="preserve">                  A15389</t>
  </si>
  <si>
    <t xml:space="preserve">                  A15390</t>
  </si>
  <si>
    <t xml:space="preserve">                  A15391</t>
  </si>
  <si>
    <t xml:space="preserve">                  A15392</t>
  </si>
  <si>
    <t xml:space="preserve">                  A15393</t>
  </si>
  <si>
    <t xml:space="preserve">                  A15394</t>
  </si>
  <si>
    <t xml:space="preserve">              RUP2-9.1.7.4.2.4.7.4  4th Tank (LEAN MEG STORAGE TANK) (005A)</t>
  </si>
  <si>
    <t xml:space="preserve">                RUP2-9.1.7.4.2.4.7.4.2  Erection &amp; Welding</t>
  </si>
  <si>
    <t xml:space="preserve">                  A15401</t>
  </si>
  <si>
    <t xml:space="preserve">                  A15402</t>
  </si>
  <si>
    <t xml:space="preserve">                  A15400</t>
  </si>
  <si>
    <t xml:space="preserve">                  A15403</t>
  </si>
  <si>
    <t xml:space="preserve">                  A15404</t>
  </si>
  <si>
    <t xml:space="preserve">                  A15405</t>
  </si>
  <si>
    <t xml:space="preserve">                  A15406</t>
  </si>
  <si>
    <t xml:space="preserve">                  A15407</t>
  </si>
  <si>
    <t xml:space="preserve">                  A15409</t>
  </si>
  <si>
    <t xml:space="preserve">                  A15410</t>
  </si>
  <si>
    <t xml:space="preserve">                  A15408</t>
  </si>
  <si>
    <t xml:space="preserve">                  A15574</t>
  </si>
  <si>
    <t xml:space="preserve">                  A15417</t>
  </si>
  <si>
    <t xml:space="preserve">                  A15418</t>
  </si>
  <si>
    <t xml:space="preserve">                  A15419</t>
  </si>
  <si>
    <t xml:space="preserve">                  A15484</t>
  </si>
  <si>
    <t xml:space="preserve">                RUP2-9.1.7.4.2.4.7.4.3  Hydrotest &amp; Painting</t>
  </si>
  <si>
    <t xml:space="preserve">                  A15411</t>
  </si>
  <si>
    <t xml:space="preserve">                  A15412</t>
  </si>
  <si>
    <t xml:space="preserve">                  A15413</t>
  </si>
  <si>
    <t xml:space="preserve">                  A15414</t>
  </si>
  <si>
    <t xml:space="preserve">                  A15415</t>
  </si>
  <si>
    <t xml:space="preserve">                  A15416</t>
  </si>
  <si>
    <t xml:space="preserve">              RUP2-9.1.7.4.2.4.7.5  5th Tank (FRESH MEG TANK)</t>
  </si>
  <si>
    <t xml:space="preserve">                RUP2-9.1.7.4.2.4.7.5.2  Erection &amp; Welding</t>
  </si>
  <si>
    <t xml:space="preserve">                  A15641</t>
  </si>
  <si>
    <t xml:space="preserve">                  A15642</t>
  </si>
  <si>
    <t xml:space="preserve">                  A15640</t>
  </si>
  <si>
    <t xml:space="preserve">                  A15644</t>
  </si>
  <si>
    <t xml:space="preserve">                  A15646</t>
  </si>
  <si>
    <t>Assembly &amp; welding Of Roof Structure &amp; Painting</t>
  </si>
  <si>
    <t xml:space="preserve">                  A15643</t>
  </si>
  <si>
    <t>Erection &amp; welding Of Shell Plates (3 Course)</t>
  </si>
  <si>
    <t xml:space="preserve">                  A15649</t>
  </si>
  <si>
    <t xml:space="preserve">                  A15645</t>
  </si>
  <si>
    <t>Erection &amp; welding Of Top Angle</t>
  </si>
  <si>
    <t xml:space="preserve">                  A15647</t>
  </si>
  <si>
    <t xml:space="preserve">                  A15650</t>
  </si>
  <si>
    <t xml:space="preserve">                  A15648</t>
  </si>
  <si>
    <t>Erection Of Roof Plates &amp; Accesories</t>
  </si>
  <si>
    <t xml:space="preserve">                  A15754</t>
  </si>
  <si>
    <t xml:space="preserve">                  A15658</t>
  </si>
  <si>
    <t xml:space="preserve">                  A15659</t>
  </si>
  <si>
    <t xml:space="preserve">                  A15660</t>
  </si>
  <si>
    <t xml:space="preserve">                  A15664</t>
  </si>
  <si>
    <t xml:space="preserve">                RUP2-9.1.7.4.2.4.7.5.3  Hydrotest &amp; Painting</t>
  </si>
  <si>
    <t xml:space="preserve">                  A15651</t>
  </si>
  <si>
    <t xml:space="preserve">                  A15652</t>
  </si>
  <si>
    <t xml:space="preserve">                  A15653</t>
  </si>
  <si>
    <t xml:space="preserve">                  A15655</t>
  </si>
  <si>
    <t xml:space="preserve">                  A15656</t>
  </si>
  <si>
    <t xml:space="preserve">                  A15657</t>
  </si>
  <si>
    <t xml:space="preserve">        RUP2-9.1.7.4.5  Equipment Works</t>
  </si>
  <si>
    <t xml:space="preserve">          RUP2-9.1.7.4.5.12  B90 (Buildings Area)</t>
  </si>
  <si>
    <t xml:space="preserve">            A13140</t>
  </si>
  <si>
    <t>SS900 Equipment Installation</t>
  </si>
  <si>
    <t xml:space="preserve">            A13130</t>
  </si>
  <si>
    <t>LER-11  Equipment Installation</t>
  </si>
  <si>
    <t xml:space="preserve">            A13120</t>
  </si>
  <si>
    <t>EDG-012 Equipment Installation</t>
  </si>
  <si>
    <t xml:space="preserve">          RUP2-9.1.7.4.5.1  F23 (Flare Area)</t>
  </si>
  <si>
    <t xml:space="preserve">            A13150</t>
  </si>
  <si>
    <t>F23 Equipment Installation</t>
  </si>
  <si>
    <t xml:space="preserve">          RUP2-9.1.7.4.5.7  P23 (MRU Area)</t>
  </si>
  <si>
    <t>Common Vessels Loose Installation</t>
  </si>
  <si>
    <t xml:space="preserve">            A14000</t>
  </si>
  <si>
    <t xml:space="preserve">            A13160</t>
  </si>
  <si>
    <t>Common Air Coolers and Structures Installation</t>
  </si>
  <si>
    <t xml:space="preserve">            A13161</t>
  </si>
  <si>
    <t>Common Chemical Dosing Skid Installation</t>
  </si>
  <si>
    <t xml:space="preserve">            A13163</t>
  </si>
  <si>
    <t>Common Columns Installation</t>
  </si>
  <si>
    <t xml:space="preserve">            A13990</t>
  </si>
  <si>
    <t xml:space="preserve">            A14010</t>
  </si>
  <si>
    <t xml:space="preserve">            A13890</t>
  </si>
  <si>
    <t>MRU 5 Modules Installation without Axens Equip</t>
  </si>
  <si>
    <t xml:space="preserve">            A13893</t>
  </si>
  <si>
    <t>MRU 5 Loose Equipment Installation</t>
  </si>
  <si>
    <t xml:space="preserve">            A13164</t>
  </si>
  <si>
    <t>MRU PKG -  ICSS  / VFD cabinets  Installation</t>
  </si>
  <si>
    <t xml:space="preserve">            A13900</t>
  </si>
  <si>
    <t>MRU 6 Modules Installation without Axens Equip</t>
  </si>
  <si>
    <t xml:space="preserve">            A13903</t>
  </si>
  <si>
    <t>MRU 6 Loose Equipment Installation</t>
  </si>
  <si>
    <t xml:space="preserve">            A13913</t>
  </si>
  <si>
    <t>MRU 7 Loose Equipment Installation</t>
  </si>
  <si>
    <t xml:space="preserve">            A13910</t>
  </si>
  <si>
    <t>MRU 7 Modules Installation without Axens Equip</t>
  </si>
  <si>
    <t xml:space="preserve">            A13891</t>
  </si>
  <si>
    <t>Rem. MRU PKG 5 Modules Installation with Axens Equip</t>
  </si>
  <si>
    <t xml:space="preserve">            A13901</t>
  </si>
  <si>
    <t>Rem. MRU PKG 6 Modules Installation with Axens Equip</t>
  </si>
  <si>
    <t xml:space="preserve">            A13912</t>
  </si>
  <si>
    <t>Rem. MRU PKG 7 Modules Installation with Axens Equip</t>
  </si>
  <si>
    <t xml:space="preserve">          RUP2-9.1.7.4.5.13  P22 (Tanks Area)</t>
  </si>
  <si>
    <t xml:space="preserve">            A13190</t>
  </si>
  <si>
    <t>P22 Equipment Installation</t>
  </si>
  <si>
    <t xml:space="preserve">          RUP2-9.1.7.4.5.8  P24 (MEG Injection Pumps Area)</t>
  </si>
  <si>
    <t xml:space="preserve">            A13200</t>
  </si>
  <si>
    <t>P24 Equipment Installation</t>
  </si>
  <si>
    <t xml:space="preserve">          RUP2-9.1.7.4.5.4  S21 (SWS Area)</t>
  </si>
  <si>
    <t xml:space="preserve">            A13260</t>
  </si>
  <si>
    <t>S21 Equipment Installation</t>
  </si>
  <si>
    <t xml:space="preserve">          RUP2-9.1.7.4.5.3  U25 (Steam Generation Area)</t>
  </si>
  <si>
    <t xml:space="preserve">            A13270</t>
  </si>
  <si>
    <t>U25 Equipment Installation</t>
  </si>
  <si>
    <t xml:space="preserve">      RUP2-9.1.7.3  E&amp;I (Primarily Schedule)</t>
  </si>
  <si>
    <t xml:space="preserve">        RUP2-9.1.7.3.1  SWS E&amp;I Works</t>
  </si>
  <si>
    <t xml:space="preserve">          A14610</t>
  </si>
  <si>
    <t>Main Cables Trays Installation -SWS</t>
  </si>
  <si>
    <t xml:space="preserve">          A15774</t>
  </si>
  <si>
    <t>Secondary Cables tray Installation -SWS</t>
  </si>
  <si>
    <t xml:space="preserve">          A15784</t>
  </si>
  <si>
    <t>Cable Pulling -SWS</t>
  </si>
  <si>
    <t xml:space="preserve">          A15794</t>
  </si>
  <si>
    <t>Sockets /  Distribution  JB -SWS</t>
  </si>
  <si>
    <t xml:space="preserve">          A15804</t>
  </si>
  <si>
    <t>Lighting fixtures installation -SWS</t>
  </si>
  <si>
    <t xml:space="preserve">          A15812</t>
  </si>
  <si>
    <t>Glanding and termination -SWS</t>
  </si>
  <si>
    <t xml:space="preserve">          A15813</t>
  </si>
  <si>
    <t>devices Installation -SWS</t>
  </si>
  <si>
    <t xml:space="preserve">        RUP2-9.1.7.3.2  (MRU-Pumps -Flare -Tanks -Racks ) -E&amp;I Works</t>
  </si>
  <si>
    <t xml:space="preserve">          RUP2-9.1.7.3.2.1  Racks -E&amp;I Works</t>
  </si>
  <si>
    <t xml:space="preserve">            A14620</t>
  </si>
  <si>
    <t>Main Cables Trays Installation- MRU</t>
  </si>
  <si>
    <t xml:space="preserve">            A15894</t>
  </si>
  <si>
    <t>Secondary Cables tray Installation  - MRU</t>
  </si>
  <si>
    <t xml:space="preserve">            A15904</t>
  </si>
  <si>
    <t>Cable Pulling - MRU</t>
  </si>
  <si>
    <t xml:space="preserve">            A15914</t>
  </si>
  <si>
    <t>devices Installation  - MRU</t>
  </si>
  <si>
    <t xml:space="preserve">            A15924</t>
  </si>
  <si>
    <t>Lighting fixtures installation  - MRU</t>
  </si>
  <si>
    <t xml:space="preserve">            A15944</t>
  </si>
  <si>
    <t>Sockets /  Distribution  JB   - MRU</t>
  </si>
  <si>
    <t xml:space="preserve">            A15934</t>
  </si>
  <si>
    <t>Glanding and termination   - MRU</t>
  </si>
  <si>
    <t xml:space="preserve">          RUP2-9.1.7.3.2.2  Flare  -E&amp;I Works</t>
  </si>
  <si>
    <t xml:space="preserve">            A16154</t>
  </si>
  <si>
    <t xml:space="preserve">            A16164</t>
  </si>
  <si>
    <t xml:space="preserve">            A16174</t>
  </si>
  <si>
    <t xml:space="preserve">            A16184</t>
  </si>
  <si>
    <t xml:space="preserve">            A16194</t>
  </si>
  <si>
    <t xml:space="preserve">            A16203</t>
  </si>
  <si>
    <t xml:space="preserve">            A16204</t>
  </si>
  <si>
    <t xml:space="preserve">          RUP2-9.1.7.3.2.3  Tanks  include  Racks -E&amp;I Works</t>
  </si>
  <si>
    <t xml:space="preserve">            A16224</t>
  </si>
  <si>
    <t xml:space="preserve">            A16234</t>
  </si>
  <si>
    <t xml:space="preserve">            A16244</t>
  </si>
  <si>
    <t xml:space="preserve">            A16254</t>
  </si>
  <si>
    <t xml:space="preserve">            A16264</t>
  </si>
  <si>
    <t xml:space="preserve">            A16273</t>
  </si>
  <si>
    <t xml:space="preserve">            A16274</t>
  </si>
  <si>
    <t xml:space="preserve">          RUP2-9.1.7.3.2.4  PumpsE&amp;I Works</t>
  </si>
  <si>
    <t xml:space="preserve">            A16294</t>
  </si>
  <si>
    <t xml:space="preserve">            A16304</t>
  </si>
  <si>
    <t xml:space="preserve">            A16314</t>
  </si>
  <si>
    <t xml:space="preserve">            A16324</t>
  </si>
  <si>
    <t xml:space="preserve">            A16334</t>
  </si>
  <si>
    <t xml:space="preserve">            A16343</t>
  </si>
  <si>
    <t xml:space="preserve">            A16344</t>
  </si>
  <si>
    <t xml:space="preserve">          RUP2-9.1.7.3.2.5  MRU PKGS</t>
  </si>
  <si>
    <t xml:space="preserve">            RUP2-9.1.7.3.2.5.1  MRU PKG 5</t>
  </si>
  <si>
    <t xml:space="preserve">              A16424</t>
  </si>
  <si>
    <t xml:space="preserve">              A16434</t>
  </si>
  <si>
    <t xml:space="preserve">              A16444</t>
  </si>
  <si>
    <t xml:space="preserve">              A16454</t>
  </si>
  <si>
    <t xml:space="preserve">              A16464</t>
  </si>
  <si>
    <t xml:space="preserve">              A16474</t>
  </si>
  <si>
    <t xml:space="preserve">              A16484</t>
  </si>
  <si>
    <t xml:space="preserve">            RUP2-9.1.7.3.2.5.2  MRU PKG 6</t>
  </si>
  <si>
    <t xml:space="preserve">              A16494</t>
  </si>
  <si>
    <t xml:space="preserve">              A16504</t>
  </si>
  <si>
    <t xml:space="preserve">              A16514</t>
  </si>
  <si>
    <t xml:space="preserve">              A16524</t>
  </si>
  <si>
    <t xml:space="preserve">              A16534</t>
  </si>
  <si>
    <t xml:space="preserve">              A16544</t>
  </si>
  <si>
    <t xml:space="preserve">              A16554</t>
  </si>
  <si>
    <t xml:space="preserve">            RUP2-9.1.7.3.2.5.3  MRU PKG 7</t>
  </si>
  <si>
    <t xml:space="preserve">              A16564</t>
  </si>
  <si>
    <t xml:space="preserve">              A16574</t>
  </si>
  <si>
    <t xml:space="preserve">              A16584</t>
  </si>
  <si>
    <t xml:space="preserve">              A16594</t>
  </si>
  <si>
    <t xml:space="preserve">              A16604</t>
  </si>
  <si>
    <t xml:space="preserve">              A16614</t>
  </si>
  <si>
    <t xml:space="preserve">              A16624</t>
  </si>
  <si>
    <t xml:space="preserve">        RUP2-9.1.7.3.4  SS900 &amp; LER 11 - E&amp;I Works</t>
  </si>
  <si>
    <t xml:space="preserve">          A15954</t>
  </si>
  <si>
    <t>LER 11 Internal Cables Trays Erection</t>
  </si>
  <si>
    <t xml:space="preserve">          A15955</t>
  </si>
  <si>
    <t>SS900  Internal Cables Trays Erection</t>
  </si>
  <si>
    <t xml:space="preserve">          A16004</t>
  </si>
  <si>
    <t>SS900 Cables Pulling (Internal)</t>
  </si>
  <si>
    <t xml:space="preserve">          A15985</t>
  </si>
  <si>
    <t>SS900 and LER 11 Ducts Activities</t>
  </si>
  <si>
    <t xml:space="preserve">          A16024</t>
  </si>
  <si>
    <t>LER 11 Cables Pulling (Internal)</t>
  </si>
  <si>
    <t xml:space="preserve">          A15964</t>
  </si>
  <si>
    <t>SS900 and LER 11 HVAC Equipment Install (Inside buildings)</t>
  </si>
  <si>
    <t xml:space="preserve">          A16005</t>
  </si>
  <si>
    <t xml:space="preserve">          A15974</t>
  </si>
  <si>
    <t>SS900 and LER 11 Electrical Equipment Installation</t>
  </si>
  <si>
    <t xml:space="preserve">          A16025</t>
  </si>
  <si>
    <t xml:space="preserve">          A16031</t>
  </si>
  <si>
    <t>SS900 and LER 11 Fire Fighting and safety equipment</t>
  </si>
  <si>
    <t xml:space="preserve">          A16032</t>
  </si>
  <si>
    <t>SS900 and LER 11 LFCP and F&amp;G activities</t>
  </si>
  <si>
    <t xml:space="preserve">          A16034</t>
  </si>
  <si>
    <t>SS900 Glanding and termination (Internal)</t>
  </si>
  <si>
    <t xml:space="preserve">          A16044</t>
  </si>
  <si>
    <t>SS900 Ready For 1st Energization</t>
  </si>
  <si>
    <t xml:space="preserve">          A16104</t>
  </si>
  <si>
    <t>SS900 and LER 11 HVAC Equipment Install (Outside buildings)</t>
  </si>
  <si>
    <t xml:space="preserve">          A16035</t>
  </si>
  <si>
    <t>LER 11 Glanding and termination (Internal)</t>
  </si>
  <si>
    <t xml:space="preserve">          A16054</t>
  </si>
  <si>
    <t>LER 11 Ready For 1st Energization</t>
  </si>
  <si>
    <t xml:space="preserve">        RUP2-9.1.7.3.3  WP4 (Priority 2) E&amp;I Works</t>
  </si>
  <si>
    <t xml:space="preserve">          A14630</t>
  </si>
  <si>
    <t>Main Cables Trays Installation  - WP4</t>
  </si>
  <si>
    <t xml:space="preserve">          A15834</t>
  </si>
  <si>
    <t>Secondary Cables tray Installation  - WP4</t>
  </si>
  <si>
    <t xml:space="preserve">          A15844</t>
  </si>
  <si>
    <t>Cable Pulling  - WP4</t>
  </si>
  <si>
    <t xml:space="preserve">          A15854</t>
  </si>
  <si>
    <t>devices Installation  - WP4</t>
  </si>
  <si>
    <t xml:space="preserve">          A15884</t>
  </si>
  <si>
    <t>Glanding and termination  - WP4</t>
  </si>
  <si>
    <t xml:space="preserve">          A15864</t>
  </si>
  <si>
    <t>Lighting fixtures installation  - WP4</t>
  </si>
  <si>
    <t xml:space="preserve">          A15874</t>
  </si>
  <si>
    <t>Sockets /  Distribution  JB  - WP4</t>
  </si>
  <si>
    <t xml:space="preserve">    RUP2-9.1.1  Commissioning</t>
  </si>
  <si>
    <t xml:space="preserve">      RUP-ML-10980</t>
  </si>
  <si>
    <t>SWS 1 Completion and MC</t>
  </si>
  <si>
    <t xml:space="preserve">      RUP-ML-10920</t>
  </si>
  <si>
    <t>SWS 1 Commissioning</t>
  </si>
  <si>
    <t xml:space="preserve">      RUP-ML-11010</t>
  </si>
  <si>
    <t>MRU5 Completion and MC (TR. 5)</t>
  </si>
  <si>
    <t xml:space="preserve">      RUP-ML-11020</t>
  </si>
  <si>
    <t>MRU6 Completion and MC (TR. 6)</t>
  </si>
  <si>
    <t xml:space="preserve">      RUP-ML-11030</t>
  </si>
  <si>
    <t>MRU7 Completion and MC (TR. 7)</t>
  </si>
  <si>
    <t xml:space="preserve">      RUP-ML-10990</t>
  </si>
  <si>
    <t>SWS 2 Completion and MC</t>
  </si>
  <si>
    <t xml:space="preserve">      RUP-ML-10960</t>
  </si>
  <si>
    <t>U25 (WP4 Priority 2) Completion and MC</t>
  </si>
  <si>
    <t xml:space="preserve">      RUP-ML-10930</t>
  </si>
  <si>
    <t>SWS 2 RUP Commissioning</t>
  </si>
  <si>
    <t xml:space="preserve">      A12270</t>
  </si>
  <si>
    <t>MRU 5 Commissioning up to RFS</t>
  </si>
  <si>
    <t xml:space="preserve">      A12280</t>
  </si>
  <si>
    <t>MRU 6 Commissioning up to RFS</t>
  </si>
  <si>
    <t xml:space="preserve">      A12290</t>
  </si>
  <si>
    <t>MRU 7 Commissioning up to RFS</t>
  </si>
  <si>
    <t>P22-2 Tanks (ZJ-08/010/11) (100 tons)                                   Priority 02</t>
  </si>
  <si>
    <t xml:space="preserve">QTY Fab&amp; Erec.  Prod./Day </t>
  </si>
  <si>
    <t>NO. Of Fab Crews/Day</t>
  </si>
  <si>
    <t>NO. Of Fab &amp; Erec. Crews/Day</t>
  </si>
  <si>
    <t>MH</t>
  </si>
  <si>
    <t>hours</t>
  </si>
  <si>
    <t>NO.</t>
  </si>
  <si>
    <t>Additional Piles  MRU (ss90-EDG-Flair-Pumps-TKS-U28)</t>
  </si>
  <si>
    <t>Additional Piles  (F03-J01)</t>
  </si>
  <si>
    <t xml:space="preserve">              A9360</t>
  </si>
  <si>
    <t xml:space="preserve">D.W &amp; Excavation &amp; Piles H.Demolishing ZJ 40  - Flare area </t>
  </si>
  <si>
    <t xml:space="preserve">Shuttering &amp; Rebar &amp; RC with pedestal ZJ 40  - Flare area 
</t>
  </si>
  <si>
    <t>Actual</t>
  </si>
  <si>
    <t>% Weight</t>
  </si>
  <si>
    <t>Total QTY</t>
  </si>
  <si>
    <t>Actual QTY</t>
  </si>
  <si>
    <t xml:space="preserve"> inch</t>
  </si>
  <si>
    <t>ton</t>
  </si>
  <si>
    <t>%</t>
  </si>
  <si>
    <t>NO</t>
  </si>
  <si>
    <t>Pile</t>
  </si>
  <si>
    <t>M3</t>
  </si>
  <si>
    <t>M2</t>
  </si>
  <si>
    <t>Shuttering &amp; Rebar &amp; RC Foundatin with pedestal  (KT FND ) PKG 6</t>
  </si>
  <si>
    <t>Shuttering &amp; Rebar &amp; RC Foundatin with pedestal  (KT FND ) PKG 7</t>
  </si>
  <si>
    <t>inch</t>
  </si>
  <si>
    <t>Cathodic protection</t>
  </si>
  <si>
    <t xml:space="preserve">piping </t>
  </si>
  <si>
    <t>path-m</t>
  </si>
  <si>
    <t>TBD</t>
  </si>
  <si>
    <t>LER 11  devices &amp; Lighting fixtures installation</t>
  </si>
  <si>
    <t>SS900  devices &amp; Lighting fixtures installation</t>
  </si>
  <si>
    <t>: Date</t>
  </si>
  <si>
    <t xml:space="preserve">        RUP2-9.1.7.5.2 additionl Piles</t>
  </si>
  <si>
    <t xml:space="preserve">          RUP2-9.1.7.4.2.3  Procurement (PO)</t>
  </si>
  <si>
    <t>Date</t>
  </si>
  <si>
    <t xml:space="preserve">MRU ASU </t>
  </si>
  <si>
    <t xml:space="preserve">unit </t>
  </si>
  <si>
    <t xml:space="preserve"> SWS</t>
  </si>
  <si>
    <t xml:space="preserve">KT RUP </t>
  </si>
  <si>
    <t xml:space="preserve">KT ASU </t>
  </si>
  <si>
    <t>Total / Rem. Qty.</t>
  </si>
  <si>
    <t>New</t>
  </si>
  <si>
    <t xml:space="preserve">Rem. Qty </t>
  </si>
  <si>
    <t>Tanks  (5  MRU RUP + 2 condesate)</t>
  </si>
  <si>
    <t xml:space="preserve">Total </t>
  </si>
  <si>
    <t xml:space="preserve">مخطط كميات الترميل والدهان لعام 2023 - مشروعات حقل ظهر </t>
  </si>
  <si>
    <t xml:space="preserve">Item / Month </t>
  </si>
  <si>
    <t xml:space="preserve"> MRU RUP (Estimated QTY.)</t>
  </si>
  <si>
    <t>Estimated Quantity</t>
  </si>
  <si>
    <t>WorkShop</t>
  </si>
  <si>
    <t>Target</t>
  </si>
  <si>
    <t>02-699-ZJ-003</t>
  </si>
  <si>
    <t>Maadiaa</t>
  </si>
  <si>
    <t>31/12/2022</t>
  </si>
  <si>
    <t>02-699-ZJ-005</t>
  </si>
  <si>
    <t>25/12/2022</t>
  </si>
  <si>
    <t>02-699-ZP-016</t>
  </si>
  <si>
    <t>30/11/2022</t>
  </si>
  <si>
    <t>02-699-ZJ-020(1st 4 Axes)</t>
  </si>
  <si>
    <t>26/11/2022</t>
  </si>
  <si>
    <t>02-699-ZP-017</t>
  </si>
  <si>
    <t>16/01/2023</t>
  </si>
  <si>
    <t>02-699-ZJ-019</t>
  </si>
  <si>
    <t>02-699-ZJ-008</t>
  </si>
  <si>
    <t>28/03/2023</t>
  </si>
  <si>
    <t>02-699-ZJ-010</t>
  </si>
  <si>
    <t>02-699-ZJ-011</t>
  </si>
  <si>
    <t>02-699-ZJ-020(the remaining)</t>
  </si>
  <si>
    <t>IDKU</t>
  </si>
  <si>
    <t>14/01/2023</t>
  </si>
  <si>
    <t>02-699-ZJ-040</t>
  </si>
  <si>
    <t>22/04/2023</t>
  </si>
  <si>
    <t xml:space="preserve">02-699-ZJ-004 West </t>
  </si>
  <si>
    <t>31/01/2023</t>
  </si>
  <si>
    <t>02-699-ZJ-004 East</t>
  </si>
  <si>
    <t>SUEZ</t>
  </si>
  <si>
    <t>28/02/2023</t>
  </si>
  <si>
    <t>02-699-ZJ-006,007…….all of Boiler area</t>
  </si>
  <si>
    <t>IDKU&amp;SUEZ</t>
  </si>
  <si>
    <t>20/04/2023</t>
  </si>
  <si>
    <t>Others</t>
  </si>
  <si>
    <t>25/04/2023</t>
  </si>
  <si>
    <t>Planned</t>
  </si>
  <si>
    <t>E</t>
  </si>
  <si>
    <t>P</t>
  </si>
  <si>
    <t>C</t>
  </si>
  <si>
    <t>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</si>
</sst>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-* #,##0.00_-;\-* #,##0.00_-;_-* &quot;-&quot;??_-;_-@_-"/>
    <numFmt numFmtId="165" formatCode="0.000"/>
    <numFmt numFmtId="166" formatCode="_(* #,##0.0_);_(* \(#,##0.0\);_(* &quot;-&quot;??_);_(@_)"/>
    <numFmt numFmtId="167" formatCode="[$-409]d\-mmm\-yy;@"/>
    <numFmt numFmtId="168" formatCode="[$-409]d\-mmm;@"/>
    <numFmt numFmtId="169" formatCode="_(* #,##0_);_(* \(#,##0\);_(* &quot;-&quot;??_);_(@_)"/>
    <numFmt numFmtId="170" formatCode="0.0"/>
    <numFmt numFmtId="171" formatCode="0.0%"/>
    <numFmt numFmtId="172" formatCode="0.000000000000000%"/>
    <numFmt numFmtId="173" formatCode="0.000%"/>
  </numFmts>
  <fonts count="8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0"/>
      <color theme="3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u/>
      <sz val="26"/>
      <color theme="3"/>
      <name val="Calibri"/>
      <family val="2"/>
      <scheme val="minor"/>
    </font>
    <font>
      <u/>
      <sz val="18"/>
      <color rgb="FFFF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vertAlign val="superscript"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name val="Calibri"/>
      <family val="2"/>
      <scheme val="minor"/>
    </font>
    <font>
      <b/>
      <sz val="30"/>
      <color rgb="FFC00000"/>
      <name val="Calibri"/>
      <family val="2"/>
      <scheme val="minor"/>
    </font>
    <font>
      <b/>
      <sz val="22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u/>
      <sz val="26"/>
      <color rgb="FFFF0000"/>
      <name val="Calibri"/>
      <family val="2"/>
      <scheme val="minor"/>
    </font>
    <font>
      <b/>
      <sz val="22"/>
      <color rgb="FF00B050"/>
      <name val="Calibri"/>
      <family val="2"/>
      <scheme val="minor"/>
    </font>
    <font>
      <b/>
      <sz val="13"/>
      <color theme="1" tint="0.24994659260841701"/>
      <name val="Calibri Light"/>
      <family val="2"/>
      <scheme val="major"/>
    </font>
    <font>
      <b/>
      <sz val="16"/>
      <color theme="1" tint="0.24994659260841701"/>
      <name val="Calibri Light"/>
      <family val="2"/>
      <scheme val="major"/>
    </font>
    <font>
      <sz val="11"/>
      <color theme="1" tint="0.24994659260841701"/>
      <name val="Calibri Light"/>
      <family val="2"/>
      <scheme val="major"/>
    </font>
    <font>
      <b/>
      <sz val="13"/>
      <color theme="7"/>
      <name val="Calibri Light"/>
      <family val="2"/>
      <scheme val="major"/>
    </font>
    <font>
      <b/>
      <sz val="42"/>
      <color theme="7"/>
      <name val="Calibri Light"/>
      <family val="2"/>
      <scheme val="major"/>
    </font>
    <font>
      <b/>
      <u/>
      <sz val="72"/>
      <color theme="7"/>
      <name val="Corbel"/>
      <family val="2"/>
    </font>
    <font>
      <b/>
      <sz val="39"/>
      <color theme="7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b/>
      <sz val="36"/>
      <color theme="1" tint="0.24994659260841701"/>
      <name val="Corbel"/>
      <family val="2"/>
    </font>
    <font>
      <sz val="36"/>
      <color theme="7"/>
      <name val="Calibri"/>
      <family val="2"/>
    </font>
    <font>
      <sz val="36"/>
      <color theme="1" tint="0.24994659260841701"/>
      <name val="Calibri Light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48"/>
      <color theme="1" tint="0.24994659260841701"/>
      <name val="Calibri"/>
      <family val="2"/>
    </font>
    <font>
      <sz val="36"/>
      <color theme="1" tint="0.24994659260841701"/>
      <name val="Calibri"/>
      <family val="2"/>
    </font>
    <font>
      <b/>
      <sz val="9.5"/>
      <color theme="1" tint="0.499984740745262"/>
      <name val="Calibri"/>
      <family val="2"/>
      <scheme val="minor"/>
    </font>
    <font>
      <b/>
      <sz val="16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sz val="48"/>
      <color theme="1" tint="0.499984740745262"/>
      <name val="Calibri"/>
      <family val="2"/>
    </font>
    <font>
      <b/>
      <sz val="28"/>
      <color theme="4" tint="-0.499984740745262"/>
      <name val="Calibri"/>
      <family val="2"/>
    </font>
    <font>
      <sz val="36"/>
      <name val="Calibri"/>
      <family val="2"/>
    </font>
    <font>
      <b/>
      <sz val="48"/>
      <color theme="0" tint="-0.14999847407452621"/>
      <name val="Calibri"/>
      <family val="2"/>
    </font>
    <font>
      <b/>
      <sz val="36"/>
      <color theme="0"/>
      <name val="Calibri"/>
      <family val="2"/>
    </font>
    <font>
      <sz val="40"/>
      <color theme="1" tint="0.24994659260841701"/>
      <name val="Calibri"/>
      <family val="2"/>
    </font>
    <font>
      <b/>
      <sz val="40"/>
      <name val="Calibri"/>
      <family val="2"/>
    </font>
    <font>
      <b/>
      <sz val="26"/>
      <color theme="1" tint="0.24994659260841701"/>
      <name val="Calibri Light"/>
      <family val="2"/>
      <scheme val="major"/>
    </font>
    <font>
      <b/>
      <sz val="24"/>
      <color theme="5" tint="-0.249977111117893"/>
      <name val="Calibri Light"/>
      <family val="2"/>
      <scheme val="major"/>
    </font>
    <font>
      <sz val="48"/>
      <color theme="1" tint="0.24994659260841701"/>
      <name val="Calibri"/>
      <family val="2"/>
    </font>
    <font>
      <b/>
      <sz val="48"/>
      <name val="Calibri"/>
      <family val="2"/>
    </font>
    <font>
      <sz val="48"/>
      <name val="Calibri"/>
      <family val="2"/>
    </font>
    <font>
      <b/>
      <sz val="48"/>
      <color rgb="FFFF0000"/>
      <name val="Calibri"/>
      <family val="2"/>
    </font>
    <font>
      <sz val="26"/>
      <color theme="1" tint="0.24994659260841701"/>
      <name val="Calibri"/>
      <family val="2"/>
    </font>
    <font>
      <sz val="36"/>
      <color rgb="FFFF0000"/>
      <name val="Calibri Light"/>
      <family val="2"/>
      <scheme val="major"/>
    </font>
    <font>
      <sz val="28"/>
      <color theme="1" tint="0.24994659260841701"/>
      <name val="Calibri Light"/>
      <family val="2"/>
      <scheme val="major"/>
    </font>
    <font>
      <b/>
      <sz val="26"/>
      <color theme="0"/>
      <name val="Calibri Light"/>
      <family val="2"/>
      <scheme val="major"/>
    </font>
    <font>
      <b/>
      <sz val="11"/>
      <color theme="1" tint="0.24994659260841701"/>
      <name val="Calibri Light"/>
      <family val="2"/>
      <scheme val="major"/>
    </font>
    <font>
      <b/>
      <sz val="28"/>
      <color theme="1" tint="0.24994659260841701"/>
      <name val="Calibri Light"/>
      <family val="2"/>
      <scheme val="major"/>
    </font>
    <font>
      <b/>
      <sz val="24"/>
      <color theme="0"/>
      <name val="Calibri Light"/>
      <family val="2"/>
      <scheme val="maj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Tahoma"/>
    </font>
    <font>
      <b/>
      <sz val="9"/>
      <color indexed="81"/>
      <name val="Tahoma"/>
    </font>
    <font>
      <b/>
      <sz val="11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lightUp">
        <fgColor theme="7"/>
      </patternFill>
    </fill>
    <fill>
      <patternFill patternType="solid">
        <fgColor rgb="FF08202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34A5A3"/>
        <bgColor indexed="64"/>
      </patternFill>
    </fill>
    <fill>
      <patternFill patternType="solid">
        <fgColor rgb="FFFFFFCC"/>
      </patternFill>
    </fill>
  </fills>
  <borders count="78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  <border>
      <left style="medium">
        <color auto="1"/>
      </left>
      <right style="thin">
        <color indexed="64"/>
      </right>
      <top style="thick">
        <color rgb="FF7A005A"/>
      </top>
      <bottom style="thick">
        <color rgb="FF7A005A"/>
      </bottom>
      <diagonal/>
    </border>
    <border>
      <left style="thick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rgb="FF7A005A"/>
      </right>
      <top/>
      <bottom/>
      <diagonal/>
    </border>
    <border>
      <left style="thick">
        <color auto="1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7A005A"/>
      </right>
      <top style="thin">
        <color indexed="64"/>
      </top>
      <bottom/>
      <diagonal/>
    </border>
    <border>
      <left style="thick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auto="1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auto="1"/>
      </left>
      <right/>
      <top/>
      <bottom style="medium">
        <color indexed="64"/>
      </bottom>
      <diagonal/>
    </border>
    <border>
      <left style="thick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0" borderId="0" applyFill="0" applyBorder="0" applyProtection="0">
      <alignment horizontal="left"/>
    </xf>
    <xf numFmtId="0" fontId="23" fillId="0" borderId="0" applyNumberFormat="0" applyFill="0" applyBorder="0" applyProtection="0">
      <alignment vertical="center"/>
    </xf>
    <xf numFmtId="9" fontId="24" fillId="0" borderId="0" applyFill="0" applyBorder="0" applyProtection="0">
      <alignment horizontal="center" vertical="center"/>
    </xf>
    <xf numFmtId="0" fontId="25" fillId="0" borderId="0" applyNumberFormat="0" applyFill="0" applyBorder="0" applyAlignment="0" applyProtection="0"/>
    <xf numFmtId="0" fontId="28" fillId="8" borderId="22" applyNumberFormat="0" applyProtection="0">
      <alignment horizontal="left" vertical="center"/>
    </xf>
    <xf numFmtId="0" fontId="32" fillId="0" borderId="0" applyNumberFormat="0" applyFill="0" applyBorder="0" applyProtection="0">
      <alignment horizontal="left" vertical="center"/>
    </xf>
    <xf numFmtId="0" fontId="35" fillId="0" borderId="0" applyFill="0" applyBorder="0" applyProtection="0">
      <alignment horizontal="center"/>
    </xf>
    <xf numFmtId="3" fontId="35" fillId="0" borderId="25" applyFill="0" applyProtection="0">
      <alignment horizontal="center"/>
    </xf>
    <xf numFmtId="9" fontId="1" fillId="0" borderId="0" applyFont="0" applyFill="0" applyBorder="0" applyAlignment="0" applyProtection="0"/>
    <xf numFmtId="0" fontId="1" fillId="28" borderId="77" applyNumberFormat="0" applyFont="0" applyAlignment="0" applyProtection="0"/>
  </cellStyleXfs>
  <cellXfs count="536">
    <xf numFmtId="0" fontId="0" fillId="0" borderId="0" xfId="0"/>
    <xf numFmtId="0" fontId="4" fillId="3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10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left" vertical="center"/>
    </xf>
    <xf numFmtId="0" fontId="12" fillId="3" borderId="2" xfId="0" applyFont="1" applyFill="1" applyBorder="1" applyAlignment="1">
      <alignment horizontal="left" vertical="center"/>
    </xf>
    <xf numFmtId="0" fontId="13" fillId="3" borderId="2" xfId="0" applyFont="1" applyFill="1" applyBorder="1" applyAlignment="1">
      <alignment vertical="center" wrapText="1"/>
    </xf>
    <xf numFmtId="0" fontId="14" fillId="3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vertical="center" wrapText="1"/>
    </xf>
    <xf numFmtId="0" fontId="8" fillId="3" borderId="0" xfId="0" applyFont="1" applyFill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1" fontId="8" fillId="0" borderId="0" xfId="0" applyNumberFormat="1" applyFont="1"/>
    <xf numFmtId="2" fontId="8" fillId="0" borderId="0" xfId="0" applyNumberFormat="1" applyFont="1"/>
    <xf numFmtId="165" fontId="8" fillId="0" borderId="0" xfId="0" applyNumberFormat="1" applyFont="1"/>
    <xf numFmtId="0" fontId="8" fillId="0" borderId="0" xfId="0" applyFont="1"/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1" fontId="8" fillId="0" borderId="3" xfId="0" applyNumberFormat="1" applyFont="1" applyBorder="1" applyAlignment="1">
      <alignment horizontal="center" vertical="center"/>
    </xf>
    <xf numFmtId="1" fontId="0" fillId="0" borderId="0" xfId="0" applyNumberFormat="1"/>
    <xf numFmtId="0" fontId="13" fillId="0" borderId="2" xfId="0" applyFont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20" fillId="2" borderId="2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/>
    </xf>
    <xf numFmtId="0" fontId="22" fillId="0" borderId="0" xfId="3" applyFont="1" applyBorder="1" applyAlignment="1">
      <alignment horizontal="left" vertical="center"/>
    </xf>
    <xf numFmtId="168" fontId="23" fillId="0" borderId="0" xfId="4" applyNumberFormat="1" applyBorder="1" applyAlignment="1">
      <alignment horizontal="center"/>
    </xf>
    <xf numFmtId="0" fontId="23" fillId="0" borderId="0" xfId="4" applyBorder="1" applyAlignment="1">
      <alignment horizontal="center"/>
    </xf>
    <xf numFmtId="0" fontId="23" fillId="0" borderId="0" xfId="4" applyBorder="1">
      <alignment vertical="center"/>
    </xf>
    <xf numFmtId="0" fontId="23" fillId="0" borderId="0" xfId="4" applyAlignment="1">
      <alignment horizontal="center"/>
    </xf>
    <xf numFmtId="0" fontId="23" fillId="0" borderId="0" xfId="4">
      <alignment vertical="center"/>
    </xf>
    <xf numFmtId="0" fontId="22" fillId="0" borderId="0" xfId="3" applyFont="1" applyAlignment="1">
      <alignment horizontal="left" vertical="center"/>
    </xf>
    <xf numFmtId="0" fontId="26" fillId="0" borderId="0" xfId="6" applyFont="1" applyBorder="1" applyAlignment="1">
      <alignment vertical="center"/>
    </xf>
    <xf numFmtId="0" fontId="27" fillId="0" borderId="0" xfId="6" applyFont="1" applyBorder="1" applyAlignment="1">
      <alignment vertical="center"/>
    </xf>
    <xf numFmtId="0" fontId="28" fillId="0" borderId="0" xfId="7" applyFill="1" applyBorder="1">
      <alignment horizontal="left" vertical="center"/>
    </xf>
    <xf numFmtId="0" fontId="23" fillId="0" borderId="0" xfId="4" applyFill="1" applyBorder="1">
      <alignment vertical="center"/>
    </xf>
    <xf numFmtId="0" fontId="31" fillId="9" borderId="23" xfId="4" applyFont="1" applyFill="1" applyBorder="1" applyAlignment="1">
      <alignment horizontal="center"/>
    </xf>
    <xf numFmtId="0" fontId="33" fillId="0" borderId="0" xfId="8" applyFont="1">
      <alignment horizontal="left" vertical="center"/>
    </xf>
    <xf numFmtId="0" fontId="31" fillId="0" borderId="0" xfId="4" applyFont="1" applyAlignment="1">
      <alignment horizontal="center"/>
    </xf>
    <xf numFmtId="0" fontId="31" fillId="0" borderId="24" xfId="4" applyFont="1" applyFill="1" applyBorder="1" applyAlignment="1">
      <alignment horizontal="center"/>
    </xf>
    <xf numFmtId="0" fontId="34" fillId="0" borderId="0" xfId="8" applyFont="1" applyFill="1">
      <alignment horizontal="left" vertical="center"/>
    </xf>
    <xf numFmtId="0" fontId="31" fillId="0" borderId="0" xfId="4" applyFont="1" applyFill="1" applyAlignment="1">
      <alignment horizontal="center"/>
    </xf>
    <xf numFmtId="0" fontId="31" fillId="3" borderId="24" xfId="4" applyFont="1" applyFill="1" applyBorder="1" applyAlignment="1">
      <alignment horizontal="center"/>
    </xf>
    <xf numFmtId="0" fontId="31" fillId="0" borderId="0" xfId="8" applyFont="1">
      <alignment horizontal="left" vertical="center"/>
    </xf>
    <xf numFmtId="0" fontId="23" fillId="0" borderId="0" xfId="4" applyFill="1" applyAlignment="1">
      <alignment horizontal="center"/>
    </xf>
    <xf numFmtId="0" fontId="23" fillId="0" borderId="24" xfId="4" applyFill="1" applyBorder="1" applyAlignment="1">
      <alignment horizontal="center"/>
    </xf>
    <xf numFmtId="0" fontId="0" fillId="0" borderId="0" xfId="8" applyFont="1" applyFill="1">
      <alignment horizontal="left" vertical="center"/>
    </xf>
    <xf numFmtId="0" fontId="23" fillId="0" borderId="0" xfId="4" applyFill="1">
      <alignment vertical="center"/>
    </xf>
    <xf numFmtId="0" fontId="36" fillId="0" borderId="0" xfId="9" applyFont="1" applyBorder="1" applyAlignment="1">
      <alignment horizontal="left" vertical="center"/>
    </xf>
    <xf numFmtId="168" fontId="37" fillId="0" borderId="0" xfId="9" applyNumberFormat="1" applyFont="1" applyBorder="1">
      <alignment horizontal="center"/>
    </xf>
    <xf numFmtId="0" fontId="37" fillId="0" borderId="0" xfId="9" applyFont="1" applyBorder="1">
      <alignment horizontal="center"/>
    </xf>
    <xf numFmtId="0" fontId="37" fillId="0" borderId="0" xfId="9" applyFont="1">
      <alignment horizontal="center"/>
    </xf>
    <xf numFmtId="0" fontId="36" fillId="0" borderId="0" xfId="9" applyFont="1" applyAlignment="1">
      <alignment horizontal="left" vertical="center"/>
    </xf>
    <xf numFmtId="168" fontId="37" fillId="0" borderId="0" xfId="9" applyNumberFormat="1" applyFont="1">
      <alignment horizontal="center"/>
    </xf>
    <xf numFmtId="167" fontId="40" fillId="0" borderId="26" xfId="10" applyNumberFormat="1" applyFont="1" applyBorder="1" applyAlignment="1">
      <alignment horizontal="center" textRotation="90"/>
    </xf>
    <xf numFmtId="167" fontId="23" fillId="0" borderId="0" xfId="4" applyNumberFormat="1" applyBorder="1" applyAlignment="1">
      <alignment vertical="center" textRotation="90"/>
    </xf>
    <xf numFmtId="168" fontId="42" fillId="11" borderId="27" xfId="4" applyNumberFormat="1" applyFont="1" applyFill="1" applyBorder="1" applyAlignment="1">
      <alignment horizontal="center" vertical="center"/>
    </xf>
    <xf numFmtId="3" fontId="42" fillId="11" borderId="10" xfId="4" applyNumberFormat="1" applyFont="1" applyFill="1" applyBorder="1" applyAlignment="1">
      <alignment horizontal="center" vertical="center"/>
    </xf>
    <xf numFmtId="16" fontId="42" fillId="11" borderId="28" xfId="4" applyNumberFormat="1" applyFont="1" applyFill="1" applyBorder="1" applyAlignment="1">
      <alignment horizontal="center" vertical="center"/>
    </xf>
    <xf numFmtId="0" fontId="23" fillId="0" borderId="29" xfId="4" applyBorder="1" applyAlignment="1">
      <alignment horizontal="center"/>
    </xf>
    <xf numFmtId="0" fontId="23" fillId="0" borderId="5" xfId="4" applyBorder="1" applyAlignment="1">
      <alignment horizontal="center"/>
    </xf>
    <xf numFmtId="0" fontId="23" fillId="0" borderId="12" xfId="4" applyBorder="1" applyAlignment="1">
      <alignment horizontal="center"/>
    </xf>
    <xf numFmtId="0" fontId="23" fillId="0" borderId="12" xfId="4" applyBorder="1">
      <alignment vertical="center"/>
    </xf>
    <xf numFmtId="0" fontId="23" fillId="0" borderId="30" xfId="4" applyBorder="1">
      <alignment vertical="center"/>
    </xf>
    <xf numFmtId="0" fontId="23" fillId="0" borderId="31" xfId="4" applyBorder="1">
      <alignment vertical="center"/>
    </xf>
    <xf numFmtId="0" fontId="23" fillId="12" borderId="29" xfId="4" applyFill="1" applyBorder="1" applyAlignment="1">
      <alignment horizontal="center"/>
    </xf>
    <xf numFmtId="0" fontId="23" fillId="12" borderId="5" xfId="4" applyFill="1" applyBorder="1" applyAlignment="1">
      <alignment horizontal="center"/>
    </xf>
    <xf numFmtId="0" fontId="23" fillId="12" borderId="2" xfId="4" applyFill="1" applyBorder="1" applyAlignment="1">
      <alignment horizontal="center"/>
    </xf>
    <xf numFmtId="0" fontId="23" fillId="0" borderId="2" xfId="4" applyBorder="1" applyAlignment="1">
      <alignment horizontal="center"/>
    </xf>
    <xf numFmtId="0" fontId="23" fillId="0" borderId="2" xfId="4" applyBorder="1">
      <alignment vertical="center"/>
    </xf>
    <xf numFmtId="0" fontId="23" fillId="0" borderId="11" xfId="4" applyBorder="1">
      <alignment vertical="center"/>
    </xf>
    <xf numFmtId="0" fontId="23" fillId="0" borderId="35" xfId="4" applyBorder="1">
      <alignment vertical="center"/>
    </xf>
    <xf numFmtId="168" fontId="23" fillId="0" borderId="0" xfId="4" applyNumberFormat="1" applyAlignment="1">
      <alignment horizontal="center"/>
    </xf>
    <xf numFmtId="0" fontId="45" fillId="0" borderId="0" xfId="4" applyFont="1" applyBorder="1">
      <alignment vertical="center"/>
    </xf>
    <xf numFmtId="0" fontId="46" fillId="0" borderId="2" xfId="4" applyFont="1" applyBorder="1">
      <alignment vertical="center"/>
    </xf>
    <xf numFmtId="168" fontId="42" fillId="11" borderId="10" xfId="4" applyNumberFormat="1" applyFont="1" applyFill="1" applyBorder="1" applyAlignment="1">
      <alignment horizontal="center" vertical="center"/>
    </xf>
    <xf numFmtId="16" fontId="42" fillId="11" borderId="10" xfId="4" applyNumberFormat="1" applyFont="1" applyFill="1" applyBorder="1" applyAlignment="1">
      <alignment horizontal="center" vertical="center"/>
    </xf>
    <xf numFmtId="2" fontId="23" fillId="0" borderId="0" xfId="4" applyNumberFormat="1" applyBorder="1" applyAlignment="1">
      <alignment horizontal="center"/>
    </xf>
    <xf numFmtId="2" fontId="23" fillId="0" borderId="0" xfId="4" applyNumberFormat="1" applyAlignment="1">
      <alignment horizontal="center"/>
    </xf>
    <xf numFmtId="0" fontId="47" fillId="0" borderId="32" xfId="3" applyFont="1" applyFill="1" applyBorder="1" applyAlignment="1">
      <alignment horizontal="left" vertical="center"/>
    </xf>
    <xf numFmtId="3" fontId="48" fillId="0" borderId="2" xfId="4" applyNumberFormat="1" applyFont="1" applyBorder="1" applyAlignment="1">
      <alignment horizontal="center" vertical="center"/>
    </xf>
    <xf numFmtId="169" fontId="48" fillId="0" borderId="33" xfId="2" applyNumberFormat="1" applyFont="1" applyBorder="1" applyAlignment="1">
      <alignment horizontal="center" vertical="center"/>
    </xf>
    <xf numFmtId="43" fontId="48" fillId="0" borderId="2" xfId="2" applyFont="1" applyBorder="1" applyAlignment="1">
      <alignment horizontal="center" vertical="center"/>
    </xf>
    <xf numFmtId="167" fontId="49" fillId="0" borderId="34" xfId="4" applyNumberFormat="1" applyFont="1" applyBorder="1" applyAlignment="1">
      <alignment horizontal="center" vertical="center"/>
    </xf>
    <xf numFmtId="167" fontId="49" fillId="0" borderId="37" xfId="4" applyNumberFormat="1" applyFont="1" applyBorder="1" applyAlignment="1">
      <alignment horizontal="center" vertical="center"/>
    </xf>
    <xf numFmtId="167" fontId="49" fillId="0" borderId="33" xfId="4" applyNumberFormat="1" applyFont="1" applyBorder="1" applyAlignment="1">
      <alignment horizontal="center" vertical="center"/>
    </xf>
    <xf numFmtId="167" fontId="49" fillId="0" borderId="36" xfId="4" applyNumberFormat="1" applyFont="1" applyBorder="1" applyAlignment="1">
      <alignment horizontal="center" vertical="center"/>
    </xf>
    <xf numFmtId="0" fontId="33" fillId="0" borderId="32" xfId="3" applyFont="1" applyFill="1" applyBorder="1" applyAlignment="1">
      <alignment horizontal="left" vertical="center"/>
    </xf>
    <xf numFmtId="0" fontId="50" fillId="0" borderId="32" xfId="3" applyFont="1" applyFill="1" applyBorder="1" applyAlignment="1">
      <alignment horizontal="left" vertical="center"/>
    </xf>
    <xf numFmtId="167" fontId="49" fillId="0" borderId="33" xfId="4" applyNumberFormat="1" applyFont="1" applyFill="1" applyBorder="1" applyAlignment="1">
      <alignment horizontal="center" vertical="center"/>
    </xf>
    <xf numFmtId="167" fontId="49" fillId="0" borderId="34" xfId="4" applyNumberFormat="1" applyFont="1" applyFill="1" applyBorder="1" applyAlignment="1">
      <alignment horizontal="center" vertical="center"/>
    </xf>
    <xf numFmtId="169" fontId="48" fillId="0" borderId="33" xfId="2" applyNumberFormat="1" applyFont="1" applyFill="1" applyBorder="1" applyAlignment="1">
      <alignment horizontal="center" vertical="center"/>
    </xf>
    <xf numFmtId="43" fontId="48" fillId="0" borderId="2" xfId="2" applyFont="1" applyFill="1" applyBorder="1" applyAlignment="1">
      <alignment horizontal="center" vertical="center"/>
    </xf>
    <xf numFmtId="43" fontId="52" fillId="0" borderId="2" xfId="4" applyNumberFormat="1" applyFont="1" applyBorder="1" applyAlignment="1">
      <alignment vertical="center" textRotation="90"/>
    </xf>
    <xf numFmtId="170" fontId="53" fillId="0" borderId="0" xfId="4" applyNumberFormat="1" applyFont="1" applyBorder="1">
      <alignment vertical="center"/>
    </xf>
    <xf numFmtId="1" fontId="53" fillId="0" borderId="0" xfId="4" applyNumberFormat="1" applyFont="1" applyBorder="1" applyAlignment="1">
      <alignment horizontal="center" vertical="center"/>
    </xf>
    <xf numFmtId="1" fontId="23" fillId="0" borderId="0" xfId="4" applyNumberFormat="1" applyBorder="1">
      <alignment vertical="center"/>
    </xf>
    <xf numFmtId="1" fontId="53" fillId="0" borderId="0" xfId="4" applyNumberFormat="1" applyFont="1" applyBorder="1">
      <alignment vertical="center"/>
    </xf>
    <xf numFmtId="0" fontId="22" fillId="0" borderId="2" xfId="3" applyFont="1" applyBorder="1" applyAlignment="1">
      <alignment horizontal="left" vertical="center"/>
    </xf>
    <xf numFmtId="168" fontId="23" fillId="0" borderId="2" xfId="4" applyNumberFormat="1" applyBorder="1" applyAlignment="1">
      <alignment horizontal="center"/>
    </xf>
    <xf numFmtId="2" fontId="23" fillId="0" borderId="2" xfId="4" applyNumberFormat="1" applyBorder="1" applyAlignment="1">
      <alignment horizontal="center"/>
    </xf>
    <xf numFmtId="0" fontId="23" fillId="0" borderId="5" xfId="4" applyBorder="1">
      <alignment vertical="center"/>
    </xf>
    <xf numFmtId="0" fontId="51" fillId="0" borderId="2" xfId="3" applyFont="1" applyFill="1" applyBorder="1" applyAlignment="1">
      <alignment horizontal="left" vertical="center"/>
    </xf>
    <xf numFmtId="0" fontId="22" fillId="13" borderId="2" xfId="3" applyFont="1" applyFill="1" applyBorder="1" applyAlignment="1">
      <alignment horizontal="left" vertical="center"/>
    </xf>
    <xf numFmtId="168" fontId="23" fillId="13" borderId="2" xfId="4" applyNumberFormat="1" applyFill="1" applyBorder="1" applyAlignment="1">
      <alignment horizontal="center"/>
    </xf>
    <xf numFmtId="0" fontId="23" fillId="13" borderId="2" xfId="4" applyFill="1" applyBorder="1" applyAlignment="1">
      <alignment horizontal="center"/>
    </xf>
    <xf numFmtId="2" fontId="23" fillId="13" borderId="2" xfId="4" applyNumberFormat="1" applyFill="1" applyBorder="1" applyAlignment="1">
      <alignment horizontal="center"/>
    </xf>
    <xf numFmtId="0" fontId="54" fillId="13" borderId="2" xfId="3" applyFont="1" applyFill="1" applyBorder="1" applyAlignment="1">
      <alignment horizontal="left" vertical="center"/>
    </xf>
    <xf numFmtId="0" fontId="55" fillId="0" borderId="2" xfId="4" applyFont="1" applyBorder="1" applyAlignment="1">
      <alignment horizontal="center"/>
    </xf>
    <xf numFmtId="0" fontId="56" fillId="0" borderId="2" xfId="4" applyFont="1" applyBorder="1" applyAlignment="1">
      <alignment horizontal="center"/>
    </xf>
    <xf numFmtId="0" fontId="56" fillId="0" borderId="2" xfId="4" applyFont="1" applyBorder="1" applyAlignment="1">
      <alignment horizontal="center" vertical="center"/>
    </xf>
    <xf numFmtId="0" fontId="55" fillId="0" borderId="2" xfId="4" applyFont="1" applyBorder="1">
      <alignment vertical="center"/>
    </xf>
    <xf numFmtId="1" fontId="56" fillId="0" borderId="2" xfId="4" applyNumberFormat="1" applyFont="1" applyBorder="1" applyAlignment="1">
      <alignment horizontal="center" vertical="center"/>
    </xf>
    <xf numFmtId="1" fontId="57" fillId="13" borderId="2" xfId="4" applyNumberFormat="1" applyFont="1" applyFill="1" applyBorder="1" applyAlignment="1">
      <alignment horizontal="center" vertical="center"/>
    </xf>
    <xf numFmtId="0" fontId="55" fillId="0" borderId="5" xfId="4" applyFont="1" applyBorder="1">
      <alignment vertical="center"/>
    </xf>
    <xf numFmtId="0" fontId="43" fillId="0" borderId="11" xfId="3" applyFont="1" applyFill="1" applyBorder="1" applyAlignment="1">
      <alignment horizontal="left" vertical="center"/>
    </xf>
    <xf numFmtId="168" fontId="44" fillId="0" borderId="11" xfId="4" applyNumberFormat="1" applyFont="1" applyBorder="1" applyAlignment="1">
      <alignment horizontal="center" vertical="center"/>
    </xf>
    <xf numFmtId="3" fontId="44" fillId="0" borderId="11" xfId="4" applyNumberFormat="1" applyFont="1" applyBorder="1" applyAlignment="1">
      <alignment horizontal="center" vertical="center"/>
    </xf>
    <xf numFmtId="16" fontId="44" fillId="0" borderId="11" xfId="4" applyNumberFormat="1" applyFont="1" applyBorder="1" applyAlignment="1">
      <alignment horizontal="center" vertical="center"/>
    </xf>
    <xf numFmtId="2" fontId="44" fillId="0" borderId="11" xfId="4" applyNumberFormat="1" applyFont="1" applyBorder="1" applyAlignment="1">
      <alignment horizontal="center" vertical="center"/>
    </xf>
    <xf numFmtId="0" fontId="23" fillId="0" borderId="39" xfId="4" applyBorder="1" applyAlignment="1">
      <alignment horizontal="center"/>
    </xf>
    <xf numFmtId="0" fontId="23" fillId="0" borderId="11" xfId="4" applyBorder="1" applyAlignment="1">
      <alignment horizontal="center"/>
    </xf>
    <xf numFmtId="0" fontId="23" fillId="0" borderId="20" xfId="4" applyBorder="1" applyAlignment="1">
      <alignment horizontal="center"/>
    </xf>
    <xf numFmtId="0" fontId="54" fillId="13" borderId="12" xfId="3" applyFont="1" applyFill="1" applyBorder="1" applyAlignment="1">
      <alignment horizontal="left" vertical="center"/>
    </xf>
    <xf numFmtId="0" fontId="22" fillId="13" borderId="12" xfId="3" applyFont="1" applyFill="1" applyBorder="1" applyAlignment="1">
      <alignment horizontal="left" vertical="center"/>
    </xf>
    <xf numFmtId="168" fontId="23" fillId="13" borderId="12" xfId="4" applyNumberFormat="1" applyFill="1" applyBorder="1" applyAlignment="1">
      <alignment horizontal="center"/>
    </xf>
    <xf numFmtId="0" fontId="23" fillId="13" borderId="12" xfId="4" applyFill="1" applyBorder="1" applyAlignment="1">
      <alignment horizontal="center"/>
    </xf>
    <xf numFmtId="2" fontId="23" fillId="13" borderId="12" xfId="4" applyNumberFormat="1" applyFill="1" applyBorder="1" applyAlignment="1">
      <alignment horizontal="center"/>
    </xf>
    <xf numFmtId="1" fontId="57" fillId="13" borderId="12" xfId="4" applyNumberFormat="1" applyFont="1" applyFill="1" applyBorder="1" applyAlignment="1">
      <alignment horizontal="center" vertical="center"/>
    </xf>
    <xf numFmtId="0" fontId="51" fillId="0" borderId="13" xfId="3" applyFont="1" applyFill="1" applyBorder="1" applyAlignment="1">
      <alignment horizontal="left" vertical="center"/>
    </xf>
    <xf numFmtId="0" fontId="22" fillId="0" borderId="10" xfId="3" applyFont="1" applyBorder="1" applyAlignment="1">
      <alignment horizontal="left" vertical="center"/>
    </xf>
    <xf numFmtId="168" fontId="23" fillId="0" borderId="10" xfId="4" applyNumberFormat="1" applyBorder="1" applyAlignment="1">
      <alignment horizontal="center"/>
    </xf>
    <xf numFmtId="0" fontId="23" fillId="0" borderId="10" xfId="4" applyBorder="1" applyAlignment="1">
      <alignment horizontal="center"/>
    </xf>
    <xf numFmtId="2" fontId="23" fillId="0" borderId="10" xfId="4" applyNumberFormat="1" applyBorder="1" applyAlignment="1">
      <alignment horizontal="center"/>
    </xf>
    <xf numFmtId="0" fontId="23" fillId="0" borderId="10" xfId="4" applyBorder="1">
      <alignment vertical="center"/>
    </xf>
    <xf numFmtId="0" fontId="55" fillId="0" borderId="10" xfId="4" applyFont="1" applyBorder="1" applyAlignment="1">
      <alignment horizontal="center"/>
    </xf>
    <xf numFmtId="0" fontId="56" fillId="0" borderId="10" xfId="4" applyFont="1" applyBorder="1" applyAlignment="1">
      <alignment horizontal="center"/>
    </xf>
    <xf numFmtId="0" fontId="56" fillId="0" borderId="10" xfId="4" applyFont="1" applyBorder="1" applyAlignment="1">
      <alignment horizontal="center" vertical="center"/>
    </xf>
    <xf numFmtId="0" fontId="55" fillId="0" borderId="14" xfId="4" applyFont="1" applyBorder="1">
      <alignment vertical="center"/>
    </xf>
    <xf numFmtId="0" fontId="51" fillId="0" borderId="15" xfId="3" applyFont="1" applyFill="1" applyBorder="1" applyAlignment="1">
      <alignment horizontal="left" vertical="center"/>
    </xf>
    <xf numFmtId="0" fontId="55" fillId="0" borderId="16" xfId="4" applyFont="1" applyBorder="1">
      <alignment vertical="center"/>
    </xf>
    <xf numFmtId="0" fontId="51" fillId="0" borderId="17" xfId="3" applyFont="1" applyFill="1" applyBorder="1" applyAlignment="1">
      <alignment horizontal="left" vertical="center"/>
    </xf>
    <xf numFmtId="0" fontId="22" fillId="0" borderId="18" xfId="3" applyFont="1" applyBorder="1" applyAlignment="1">
      <alignment horizontal="left" vertical="center"/>
    </xf>
    <xf numFmtId="168" fontId="23" fillId="0" borderId="18" xfId="4" applyNumberFormat="1" applyBorder="1" applyAlignment="1">
      <alignment horizontal="center"/>
    </xf>
    <xf numFmtId="0" fontId="23" fillId="0" borderId="18" xfId="4" applyBorder="1" applyAlignment="1">
      <alignment horizontal="center"/>
    </xf>
    <xf numFmtId="2" fontId="23" fillId="0" borderId="18" xfId="4" applyNumberFormat="1" applyBorder="1" applyAlignment="1">
      <alignment horizontal="center"/>
    </xf>
    <xf numFmtId="0" fontId="23" fillId="0" borderId="18" xfId="4" applyBorder="1">
      <alignment vertical="center"/>
    </xf>
    <xf numFmtId="0" fontId="55" fillId="0" borderId="18" xfId="4" applyFont="1" applyBorder="1" applyAlignment="1">
      <alignment horizontal="center"/>
    </xf>
    <xf numFmtId="0" fontId="56" fillId="0" borderId="18" xfId="4" applyFont="1" applyBorder="1" applyAlignment="1">
      <alignment horizontal="center"/>
    </xf>
    <xf numFmtId="0" fontId="56" fillId="0" borderId="18" xfId="4" applyFont="1" applyBorder="1" applyAlignment="1">
      <alignment horizontal="center" vertical="center"/>
    </xf>
    <xf numFmtId="0" fontId="55" fillId="0" borderId="19" xfId="4" applyFont="1" applyBorder="1">
      <alignment vertical="center"/>
    </xf>
    <xf numFmtId="0" fontId="23" fillId="0" borderId="29" xfId="4" applyBorder="1">
      <alignment vertical="center"/>
    </xf>
    <xf numFmtId="0" fontId="43" fillId="0" borderId="12" xfId="3" applyFont="1" applyFill="1" applyBorder="1" applyAlignment="1">
      <alignment horizontal="left" vertical="center"/>
    </xf>
    <xf numFmtId="168" fontId="44" fillId="0" borderId="12" xfId="4" applyNumberFormat="1" applyFont="1" applyBorder="1" applyAlignment="1">
      <alignment horizontal="center" vertical="center"/>
    </xf>
    <xf numFmtId="3" fontId="44" fillId="0" borderId="12" xfId="4" applyNumberFormat="1" applyFont="1" applyBorder="1" applyAlignment="1">
      <alignment horizontal="center" vertical="center"/>
    </xf>
    <xf numFmtId="16" fontId="44" fillId="0" borderId="12" xfId="4" applyNumberFormat="1" applyFont="1" applyBorder="1" applyAlignment="1">
      <alignment horizontal="center" vertical="center"/>
    </xf>
    <xf numFmtId="2" fontId="44" fillId="0" borderId="12" xfId="4" applyNumberFormat="1" applyFont="1" applyBorder="1" applyAlignment="1">
      <alignment horizontal="center" vertical="center"/>
    </xf>
    <xf numFmtId="0" fontId="23" fillId="0" borderId="21" xfId="4" applyBorder="1" applyAlignment="1">
      <alignment horizontal="center"/>
    </xf>
    <xf numFmtId="0" fontId="41" fillId="10" borderId="40" xfId="3" applyFont="1" applyFill="1" applyBorder="1" applyAlignment="1">
      <alignment horizontal="left" vertical="center"/>
    </xf>
    <xf numFmtId="0" fontId="41" fillId="10" borderId="41" xfId="3" applyFont="1" applyFill="1" applyBorder="1" applyAlignment="1">
      <alignment horizontal="left" vertical="center"/>
    </xf>
    <xf numFmtId="0" fontId="23" fillId="0" borderId="42" xfId="4" applyBorder="1" applyAlignment="1">
      <alignment horizontal="center"/>
    </xf>
    <xf numFmtId="0" fontId="23" fillId="0" borderId="43" xfId="4" applyBorder="1" applyAlignment="1">
      <alignment horizontal="center"/>
    </xf>
    <xf numFmtId="0" fontId="23" fillId="0" borderId="14" xfId="4" applyBorder="1">
      <alignment vertical="center"/>
    </xf>
    <xf numFmtId="0" fontId="51" fillId="0" borderId="44" xfId="3" applyFont="1" applyFill="1" applyBorder="1" applyAlignment="1">
      <alignment horizontal="left" vertical="center"/>
    </xf>
    <xf numFmtId="0" fontId="23" fillId="0" borderId="16" xfId="4" applyBorder="1">
      <alignment vertical="center"/>
    </xf>
    <xf numFmtId="0" fontId="47" fillId="0" borderId="44" xfId="3" applyFont="1" applyFill="1" applyBorder="1" applyAlignment="1">
      <alignment horizontal="left" vertical="center"/>
    </xf>
    <xf numFmtId="0" fontId="41" fillId="10" borderId="45" xfId="3" applyFont="1" applyFill="1" applyBorder="1" applyAlignment="1">
      <alignment horizontal="left" vertical="center"/>
    </xf>
    <xf numFmtId="0" fontId="41" fillId="10" borderId="46" xfId="3" applyFont="1" applyFill="1" applyBorder="1" applyAlignment="1">
      <alignment horizontal="left" vertical="center"/>
    </xf>
    <xf numFmtId="168" fontId="42" fillId="11" borderId="47" xfId="4" applyNumberFormat="1" applyFont="1" applyFill="1" applyBorder="1" applyAlignment="1">
      <alignment horizontal="center" vertical="center"/>
    </xf>
    <xf numFmtId="3" fontId="42" fillId="11" borderId="48" xfId="4" applyNumberFormat="1" applyFont="1" applyFill="1" applyBorder="1" applyAlignment="1">
      <alignment horizontal="center" vertical="center"/>
    </xf>
    <xf numFmtId="168" fontId="42" fillId="11" borderId="48" xfId="4" applyNumberFormat="1" applyFont="1" applyFill="1" applyBorder="1" applyAlignment="1">
      <alignment horizontal="center" vertical="center"/>
    </xf>
    <xf numFmtId="166" fontId="42" fillId="11" borderId="48" xfId="2" applyNumberFormat="1" applyFont="1" applyFill="1" applyBorder="1" applyAlignment="1">
      <alignment horizontal="center" vertical="center"/>
    </xf>
    <xf numFmtId="166" fontId="42" fillId="11" borderId="49" xfId="2" applyNumberFormat="1" applyFont="1" applyFill="1" applyBorder="1" applyAlignment="1">
      <alignment horizontal="center" vertical="center"/>
    </xf>
    <xf numFmtId="0" fontId="23" fillId="0" borderId="50" xfId="4" applyBorder="1" applyAlignment="1">
      <alignment horizontal="center"/>
    </xf>
    <xf numFmtId="0" fontId="23" fillId="0" borderId="19" xfId="4" applyBorder="1">
      <alignment vertical="center"/>
    </xf>
    <xf numFmtId="167" fontId="38" fillId="0" borderId="51" xfId="10" applyNumberFormat="1" applyFont="1" applyBorder="1" applyAlignment="1">
      <alignment horizontal="center" vertical="center"/>
    </xf>
    <xf numFmtId="167" fontId="38" fillId="0" borderId="52" xfId="10" applyNumberFormat="1" applyFont="1" applyBorder="1" applyAlignment="1">
      <alignment horizontal="center" vertical="center"/>
    </xf>
    <xf numFmtId="168" fontId="39" fillId="0" borderId="47" xfId="10" applyNumberFormat="1" applyFont="1" applyBorder="1" applyAlignment="1">
      <alignment horizontal="center" vertical="center" wrapText="1"/>
    </xf>
    <xf numFmtId="167" fontId="39" fillId="0" borderId="48" xfId="10" applyNumberFormat="1" applyFont="1" applyBorder="1" applyAlignment="1">
      <alignment horizontal="center" vertical="center" wrapText="1"/>
    </xf>
    <xf numFmtId="167" fontId="39" fillId="0" borderId="49" xfId="10" applyNumberFormat="1" applyFont="1" applyBorder="1" applyAlignment="1">
      <alignment horizontal="center" vertical="center" wrapText="1"/>
    </xf>
    <xf numFmtId="167" fontId="40" fillId="0" borderId="53" xfId="10" applyNumberFormat="1" applyFont="1" applyBorder="1" applyAlignment="1">
      <alignment horizontal="center" textRotation="90"/>
    </xf>
    <xf numFmtId="167" fontId="40" fillId="0" borderId="38" xfId="10" applyNumberFormat="1" applyFont="1" applyBorder="1" applyAlignment="1">
      <alignment horizontal="center" textRotation="90"/>
    </xf>
    <xf numFmtId="167" fontId="0" fillId="0" borderId="0" xfId="0" applyNumberFormat="1" applyAlignment="1">
      <alignment textRotation="90"/>
    </xf>
    <xf numFmtId="0" fontId="0" fillId="0" borderId="0" xfId="0" applyAlignment="1">
      <alignment horizontal="center" vertical="center"/>
    </xf>
    <xf numFmtId="1" fontId="59" fillId="0" borderId="0" xfId="0" applyNumberFormat="1" applyFont="1" applyAlignment="1">
      <alignment horizontal="center" vertical="center"/>
    </xf>
    <xf numFmtId="1" fontId="59" fillId="0" borderId="0" xfId="0" applyNumberFormat="1" applyFont="1" applyAlignment="1">
      <alignment horizontal="left" vertical="center"/>
    </xf>
    <xf numFmtId="0" fontId="0" fillId="15" borderId="2" xfId="0" applyFill="1" applyBorder="1" applyAlignment="1">
      <alignment horizontal="center" vertical="center"/>
    </xf>
    <xf numFmtId="1" fontId="0" fillId="15" borderId="2" xfId="0" applyNumberFormat="1" applyFill="1" applyBorder="1" applyAlignment="1">
      <alignment horizontal="center" vertical="center"/>
    </xf>
    <xf numFmtId="1" fontId="59" fillId="0" borderId="39" xfId="0" applyNumberFormat="1" applyFont="1" applyBorder="1" applyAlignment="1">
      <alignment horizontal="center" vertical="center"/>
    </xf>
    <xf numFmtId="167" fontId="59" fillId="16" borderId="11" xfId="0" applyNumberFormat="1" applyFont="1" applyFill="1" applyBorder="1" applyAlignment="1">
      <alignment horizontal="center" vertical="center" textRotation="90"/>
    </xf>
    <xf numFmtId="0" fontId="61" fillId="0" borderId="0" xfId="0" applyFont="1" applyAlignment="1">
      <alignment horizontal="center" vertical="center"/>
    </xf>
    <xf numFmtId="0" fontId="60" fillId="16" borderId="53" xfId="0" applyFont="1" applyFill="1" applyBorder="1" applyAlignment="1">
      <alignment horizontal="center" vertical="center"/>
    </xf>
    <xf numFmtId="0" fontId="60" fillId="16" borderId="48" xfId="0" applyFont="1" applyFill="1" applyBorder="1" applyAlignment="1">
      <alignment horizontal="center" vertical="center"/>
    </xf>
    <xf numFmtId="0" fontId="60" fillId="16" borderId="56" xfId="0" applyFont="1" applyFill="1" applyBorder="1" applyAlignment="1">
      <alignment horizontal="center" vertical="center"/>
    </xf>
    <xf numFmtId="0" fontId="58" fillId="15" borderId="4" xfId="0" applyFont="1" applyFill="1" applyBorder="1" applyAlignment="1">
      <alignment horizontal="center" vertical="center"/>
    </xf>
    <xf numFmtId="0" fontId="58" fillId="0" borderId="2" xfId="0" applyFont="1" applyBorder="1" applyAlignment="1">
      <alignment horizontal="center" vertical="center"/>
    </xf>
    <xf numFmtId="167" fontId="59" fillId="16" borderId="54" xfId="0" applyNumberFormat="1" applyFont="1" applyFill="1" applyBorder="1" applyAlignment="1">
      <alignment horizontal="center" vertical="center" textRotation="90"/>
    </xf>
    <xf numFmtId="0" fontId="58" fillId="16" borderId="4" xfId="0" applyFont="1" applyFill="1" applyBorder="1" applyAlignment="1">
      <alignment horizontal="center" vertical="center"/>
    </xf>
    <xf numFmtId="0" fontId="58" fillId="16" borderId="5" xfId="0" applyFont="1" applyFill="1" applyBorder="1" applyAlignment="1">
      <alignment horizontal="center" vertical="center"/>
    </xf>
    <xf numFmtId="167" fontId="58" fillId="0" borderId="12" xfId="0" applyNumberFormat="1" applyFont="1" applyBorder="1" applyAlignment="1">
      <alignment horizontal="center" vertical="center"/>
    </xf>
    <xf numFmtId="0" fontId="58" fillId="0" borderId="12" xfId="0" applyFont="1" applyBorder="1" applyAlignment="1">
      <alignment horizontal="center" vertical="center"/>
    </xf>
    <xf numFmtId="0" fontId="62" fillId="0" borderId="0" xfId="0" applyFont="1" applyAlignment="1">
      <alignment horizontal="right" vertical="center"/>
    </xf>
    <xf numFmtId="1" fontId="58" fillId="15" borderId="2" xfId="0" applyNumberFormat="1" applyFont="1" applyFill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1" fontId="58" fillId="0" borderId="2" xfId="0" applyNumberFormat="1" applyFont="1" applyBorder="1" applyAlignment="1">
      <alignment horizontal="center" vertical="center"/>
    </xf>
    <xf numFmtId="1" fontId="59" fillId="0" borderId="2" xfId="0" applyNumberFormat="1" applyFont="1" applyBorder="1" applyAlignment="1">
      <alignment horizontal="center" vertical="center"/>
    </xf>
    <xf numFmtId="0" fontId="58" fillId="0" borderId="0" xfId="0" applyFont="1"/>
    <xf numFmtId="0" fontId="58" fillId="0" borderId="0" xfId="0" applyFont="1" applyAlignment="1">
      <alignment horizontal="center" vertical="center"/>
    </xf>
    <xf numFmtId="1" fontId="58" fillId="0" borderId="0" xfId="0" applyNumberFormat="1" applyFont="1" applyAlignment="1">
      <alignment horizontal="center" vertical="center"/>
    </xf>
    <xf numFmtId="1" fontId="0" fillId="15" borderId="5" xfId="0" applyNumberFormat="1" applyFill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58" fillId="14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5" borderId="5" xfId="0" applyFill="1" applyBorder="1" applyAlignment="1">
      <alignment horizontal="center" vertical="center"/>
    </xf>
    <xf numFmtId="1" fontId="59" fillId="0" borderId="2" xfId="0" applyNumberFormat="1" applyFont="1" applyBorder="1" applyAlignment="1">
      <alignment horizontal="right" vertical="center"/>
    </xf>
    <xf numFmtId="1" fontId="59" fillId="0" borderId="2" xfId="0" applyNumberFormat="1" applyFont="1" applyBorder="1" applyAlignment="1">
      <alignment horizontal="left" vertical="center"/>
    </xf>
    <xf numFmtId="0" fontId="58" fillId="0" borderId="15" xfId="0" applyFont="1" applyBorder="1" applyAlignment="1">
      <alignment vertical="center"/>
    </xf>
    <xf numFmtId="1" fontId="59" fillId="0" borderId="16" xfId="0" applyNumberFormat="1" applyFont="1" applyBorder="1" applyAlignment="1">
      <alignment horizontal="center" vertical="center"/>
    </xf>
    <xf numFmtId="0" fontId="58" fillId="0" borderId="59" xfId="0" applyFont="1" applyBorder="1" applyAlignment="1">
      <alignment vertical="center"/>
    </xf>
    <xf numFmtId="1" fontId="59" fillId="0" borderId="12" xfId="0" applyNumberFormat="1" applyFont="1" applyBorder="1" applyAlignment="1">
      <alignment horizontal="right" vertical="center"/>
    </xf>
    <xf numFmtId="1" fontId="59" fillId="0" borderId="60" xfId="0" applyNumberFormat="1" applyFont="1" applyBorder="1" applyAlignment="1">
      <alignment horizontal="center" vertical="center"/>
    </xf>
    <xf numFmtId="1" fontId="59" fillId="0" borderId="12" xfId="0" applyNumberFormat="1" applyFont="1" applyBorder="1" applyAlignment="1">
      <alignment horizontal="center" vertical="center"/>
    </xf>
    <xf numFmtId="1" fontId="59" fillId="0" borderId="12" xfId="0" applyNumberFormat="1" applyFont="1" applyBorder="1" applyAlignment="1">
      <alignment horizontal="left" vertical="center"/>
    </xf>
    <xf numFmtId="1" fontId="58" fillId="17" borderId="12" xfId="0" applyNumberFormat="1" applyFont="1" applyFill="1" applyBorder="1" applyAlignment="1">
      <alignment horizontal="center" vertical="center"/>
    </xf>
    <xf numFmtId="1" fontId="58" fillId="17" borderId="2" xfId="0" applyNumberFormat="1" applyFont="1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1" fontId="0" fillId="17" borderId="2" xfId="0" applyNumberFormat="1" applyFill="1" applyBorder="1" applyAlignment="1">
      <alignment horizontal="center" vertical="center"/>
    </xf>
    <xf numFmtId="0" fontId="0" fillId="17" borderId="16" xfId="0" applyFill="1" applyBorder="1" applyAlignment="1">
      <alignment horizontal="center" vertical="center"/>
    </xf>
    <xf numFmtId="170" fontId="0" fillId="17" borderId="2" xfId="0" applyNumberFormat="1" applyFill="1" applyBorder="1" applyAlignment="1">
      <alignment horizontal="center" vertical="center"/>
    </xf>
    <xf numFmtId="1" fontId="0" fillId="17" borderId="16" xfId="0" applyNumberFormat="1" applyFill="1" applyBorder="1" applyAlignment="1">
      <alignment horizontal="center" vertical="center"/>
    </xf>
    <xf numFmtId="0" fontId="0" fillId="17" borderId="18" xfId="0" applyFill="1" applyBorder="1" applyAlignment="1">
      <alignment horizontal="center" vertical="center"/>
    </xf>
    <xf numFmtId="1" fontId="0" fillId="17" borderId="19" xfId="0" applyNumberFormat="1" applyFill="1" applyBorder="1" applyAlignment="1">
      <alignment horizontal="center" vertical="center"/>
    </xf>
    <xf numFmtId="0" fontId="60" fillId="17" borderId="15" xfId="0" applyFont="1" applyFill="1" applyBorder="1" applyAlignment="1">
      <alignment horizontal="left" vertical="center"/>
    </xf>
    <xf numFmtId="0" fontId="58" fillId="17" borderId="2" xfId="0" applyFont="1" applyFill="1" applyBorder="1" applyAlignment="1">
      <alignment horizontal="center" vertical="center"/>
    </xf>
    <xf numFmtId="0" fontId="60" fillId="17" borderId="17" xfId="0" applyFont="1" applyFill="1" applyBorder="1" applyAlignment="1">
      <alignment horizontal="left" vertical="center"/>
    </xf>
    <xf numFmtId="0" fontId="58" fillId="17" borderId="18" xfId="0" applyFont="1" applyFill="1" applyBorder="1" applyAlignment="1">
      <alignment horizontal="center" vertical="center"/>
    </xf>
    <xf numFmtId="0" fontId="60" fillId="17" borderId="61" xfId="0" applyFont="1" applyFill="1" applyBorder="1" applyAlignment="1">
      <alignment horizontal="left" vertical="center"/>
    </xf>
    <xf numFmtId="0" fontId="58" fillId="17" borderId="11" xfId="0" applyFont="1" applyFill="1" applyBorder="1" applyAlignment="1">
      <alignment horizontal="center" vertical="center"/>
    </xf>
    <xf numFmtId="167" fontId="64" fillId="14" borderId="57" xfId="0" applyNumberFormat="1" applyFont="1" applyFill="1" applyBorder="1" applyAlignment="1">
      <alignment horizontal="center" vertical="center" textRotation="90"/>
    </xf>
    <xf numFmtId="167" fontId="64" fillId="14" borderId="58" xfId="0" applyNumberFormat="1" applyFont="1" applyFill="1" applyBorder="1" applyAlignment="1">
      <alignment horizontal="center" vertical="center" textRotation="90"/>
    </xf>
    <xf numFmtId="0" fontId="0" fillId="17" borderId="2" xfId="0" applyFill="1" applyBorder="1" applyAlignment="1">
      <alignment vertical="center"/>
    </xf>
    <xf numFmtId="0" fontId="58" fillId="17" borderId="2" xfId="0" applyFont="1" applyFill="1" applyBorder="1" applyAlignment="1">
      <alignment vertical="center"/>
    </xf>
    <xf numFmtId="0" fontId="58" fillId="17" borderId="11" xfId="0" applyFont="1" applyFill="1" applyBorder="1" applyAlignment="1">
      <alignment vertical="center"/>
    </xf>
    <xf numFmtId="0" fontId="0" fillId="0" borderId="15" xfId="0" applyBorder="1" applyAlignment="1">
      <alignment vertical="center"/>
    </xf>
    <xf numFmtId="0" fontId="58" fillId="17" borderId="18" xfId="0" applyFont="1" applyFill="1" applyBorder="1" applyAlignment="1">
      <alignment vertical="center"/>
    </xf>
    <xf numFmtId="0" fontId="60" fillId="14" borderId="3" xfId="0" applyFont="1" applyFill="1" applyBorder="1" applyAlignment="1">
      <alignment vertical="center"/>
    </xf>
    <xf numFmtId="0" fontId="60" fillId="14" borderId="4" xfId="0" applyFont="1" applyFill="1" applyBorder="1" applyAlignment="1">
      <alignment vertical="center"/>
    </xf>
    <xf numFmtId="0" fontId="60" fillId="17" borderId="53" xfId="0" applyFont="1" applyFill="1" applyBorder="1" applyAlignment="1">
      <alignment horizontal="center" vertical="center"/>
    </xf>
    <xf numFmtId="167" fontId="60" fillId="17" borderId="48" xfId="0" applyNumberFormat="1" applyFont="1" applyFill="1" applyBorder="1" applyAlignment="1">
      <alignment horizontal="center" vertical="center"/>
    </xf>
    <xf numFmtId="0" fontId="60" fillId="17" borderId="48" xfId="0" applyFont="1" applyFill="1" applyBorder="1" applyAlignment="1">
      <alignment horizontal="center" vertical="center"/>
    </xf>
    <xf numFmtId="0" fontId="60" fillId="17" borderId="56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/>
    </xf>
    <xf numFmtId="167" fontId="64" fillId="14" borderId="43" xfId="0" applyNumberFormat="1" applyFont="1" applyFill="1" applyBorder="1" applyAlignment="1">
      <alignment horizontal="center" vertical="center" textRotation="90"/>
    </xf>
    <xf numFmtId="0" fontId="65" fillId="17" borderId="15" xfId="0" applyFont="1" applyFill="1" applyBorder="1" applyAlignment="1">
      <alignment horizontal="left" vertical="center"/>
    </xf>
    <xf numFmtId="0" fontId="65" fillId="17" borderId="17" xfId="0" applyFont="1" applyFill="1" applyBorder="1" applyAlignment="1">
      <alignment horizontal="left" vertical="center"/>
    </xf>
    <xf numFmtId="1" fontId="66" fillId="0" borderId="0" xfId="0" applyNumberFormat="1" applyFont="1" applyAlignment="1">
      <alignment horizontal="center" vertical="center"/>
    </xf>
    <xf numFmtId="1" fontId="66" fillId="0" borderId="72" xfId="0" applyNumberFormat="1" applyFont="1" applyBorder="1" applyAlignment="1">
      <alignment horizontal="center" vertical="center"/>
    </xf>
    <xf numFmtId="1" fontId="66" fillId="0" borderId="0" xfId="0" applyNumberFormat="1" applyFont="1" applyAlignment="1">
      <alignment horizontal="right" vertical="center"/>
    </xf>
    <xf numFmtId="1" fontId="66" fillId="0" borderId="72" xfId="0" applyNumberFormat="1" applyFont="1" applyBorder="1" applyAlignment="1">
      <alignment horizontal="left" vertical="center"/>
    </xf>
    <xf numFmtId="1" fontId="66" fillId="0" borderId="0" xfId="0" applyNumberFormat="1" applyFont="1" applyAlignment="1">
      <alignment horizontal="left" vertical="center"/>
    </xf>
    <xf numFmtId="1" fontId="65" fillId="17" borderId="2" xfId="0" applyNumberFormat="1" applyFont="1" applyFill="1" applyBorder="1" applyAlignment="1">
      <alignment horizontal="center" vertical="center"/>
    </xf>
    <xf numFmtId="1" fontId="65" fillId="17" borderId="16" xfId="0" applyNumberFormat="1" applyFont="1" applyFill="1" applyBorder="1" applyAlignment="1">
      <alignment horizontal="center" vertical="center"/>
    </xf>
    <xf numFmtId="170" fontId="65" fillId="17" borderId="18" xfId="0" applyNumberFormat="1" applyFont="1" applyFill="1" applyBorder="1" applyAlignment="1">
      <alignment horizontal="center" vertical="center"/>
    </xf>
    <xf numFmtId="1" fontId="65" fillId="17" borderId="18" xfId="0" applyNumberFormat="1" applyFont="1" applyFill="1" applyBorder="1" applyAlignment="1">
      <alignment horizontal="center" vertical="center"/>
    </xf>
    <xf numFmtId="170" fontId="65" fillId="17" borderId="19" xfId="0" applyNumberFormat="1" applyFont="1" applyFill="1" applyBorder="1" applyAlignment="1">
      <alignment horizontal="center" vertical="center"/>
    </xf>
    <xf numFmtId="167" fontId="65" fillId="0" borderId="12" xfId="0" applyNumberFormat="1" applyFont="1" applyBorder="1" applyAlignment="1">
      <alignment horizontal="center" vertical="center"/>
    </xf>
    <xf numFmtId="0" fontId="65" fillId="0" borderId="12" xfId="0" applyFont="1" applyBorder="1" applyAlignment="1">
      <alignment horizontal="center" vertical="center"/>
    </xf>
    <xf numFmtId="167" fontId="65" fillId="0" borderId="2" xfId="0" applyNumberFormat="1" applyFont="1" applyBorder="1" applyAlignment="1">
      <alignment horizontal="center" vertical="center"/>
    </xf>
    <xf numFmtId="0" fontId="65" fillId="0" borderId="2" xfId="0" applyFont="1" applyBorder="1" applyAlignment="1">
      <alignment horizontal="center" vertical="center"/>
    </xf>
    <xf numFmtId="167" fontId="65" fillId="0" borderId="2" xfId="0" applyNumberFormat="1" applyFont="1" applyBorder="1" applyAlignment="1">
      <alignment vertical="center"/>
    </xf>
    <xf numFmtId="0" fontId="65" fillId="17" borderId="18" xfId="0" applyFont="1" applyFill="1" applyBorder="1" applyAlignment="1">
      <alignment horizontal="center" vertical="center"/>
    </xf>
    <xf numFmtId="0" fontId="65" fillId="0" borderId="15" xfId="0" applyFont="1" applyBorder="1" applyAlignment="1">
      <alignment horizontal="left" vertical="center"/>
    </xf>
    <xf numFmtId="0" fontId="65" fillId="15" borderId="2" xfId="0" applyFont="1" applyFill="1" applyBorder="1" applyAlignment="1">
      <alignment horizontal="center" vertical="center"/>
    </xf>
    <xf numFmtId="170" fontId="65" fillId="15" borderId="4" xfId="0" applyNumberFormat="1" applyFont="1" applyFill="1" applyBorder="1" applyAlignment="1">
      <alignment horizontal="center" vertical="center"/>
    </xf>
    <xf numFmtId="1" fontId="65" fillId="15" borderId="4" xfId="0" applyNumberFormat="1" applyFont="1" applyFill="1" applyBorder="1" applyAlignment="1">
      <alignment horizontal="center" vertical="center"/>
    </xf>
    <xf numFmtId="1" fontId="65" fillId="15" borderId="5" xfId="0" applyNumberFormat="1" applyFont="1" applyFill="1" applyBorder="1" applyAlignment="1">
      <alignment horizontal="center" vertical="center"/>
    </xf>
    <xf numFmtId="1" fontId="65" fillId="0" borderId="12" xfId="0" applyNumberFormat="1" applyFont="1" applyBorder="1" applyAlignment="1">
      <alignment horizontal="center" vertical="center"/>
    </xf>
    <xf numFmtId="1" fontId="65" fillId="0" borderId="2" xfId="0" applyNumberFormat="1" applyFont="1" applyBorder="1" applyAlignment="1">
      <alignment horizontal="center" vertical="center"/>
    </xf>
    <xf numFmtId="1" fontId="66" fillId="0" borderId="2" xfId="0" applyNumberFormat="1" applyFont="1" applyBorder="1" applyAlignment="1">
      <alignment horizontal="center" vertical="center"/>
    </xf>
    <xf numFmtId="0" fontId="65" fillId="0" borderId="11" xfId="0" applyFont="1" applyBorder="1" applyAlignment="1">
      <alignment horizontal="center" vertical="center"/>
    </xf>
    <xf numFmtId="0" fontId="65" fillId="0" borderId="11" xfId="0" applyFont="1" applyBorder="1" applyAlignment="1">
      <alignment horizontal="center"/>
    </xf>
    <xf numFmtId="1" fontId="66" fillId="15" borderId="4" xfId="0" applyNumberFormat="1" applyFont="1" applyFill="1" applyBorder="1" applyAlignment="1">
      <alignment horizontal="center" vertical="center"/>
    </xf>
    <xf numFmtId="1" fontId="66" fillId="15" borderId="5" xfId="0" applyNumberFormat="1" applyFont="1" applyFill="1" applyBorder="1" applyAlignment="1">
      <alignment horizontal="center" vertical="center"/>
    </xf>
    <xf numFmtId="0" fontId="65" fillId="14" borderId="2" xfId="0" applyFont="1" applyFill="1" applyBorder="1" applyAlignment="1">
      <alignment horizontal="center" vertical="center"/>
    </xf>
    <xf numFmtId="0" fontId="65" fillId="14" borderId="4" xfId="0" applyFont="1" applyFill="1" applyBorder="1" applyAlignment="1">
      <alignment horizontal="center" vertical="center"/>
    </xf>
    <xf numFmtId="0" fontId="65" fillId="14" borderId="5" xfId="0" applyFont="1" applyFill="1" applyBorder="1" applyAlignment="1">
      <alignment horizontal="center" vertical="center"/>
    </xf>
    <xf numFmtId="0" fontId="65" fillId="0" borderId="12" xfId="0" applyFont="1" applyBorder="1"/>
    <xf numFmtId="0" fontId="65" fillId="0" borderId="12" xfId="0" applyFont="1" applyBorder="1" applyAlignment="1">
      <alignment horizontal="center"/>
    </xf>
    <xf numFmtId="0" fontId="65" fillId="0" borderId="2" xfId="0" applyFont="1" applyBorder="1"/>
    <xf numFmtId="0" fontId="65" fillId="0" borderId="2" xfId="0" applyFont="1" applyBorder="1" applyAlignment="1">
      <alignment horizontal="center"/>
    </xf>
    <xf numFmtId="0" fontId="65" fillId="14" borderId="55" xfId="0" applyFont="1" applyFill="1" applyBorder="1" applyAlignment="1">
      <alignment horizontal="center" vertical="center"/>
    </xf>
    <xf numFmtId="0" fontId="65" fillId="15" borderId="4" xfId="0" applyFont="1" applyFill="1" applyBorder="1" applyAlignment="1">
      <alignment horizontal="center" vertical="center"/>
    </xf>
    <xf numFmtId="1" fontId="66" fillId="15" borderId="2" xfId="0" applyNumberFormat="1" applyFont="1" applyFill="1" applyBorder="1" applyAlignment="1">
      <alignment horizontal="center" vertical="center"/>
    </xf>
    <xf numFmtId="0" fontId="65" fillId="0" borderId="0" xfId="0" applyFont="1"/>
    <xf numFmtId="1" fontId="65" fillId="0" borderId="11" xfId="0" applyNumberFormat="1" applyFont="1" applyBorder="1" applyAlignment="1">
      <alignment horizontal="center"/>
    </xf>
    <xf numFmtId="0" fontId="65" fillId="0" borderId="21" xfId="0" applyFont="1" applyBorder="1" applyAlignment="1">
      <alignment horizontal="center"/>
    </xf>
    <xf numFmtId="0" fontId="65" fillId="0" borderId="3" xfId="0" applyFont="1" applyBorder="1" applyAlignment="1">
      <alignment horizontal="center"/>
    </xf>
    <xf numFmtId="0" fontId="65" fillId="0" borderId="3" xfId="0" applyFont="1" applyBorder="1" applyAlignment="1">
      <alignment horizontal="center" vertical="center"/>
    </xf>
    <xf numFmtId="0" fontId="65" fillId="14" borderId="3" xfId="0" applyFont="1" applyFill="1" applyBorder="1" applyAlignment="1">
      <alignment vertical="center"/>
    </xf>
    <xf numFmtId="0" fontId="65" fillId="14" borderId="4" xfId="0" applyFont="1" applyFill="1" applyBorder="1" applyAlignment="1">
      <alignment vertical="center"/>
    </xf>
    <xf numFmtId="1" fontId="65" fillId="0" borderId="3" xfId="0" applyNumberFormat="1" applyFont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1" fontId="65" fillId="17" borderId="3" xfId="0" applyNumberFormat="1" applyFont="1" applyFill="1" applyBorder="1" applyAlignment="1">
      <alignment horizontal="center" vertical="center"/>
    </xf>
    <xf numFmtId="1" fontId="66" fillId="0" borderId="69" xfId="0" applyNumberFormat="1" applyFont="1" applyBorder="1" applyAlignment="1">
      <alignment horizontal="center" vertical="center"/>
    </xf>
    <xf numFmtId="1" fontId="66" fillId="0" borderId="74" xfId="0" applyNumberFormat="1" applyFont="1" applyBorder="1" applyAlignment="1">
      <alignment horizontal="right" vertical="center"/>
    </xf>
    <xf numFmtId="1" fontId="66" fillId="0" borderId="74" xfId="0" applyNumberFormat="1" applyFont="1" applyBorder="1" applyAlignment="1">
      <alignment horizontal="center" vertical="center"/>
    </xf>
    <xf numFmtId="0" fontId="66" fillId="14" borderId="63" xfId="0" applyFont="1" applyFill="1" applyBorder="1" applyAlignment="1">
      <alignment horizontal="right" vertical="center"/>
    </xf>
    <xf numFmtId="167" fontId="66" fillId="14" borderId="73" xfId="0" applyNumberFormat="1" applyFont="1" applyFill="1" applyBorder="1" applyAlignment="1">
      <alignment horizontal="center" vertical="center" textRotation="90"/>
    </xf>
    <xf numFmtId="167" fontId="66" fillId="14" borderId="75" xfId="0" applyNumberFormat="1" applyFont="1" applyFill="1" applyBorder="1" applyAlignment="1">
      <alignment horizontal="center" vertical="center" textRotation="90"/>
    </xf>
    <xf numFmtId="167" fontId="66" fillId="14" borderId="65" xfId="0" applyNumberFormat="1" applyFont="1" applyFill="1" applyBorder="1" applyAlignment="1">
      <alignment horizontal="center" vertical="center" textRotation="90"/>
    </xf>
    <xf numFmtId="167" fontId="66" fillId="14" borderId="76" xfId="0" applyNumberFormat="1" applyFont="1" applyFill="1" applyBorder="1" applyAlignment="1">
      <alignment horizontal="center" vertical="center" textRotation="90"/>
    </xf>
    <xf numFmtId="1" fontId="59" fillId="0" borderId="16" xfId="0" applyNumberFormat="1" applyFont="1" applyBorder="1" applyAlignment="1">
      <alignment horizontal="left" vertical="center"/>
    </xf>
    <xf numFmtId="0" fontId="58" fillId="0" borderId="0" xfId="0" applyFont="1" applyAlignment="1">
      <alignment vertical="center"/>
    </xf>
    <xf numFmtId="170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8" fillId="14" borderId="2" xfId="0" applyFont="1" applyFill="1" applyBorder="1" applyAlignment="1">
      <alignment horizontal="center" vertical="center"/>
    </xf>
    <xf numFmtId="0" fontId="0" fillId="0" borderId="61" xfId="0" applyBorder="1" applyAlignment="1">
      <alignment vertical="center"/>
    </xf>
    <xf numFmtId="167" fontId="58" fillId="0" borderId="30" xfId="0" applyNumberFormat="1" applyFont="1" applyBorder="1" applyAlignment="1">
      <alignment horizontal="center" vertical="center"/>
    </xf>
    <xf numFmtId="0" fontId="58" fillId="0" borderId="11" xfId="0" applyFont="1" applyBorder="1" applyAlignment="1">
      <alignment horizontal="center" vertical="center"/>
    </xf>
    <xf numFmtId="1" fontId="58" fillId="17" borderId="30" xfId="0" applyNumberFormat="1" applyFont="1" applyFill="1" applyBorder="1" applyAlignment="1">
      <alignment horizontal="center" vertical="center"/>
    </xf>
    <xf numFmtId="1" fontId="59" fillId="0" borderId="11" xfId="0" applyNumberFormat="1" applyFont="1" applyBorder="1" applyAlignment="1">
      <alignment horizontal="center" vertical="center"/>
    </xf>
    <xf numFmtId="1" fontId="59" fillId="0" borderId="62" xfId="0" applyNumberFormat="1" applyFont="1" applyBorder="1" applyAlignment="1">
      <alignment horizontal="center" vertical="center"/>
    </xf>
    <xf numFmtId="0" fontId="60" fillId="17" borderId="13" xfId="0" applyFont="1" applyFill="1" applyBorder="1" applyAlignment="1">
      <alignment horizontal="left" vertical="center"/>
    </xf>
    <xf numFmtId="0" fontId="0" fillId="17" borderId="10" xfId="0" applyFill="1" applyBorder="1" applyAlignment="1">
      <alignment vertical="center"/>
    </xf>
    <xf numFmtId="0" fontId="0" fillId="17" borderId="10" xfId="0" applyFill="1" applyBorder="1" applyAlignment="1">
      <alignment horizontal="center" vertical="center"/>
    </xf>
    <xf numFmtId="1" fontId="0" fillId="17" borderId="10" xfId="0" applyNumberFormat="1" applyFill="1" applyBorder="1" applyAlignment="1">
      <alignment horizontal="center" vertical="center"/>
    </xf>
    <xf numFmtId="1" fontId="0" fillId="17" borderId="14" xfId="0" applyNumberFormat="1" applyFill="1" applyBorder="1" applyAlignment="1">
      <alignment horizontal="center" vertical="center"/>
    </xf>
    <xf numFmtId="0" fontId="6" fillId="0" borderId="0" xfId="0" applyFont="1"/>
    <xf numFmtId="0" fontId="61" fillId="0" borderId="0" xfId="0" applyFont="1" applyAlignment="1">
      <alignment vertical="center"/>
    </xf>
    <xf numFmtId="1" fontId="0" fillId="17" borderId="11" xfId="0" applyNumberFormat="1" applyFill="1" applyBorder="1" applyAlignment="1">
      <alignment horizontal="center" vertical="center"/>
    </xf>
    <xf numFmtId="1" fontId="0" fillId="17" borderId="18" xfId="0" applyNumberFormat="1" applyFill="1" applyBorder="1" applyAlignment="1">
      <alignment horizontal="center" vertical="center"/>
    </xf>
    <xf numFmtId="0" fontId="65" fillId="0" borderId="61" xfId="0" applyFont="1" applyBorder="1" applyAlignment="1">
      <alignment horizontal="left" vertical="center"/>
    </xf>
    <xf numFmtId="167" fontId="65" fillId="0" borderId="11" xfId="0" applyNumberFormat="1" applyFont="1" applyBorder="1" applyAlignment="1">
      <alignment horizontal="center" vertical="center"/>
    </xf>
    <xf numFmtId="1" fontId="65" fillId="17" borderId="20" xfId="0" applyNumberFormat="1" applyFont="1" applyFill="1" applyBorder="1" applyAlignment="1">
      <alignment horizontal="center" vertical="center"/>
    </xf>
    <xf numFmtId="0" fontId="65" fillId="17" borderId="13" xfId="0" applyFont="1" applyFill="1" applyBorder="1" applyAlignment="1">
      <alignment horizontal="left" vertical="center"/>
    </xf>
    <xf numFmtId="1" fontId="65" fillId="17" borderId="10" xfId="0" applyNumberFormat="1" applyFont="1" applyFill="1" applyBorder="1" applyAlignment="1">
      <alignment horizontal="center" vertical="center"/>
    </xf>
    <xf numFmtId="1" fontId="65" fillId="17" borderId="14" xfId="0" applyNumberFormat="1" applyFont="1" applyFill="1" applyBorder="1" applyAlignment="1">
      <alignment horizontal="center" vertical="center"/>
    </xf>
    <xf numFmtId="9" fontId="67" fillId="21" borderId="2" xfId="11" applyFont="1" applyFill="1" applyBorder="1" applyAlignment="1">
      <alignment horizontal="center" vertical="center"/>
    </xf>
    <xf numFmtId="9" fontId="0" fillId="0" borderId="2" xfId="11" applyFont="1" applyBorder="1" applyAlignment="1">
      <alignment horizontal="center" vertical="center"/>
    </xf>
    <xf numFmtId="9" fontId="63" fillId="0" borderId="2" xfId="11" applyFont="1" applyFill="1" applyBorder="1" applyAlignment="1">
      <alignment horizontal="center" vertical="center"/>
    </xf>
    <xf numFmtId="9" fontId="1" fillId="0" borderId="2" xfId="11" applyFont="1" applyFill="1" applyBorder="1" applyAlignment="1">
      <alignment horizontal="center" vertical="center"/>
    </xf>
    <xf numFmtId="9" fontId="1" fillId="24" borderId="2" xfId="11" applyFont="1" applyFill="1" applyBorder="1" applyAlignment="1">
      <alignment horizontal="center" vertical="center"/>
    </xf>
    <xf numFmtId="9" fontId="1" fillId="0" borderId="2" xfId="11" applyFont="1" applyBorder="1" applyAlignment="1">
      <alignment horizontal="center" vertical="center"/>
    </xf>
    <xf numFmtId="171" fontId="0" fillId="0" borderId="2" xfId="11" applyNumberFormat="1" applyFont="1" applyBorder="1" applyAlignment="1">
      <alignment horizontal="center" vertical="center"/>
    </xf>
    <xf numFmtId="9" fontId="1" fillId="22" borderId="2" xfId="11" applyFont="1" applyFill="1" applyBorder="1" applyAlignment="1">
      <alignment horizontal="center" vertical="center"/>
    </xf>
    <xf numFmtId="171" fontId="0" fillId="24" borderId="2" xfId="11" applyNumberFormat="1" applyFon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67" fillId="20" borderId="2" xfId="0" applyFont="1" applyFill="1" applyBorder="1" applyAlignment="1">
      <alignment horizontal="center" vertical="center"/>
    </xf>
    <xf numFmtId="15" fontId="67" fillId="20" borderId="2" xfId="0" applyNumberFormat="1" applyFont="1" applyFill="1" applyBorder="1" applyAlignment="1">
      <alignment horizontal="center" vertical="center"/>
    </xf>
    <xf numFmtId="0" fontId="67" fillId="21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horizontal="center" vertical="center"/>
    </xf>
    <xf numFmtId="15" fontId="0" fillId="22" borderId="2" xfId="0" applyNumberFormat="1" applyFill="1" applyBorder="1" applyAlignment="1">
      <alignment horizontal="center" vertical="center"/>
    </xf>
    <xf numFmtId="9" fontId="0" fillId="22" borderId="2" xfId="11" applyFont="1" applyFill="1" applyBorder="1" applyAlignment="1">
      <alignment horizontal="center" vertical="center"/>
    </xf>
    <xf numFmtId="15" fontId="0" fillId="0" borderId="2" xfId="0" applyNumberFormat="1" applyBorder="1" applyAlignment="1">
      <alignment horizontal="center" vertical="center"/>
    </xf>
    <xf numFmtId="9" fontId="0" fillId="22" borderId="2" xfId="0" applyNumberFormat="1" applyFill="1" applyBorder="1" applyAlignment="1">
      <alignment horizontal="center" vertical="center"/>
    </xf>
    <xf numFmtId="0" fontId="0" fillId="24" borderId="2" xfId="0" applyFill="1" applyBorder="1" applyAlignment="1">
      <alignment horizontal="center" vertical="center"/>
    </xf>
    <xf numFmtId="15" fontId="0" fillId="24" borderId="2" xfId="0" applyNumberFormat="1" applyFill="1" applyBorder="1" applyAlignment="1">
      <alignment horizontal="center" vertical="center"/>
    </xf>
    <xf numFmtId="9" fontId="0" fillId="24" borderId="2" xfId="11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15" fontId="0" fillId="6" borderId="2" xfId="0" applyNumberFormat="1" applyFill="1" applyBorder="1" applyAlignment="1">
      <alignment horizontal="center" vertical="center"/>
    </xf>
    <xf numFmtId="9" fontId="0" fillId="6" borderId="2" xfId="11" applyFont="1" applyFill="1" applyBorder="1" applyAlignment="1">
      <alignment horizontal="center" vertical="center"/>
    </xf>
    <xf numFmtId="0" fontId="1" fillId="24" borderId="2" xfId="0" applyFont="1" applyFill="1" applyBorder="1" applyAlignment="1">
      <alignment horizontal="center" vertical="center"/>
    </xf>
    <xf numFmtId="9" fontId="0" fillId="0" borderId="2" xfId="11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68" fillId="23" borderId="2" xfId="0" applyFont="1" applyFill="1" applyBorder="1" applyAlignment="1">
      <alignment horizontal="center" vertical="center"/>
    </xf>
    <xf numFmtId="15" fontId="68" fillId="23" borderId="2" xfId="0" applyNumberFormat="1" applyFont="1" applyFill="1" applyBorder="1" applyAlignment="1">
      <alignment horizontal="center" vertical="center"/>
    </xf>
    <xf numFmtId="1" fontId="0" fillId="22" borderId="2" xfId="0" applyNumberFormat="1" applyFill="1" applyBorder="1" applyAlignment="1">
      <alignment horizontal="center" vertical="center"/>
    </xf>
    <xf numFmtId="1" fontId="0" fillId="24" borderId="2" xfId="0" applyNumberFormat="1" applyFill="1" applyBorder="1" applyAlignment="1">
      <alignment horizontal="center" vertical="center"/>
    </xf>
    <xf numFmtId="1" fontId="0" fillId="6" borderId="2" xfId="0" applyNumberFormat="1" applyFill="1" applyBorder="1" applyAlignment="1">
      <alignment horizontal="center" vertical="center"/>
    </xf>
    <xf numFmtId="9" fontId="68" fillId="23" borderId="2" xfId="11" applyFont="1" applyFill="1" applyBorder="1" applyAlignment="1">
      <alignment horizontal="center" vertical="center"/>
    </xf>
    <xf numFmtId="9" fontId="0" fillId="0" borderId="0" xfId="11" applyFont="1" applyAlignment="1">
      <alignment horizontal="center" vertical="center"/>
    </xf>
    <xf numFmtId="171" fontId="0" fillId="0" borderId="2" xfId="11" applyNumberFormat="1" applyFont="1" applyFill="1" applyBorder="1" applyAlignment="1">
      <alignment horizontal="center" vertical="center"/>
    </xf>
    <xf numFmtId="1" fontId="68" fillId="23" borderId="2" xfId="0" applyNumberFormat="1" applyFont="1" applyFill="1" applyBorder="1" applyAlignment="1">
      <alignment horizontal="center" vertical="center"/>
    </xf>
    <xf numFmtId="15" fontId="67" fillId="21" borderId="2" xfId="0" applyNumberFormat="1" applyFont="1" applyFill="1" applyBorder="1" applyAlignment="1">
      <alignment horizontal="center" vertical="center"/>
    </xf>
    <xf numFmtId="171" fontId="0" fillId="6" borderId="2" xfId="11" applyNumberFormat="1" applyFont="1" applyFill="1" applyBorder="1" applyAlignment="1">
      <alignment horizontal="center" vertical="center"/>
    </xf>
    <xf numFmtId="10" fontId="0" fillId="24" borderId="2" xfId="11" applyNumberFormat="1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24" borderId="2" xfId="0" applyFill="1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1" fontId="67" fillId="21" borderId="2" xfId="0" applyNumberFormat="1" applyFont="1" applyFill="1" applyBorder="1" applyAlignment="1">
      <alignment horizontal="center" vertical="center"/>
    </xf>
    <xf numFmtId="171" fontId="67" fillId="21" borderId="2" xfId="11" applyNumberFormat="1" applyFont="1" applyFill="1" applyBorder="1" applyAlignment="1">
      <alignment horizontal="center" vertical="center"/>
    </xf>
    <xf numFmtId="172" fontId="67" fillId="21" borderId="2" xfId="11" applyNumberFormat="1" applyFont="1" applyFill="1" applyBorder="1" applyAlignment="1">
      <alignment horizontal="center" vertical="center"/>
    </xf>
    <xf numFmtId="1" fontId="67" fillId="20" borderId="2" xfId="0" applyNumberFormat="1" applyFont="1" applyFill="1" applyBorder="1" applyAlignment="1">
      <alignment horizontal="center" vertical="center"/>
    </xf>
    <xf numFmtId="171" fontId="67" fillId="20" borderId="2" xfId="11" applyNumberFormat="1" applyFont="1" applyFill="1" applyBorder="1" applyAlignment="1">
      <alignment horizontal="center" vertical="center"/>
    </xf>
    <xf numFmtId="9" fontId="67" fillId="20" borderId="2" xfId="11" applyFont="1" applyFill="1" applyBorder="1" applyAlignment="1">
      <alignment horizontal="center" vertical="center"/>
    </xf>
    <xf numFmtId="10" fontId="67" fillId="20" borderId="2" xfId="11" applyNumberFormat="1" applyFont="1" applyFill="1" applyBorder="1" applyAlignment="1">
      <alignment horizontal="center" vertical="center"/>
    </xf>
    <xf numFmtId="0" fontId="63" fillId="19" borderId="2" xfId="0" applyFont="1" applyFill="1" applyBorder="1" applyAlignment="1">
      <alignment horizontal="center" vertical="center"/>
    </xf>
    <xf numFmtId="15" fontId="63" fillId="19" borderId="2" xfId="0" applyNumberFormat="1" applyFont="1" applyFill="1" applyBorder="1" applyAlignment="1">
      <alignment horizontal="center" vertical="center"/>
    </xf>
    <xf numFmtId="1" fontId="63" fillId="19" borderId="2" xfId="0" applyNumberFormat="1" applyFont="1" applyFill="1" applyBorder="1" applyAlignment="1">
      <alignment horizontal="center" vertical="center"/>
    </xf>
    <xf numFmtId="9" fontId="63" fillId="19" borderId="2" xfId="11" applyFont="1" applyFill="1" applyBorder="1" applyAlignment="1">
      <alignment horizontal="center" vertical="center"/>
    </xf>
    <xf numFmtId="0" fontId="0" fillId="22" borderId="2" xfId="0" applyFill="1" applyBorder="1" applyAlignment="1">
      <alignment horizontal="left" vertical="center"/>
    </xf>
    <xf numFmtId="171" fontId="1" fillId="22" borderId="2" xfId="11" applyNumberFormat="1" applyFont="1" applyFill="1" applyBorder="1" applyAlignment="1">
      <alignment horizontal="center" vertical="center"/>
    </xf>
    <xf numFmtId="0" fontId="67" fillId="25" borderId="2" xfId="0" applyFont="1" applyFill="1" applyBorder="1" applyAlignment="1">
      <alignment horizontal="center" vertical="center"/>
    </xf>
    <xf numFmtId="0" fontId="67" fillId="25" borderId="2" xfId="0" applyFont="1" applyFill="1" applyBorder="1" applyAlignment="1">
      <alignment horizontal="center" vertical="center" wrapText="1"/>
    </xf>
    <xf numFmtId="1" fontId="67" fillId="25" borderId="2" xfId="0" applyNumberFormat="1" applyFont="1" applyFill="1" applyBorder="1" applyAlignment="1">
      <alignment horizontal="center" vertical="center"/>
    </xf>
    <xf numFmtId="9" fontId="67" fillId="25" borderId="2" xfId="11" applyFont="1" applyFill="1" applyBorder="1" applyAlignment="1">
      <alignment horizontal="center" vertical="center"/>
    </xf>
    <xf numFmtId="15" fontId="63" fillId="0" borderId="0" xfId="0" applyNumberFormat="1" applyFont="1" applyAlignment="1">
      <alignment horizontal="right" vertical="center"/>
    </xf>
    <xf numFmtId="9" fontId="63" fillId="0" borderId="0" xfId="11" applyFont="1" applyAlignment="1">
      <alignment horizontal="left" vertical="center"/>
    </xf>
    <xf numFmtId="9" fontId="0" fillId="0" borderId="0" xfId="11" applyFont="1"/>
    <xf numFmtId="0" fontId="70" fillId="0" borderId="2" xfId="0" applyFont="1" applyBorder="1" applyAlignment="1">
      <alignment horizontal="center" vertical="center"/>
    </xf>
    <xf numFmtId="43" fontId="0" fillId="0" borderId="0" xfId="2" applyFont="1"/>
    <xf numFmtId="0" fontId="0" fillId="4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1" fontId="0" fillId="4" borderId="2" xfId="0" applyNumberFormat="1" applyFill="1" applyBorder="1" applyAlignment="1">
      <alignment horizontal="center" vertical="center"/>
    </xf>
    <xf numFmtId="0" fontId="73" fillId="27" borderId="15" xfId="0" applyFont="1" applyFill="1" applyBorder="1" applyAlignment="1">
      <alignment horizontal="left" vertical="center" indent="1"/>
    </xf>
    <xf numFmtId="1" fontId="74" fillId="0" borderId="2" xfId="0" applyNumberFormat="1" applyFont="1" applyBorder="1" applyAlignment="1">
      <alignment horizontal="center" vertical="center"/>
    </xf>
    <xf numFmtId="1" fontId="74" fillId="0" borderId="16" xfId="0" applyNumberFormat="1" applyFont="1" applyBorder="1" applyAlignment="1">
      <alignment horizontal="center" vertical="center"/>
    </xf>
    <xf numFmtId="14" fontId="74" fillId="0" borderId="16" xfId="0" applyNumberFormat="1" applyFont="1" applyBorder="1" applyAlignment="1">
      <alignment horizontal="center" vertical="center"/>
    </xf>
    <xf numFmtId="0" fontId="74" fillId="0" borderId="2" xfId="0" applyFont="1" applyBorder="1" applyAlignment="1">
      <alignment horizontal="center" vertical="center"/>
    </xf>
    <xf numFmtId="0" fontId="73" fillId="27" borderId="17" xfId="0" applyFont="1" applyFill="1" applyBorder="1" applyAlignment="1">
      <alignment horizontal="left" vertical="center" indent="1"/>
    </xf>
    <xf numFmtId="1" fontId="74" fillId="0" borderId="18" xfId="0" applyNumberFormat="1" applyFont="1" applyBorder="1" applyAlignment="1">
      <alignment horizontal="center" vertical="center"/>
    </xf>
    <xf numFmtId="1" fontId="74" fillId="0" borderId="19" xfId="0" applyNumberFormat="1" applyFont="1" applyBorder="1" applyAlignment="1">
      <alignment horizontal="center" vertical="center"/>
    </xf>
    <xf numFmtId="173" fontId="63" fillId="19" borderId="2" xfId="11" applyNumberFormat="1" applyFont="1" applyFill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" fontId="63" fillId="0" borderId="0" xfId="0" applyNumberFormat="1" applyFont="1" applyAlignment="1">
      <alignment horizontal="center" vertical="center"/>
    </xf>
    <xf numFmtId="1" fontId="0" fillId="0" borderId="0" xfId="11" applyNumberFormat="1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16" fontId="63" fillId="0" borderId="0" xfId="0" applyNumberFormat="1" applyFont="1" applyAlignment="1">
      <alignment horizontal="center" vertical="center"/>
    </xf>
    <xf numFmtId="169" fontId="0" fillId="0" borderId="0" xfId="2" applyNumberFormat="1" applyFont="1" applyAlignment="1">
      <alignment horizontal="center" vertical="center"/>
    </xf>
    <xf numFmtId="14" fontId="63" fillId="28" borderId="77" xfId="12" applyNumberFormat="1" applyFont="1" applyAlignment="1">
      <alignment horizontal="center" vertical="center"/>
    </xf>
    <xf numFmtId="0" fontId="63" fillId="28" borderId="77" xfId="12" applyFont="1" applyAlignment="1">
      <alignment horizontal="center" vertical="center"/>
    </xf>
    <xf numFmtId="0" fontId="63" fillId="28" borderId="77" xfId="12" applyFont="1"/>
    <xf numFmtId="9" fontId="63" fillId="28" borderId="77" xfId="11" applyFont="1" applyFill="1" applyBorder="1" applyAlignment="1">
      <alignment horizontal="center" vertical="center"/>
    </xf>
    <xf numFmtId="1" fontId="53" fillId="0" borderId="0" xfId="4" applyNumberFormat="1" applyFont="1" applyBorder="1" applyAlignment="1">
      <alignment horizontal="center" vertical="center"/>
    </xf>
    <xf numFmtId="0" fontId="29" fillId="0" borderId="0" xfId="4" applyFont="1" applyBorder="1" applyAlignment="1">
      <alignment horizontal="center" vertical="center"/>
    </xf>
    <xf numFmtId="167" fontId="30" fillId="8" borderId="0" xfId="7" applyNumberFormat="1" applyFont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1" fontId="8" fillId="0" borderId="3" xfId="0" applyNumberFormat="1" applyFont="1" applyBorder="1" applyAlignment="1">
      <alignment horizontal="center" vertical="center"/>
    </xf>
    <xf numFmtId="1" fontId="8" fillId="0" borderId="4" xfId="0" applyNumberFormat="1" applyFont="1" applyBorder="1" applyAlignment="1">
      <alignment horizontal="center" vertical="center"/>
    </xf>
    <xf numFmtId="1" fontId="8" fillId="0" borderId="5" xfId="0" applyNumberFormat="1" applyFont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7" fillId="3" borderId="8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71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61" fillId="0" borderId="0" xfId="0" applyFont="1" applyAlignment="1">
      <alignment horizontal="center" vertical="center"/>
    </xf>
    <xf numFmtId="0" fontId="60" fillId="14" borderId="63" xfId="0" applyFont="1" applyFill="1" applyBorder="1" applyAlignment="1">
      <alignment horizontal="center" vertical="center"/>
    </xf>
    <xf numFmtId="0" fontId="60" fillId="14" borderId="64" xfId="0" applyFont="1" applyFill="1" applyBorder="1" applyAlignment="1">
      <alignment horizontal="center" vertical="center"/>
    </xf>
    <xf numFmtId="0" fontId="60" fillId="14" borderId="66" xfId="0" applyFont="1" applyFill="1" applyBorder="1" applyAlignment="1">
      <alignment horizontal="center" vertical="center" wrapText="1"/>
    </xf>
    <xf numFmtId="0" fontId="60" fillId="14" borderId="67" xfId="0" applyFont="1" applyFill="1" applyBorder="1" applyAlignment="1">
      <alignment horizontal="center" vertical="center" wrapText="1"/>
    </xf>
    <xf numFmtId="0" fontId="60" fillId="14" borderId="66" xfId="0" applyFont="1" applyFill="1" applyBorder="1" applyAlignment="1">
      <alignment horizontal="center" vertical="center"/>
    </xf>
    <xf numFmtId="0" fontId="60" fillId="14" borderId="67" xfId="0" applyFont="1" applyFill="1" applyBorder="1" applyAlignment="1">
      <alignment horizontal="center" vertical="center"/>
    </xf>
    <xf numFmtId="167" fontId="60" fillId="14" borderId="66" xfId="0" applyNumberFormat="1" applyFont="1" applyFill="1" applyBorder="1" applyAlignment="1">
      <alignment horizontal="center" vertical="center" wrapText="1"/>
    </xf>
    <xf numFmtId="167" fontId="60" fillId="14" borderId="67" xfId="0" applyNumberFormat="1" applyFont="1" applyFill="1" applyBorder="1" applyAlignment="1">
      <alignment horizontal="center" vertical="center" wrapText="1"/>
    </xf>
    <xf numFmtId="0" fontId="63" fillId="15" borderId="3" xfId="0" applyFont="1" applyFill="1" applyBorder="1" applyAlignment="1">
      <alignment horizontal="center" vertical="center"/>
    </xf>
    <xf numFmtId="0" fontId="63" fillId="15" borderId="4" xfId="0" applyFont="1" applyFill="1" applyBorder="1" applyAlignment="1">
      <alignment horizontal="center" vertical="center"/>
    </xf>
    <xf numFmtId="0" fontId="60" fillId="14" borderId="3" xfId="0" applyFont="1" applyFill="1" applyBorder="1" applyAlignment="1">
      <alignment horizontal="center" vertical="center"/>
    </xf>
    <xf numFmtId="0" fontId="60" fillId="14" borderId="4" xfId="0" applyFont="1" applyFill="1" applyBorder="1" applyAlignment="1">
      <alignment horizontal="center" vertical="center"/>
    </xf>
    <xf numFmtId="0" fontId="60" fillId="14" borderId="2" xfId="0" applyFont="1" applyFill="1" applyBorder="1" applyAlignment="1">
      <alignment horizontal="center" vertical="center"/>
    </xf>
    <xf numFmtId="0" fontId="62" fillId="0" borderId="0" xfId="0" applyFont="1" applyAlignment="1">
      <alignment horizontal="right" vertical="center"/>
    </xf>
    <xf numFmtId="0" fontId="62" fillId="0" borderId="9" xfId="0" applyFont="1" applyBorder="1" applyAlignment="1">
      <alignment horizontal="right" vertical="center"/>
    </xf>
    <xf numFmtId="0" fontId="60" fillId="0" borderId="2" xfId="0" applyFont="1" applyBorder="1" applyAlignment="1">
      <alignment horizontal="center" vertical="center"/>
    </xf>
    <xf numFmtId="0" fontId="60" fillId="0" borderId="3" xfId="0" applyFont="1" applyBorder="1" applyAlignment="1">
      <alignment horizontal="center" vertical="center"/>
    </xf>
    <xf numFmtId="0" fontId="60" fillId="0" borderId="5" xfId="0" applyFont="1" applyBorder="1" applyAlignment="1">
      <alignment horizontal="center" vertical="center"/>
    </xf>
    <xf numFmtId="0" fontId="65" fillId="0" borderId="2" xfId="0" applyFont="1" applyBorder="1" applyAlignment="1">
      <alignment horizontal="center" vertical="center"/>
    </xf>
    <xf numFmtId="0" fontId="65" fillId="0" borderId="3" xfId="0" applyFont="1" applyBorder="1" applyAlignment="1">
      <alignment horizontal="center" vertical="center"/>
    </xf>
    <xf numFmtId="0" fontId="65" fillId="0" borderId="5" xfId="0" applyFont="1" applyBorder="1" applyAlignment="1">
      <alignment horizontal="center" vertical="center"/>
    </xf>
    <xf numFmtId="0" fontId="65" fillId="14" borderId="20" xfId="0" applyFont="1" applyFill="1" applyBorder="1" applyAlignment="1">
      <alignment horizontal="center" vertical="center"/>
    </xf>
    <xf numFmtId="0" fontId="65" fillId="14" borderId="55" xfId="0" applyFont="1" applyFill="1" applyBorder="1" applyAlignment="1">
      <alignment horizontal="center" vertical="center"/>
    </xf>
    <xf numFmtId="0" fontId="65" fillId="14" borderId="69" xfId="0" applyFont="1" applyFill="1" applyBorder="1" applyAlignment="1">
      <alignment horizontal="center" vertical="center"/>
    </xf>
    <xf numFmtId="0" fontId="65" fillId="14" borderId="45" xfId="0" applyFont="1" applyFill="1" applyBorder="1" applyAlignment="1">
      <alignment horizontal="center" vertical="center"/>
    </xf>
    <xf numFmtId="167" fontId="65" fillId="14" borderId="70" xfId="0" applyNumberFormat="1" applyFont="1" applyFill="1" applyBorder="1" applyAlignment="1">
      <alignment horizontal="center" vertical="center" wrapText="1"/>
    </xf>
    <xf numFmtId="167" fontId="65" fillId="14" borderId="71" xfId="0" applyNumberFormat="1" applyFont="1" applyFill="1" applyBorder="1" applyAlignment="1">
      <alignment horizontal="center" vertical="center" wrapText="1"/>
    </xf>
    <xf numFmtId="0" fontId="65" fillId="14" borderId="3" xfId="0" applyFont="1" applyFill="1" applyBorder="1" applyAlignment="1">
      <alignment horizontal="center" vertical="center"/>
    </xf>
    <xf numFmtId="0" fontId="65" fillId="14" borderId="4" xfId="0" applyFont="1" applyFill="1" applyBorder="1" applyAlignment="1">
      <alignment horizontal="center" vertical="center"/>
    </xf>
    <xf numFmtId="0" fontId="65" fillId="15" borderId="3" xfId="0" applyFont="1" applyFill="1" applyBorder="1" applyAlignment="1">
      <alignment horizontal="center" vertical="center"/>
    </xf>
    <xf numFmtId="0" fontId="65" fillId="15" borderId="4" xfId="0" applyFont="1" applyFill="1" applyBorder="1" applyAlignment="1">
      <alignment horizontal="center" vertical="center"/>
    </xf>
    <xf numFmtId="0" fontId="65" fillId="14" borderId="70" xfId="0" applyFont="1" applyFill="1" applyBorder="1" applyAlignment="1">
      <alignment horizontal="center" vertical="center"/>
    </xf>
    <xf numFmtId="0" fontId="65" fillId="14" borderId="71" xfId="0" applyFont="1" applyFill="1" applyBorder="1" applyAlignment="1">
      <alignment horizontal="center" vertical="center"/>
    </xf>
    <xf numFmtId="0" fontId="65" fillId="14" borderId="70" xfId="0" applyFont="1" applyFill="1" applyBorder="1" applyAlignment="1">
      <alignment horizontal="center" vertical="center" wrapText="1"/>
    </xf>
    <xf numFmtId="0" fontId="65" fillId="14" borderId="71" xfId="0" applyFont="1" applyFill="1" applyBorder="1" applyAlignment="1">
      <alignment horizontal="center" vertical="center" wrapText="1"/>
    </xf>
    <xf numFmtId="0" fontId="65" fillId="14" borderId="51" xfId="0" applyFont="1" applyFill="1" applyBorder="1" applyAlignment="1">
      <alignment horizontal="center" vertical="center"/>
    </xf>
    <xf numFmtId="0" fontId="65" fillId="14" borderId="63" xfId="0" applyFont="1" applyFill="1" applyBorder="1" applyAlignment="1">
      <alignment horizontal="center" vertical="center"/>
    </xf>
    <xf numFmtId="0" fontId="65" fillId="14" borderId="68" xfId="0" applyFont="1" applyFill="1" applyBorder="1" applyAlignment="1">
      <alignment horizontal="center" vertical="center"/>
    </xf>
    <xf numFmtId="0" fontId="67" fillId="21" borderId="3" xfId="0" applyFont="1" applyFill="1" applyBorder="1" applyAlignment="1">
      <alignment horizontal="left" vertical="center"/>
    </xf>
    <xf numFmtId="0" fontId="67" fillId="21" borderId="5" xfId="0" applyFont="1" applyFill="1" applyBorder="1" applyAlignment="1">
      <alignment horizontal="left" vertical="center"/>
    </xf>
    <xf numFmtId="0" fontId="67" fillId="20" borderId="3" xfId="0" applyFont="1" applyFill="1" applyBorder="1" applyAlignment="1">
      <alignment horizontal="left" vertical="center"/>
    </xf>
    <xf numFmtId="0" fontId="67" fillId="20" borderId="5" xfId="0" applyFont="1" applyFill="1" applyBorder="1" applyAlignment="1">
      <alignment horizontal="left" vertical="center"/>
    </xf>
    <xf numFmtId="0" fontId="69" fillId="6" borderId="3" xfId="0" applyFont="1" applyFill="1" applyBorder="1" applyAlignment="1">
      <alignment horizontal="left" vertical="center"/>
    </xf>
    <xf numFmtId="0" fontId="69" fillId="6" borderId="5" xfId="0" applyFont="1" applyFill="1" applyBorder="1" applyAlignment="1">
      <alignment horizontal="left" vertical="center"/>
    </xf>
    <xf numFmtId="0" fontId="63" fillId="19" borderId="3" xfId="0" applyFont="1" applyFill="1" applyBorder="1" applyAlignment="1">
      <alignment horizontal="left" vertical="center"/>
    </xf>
    <xf numFmtId="0" fontId="63" fillId="19" borderId="5" xfId="0" applyFont="1" applyFill="1" applyBorder="1" applyAlignment="1">
      <alignment horizontal="left" vertical="center"/>
    </xf>
    <xf numFmtId="0" fontId="0" fillId="22" borderId="3" xfId="0" applyFill="1" applyBorder="1" applyAlignment="1">
      <alignment horizontal="left" vertical="center"/>
    </xf>
    <xf numFmtId="0" fontId="0" fillId="22" borderId="5" xfId="0" applyFill="1" applyBorder="1" applyAlignment="1">
      <alignment horizontal="left" vertical="center"/>
    </xf>
    <xf numFmtId="0" fontId="0" fillId="24" borderId="3" xfId="0" applyFill="1" applyBorder="1" applyAlignment="1">
      <alignment horizontal="left" vertical="center"/>
    </xf>
    <xf numFmtId="0" fontId="0" fillId="24" borderId="5" xfId="0" applyFill="1" applyBorder="1" applyAlignment="1">
      <alignment horizontal="left" vertical="center"/>
    </xf>
    <xf numFmtId="0" fontId="0" fillId="6" borderId="3" xfId="0" applyFill="1" applyBorder="1" applyAlignment="1">
      <alignment horizontal="left" vertical="center"/>
    </xf>
    <xf numFmtId="0" fontId="0" fillId="6" borderId="5" xfId="0" applyFill="1" applyBorder="1" applyAlignment="1">
      <alignment horizontal="left" vertical="center"/>
    </xf>
    <xf numFmtId="0" fontId="67" fillId="24" borderId="3" xfId="0" applyFont="1" applyFill="1" applyBorder="1" applyAlignment="1">
      <alignment horizontal="left" vertical="center"/>
    </xf>
    <xf numFmtId="0" fontId="67" fillId="24" borderId="5" xfId="0" applyFont="1" applyFill="1" applyBorder="1" applyAlignment="1">
      <alignment horizontal="left" vertical="center"/>
    </xf>
    <xf numFmtId="0" fontId="0" fillId="18" borderId="3" xfId="0" applyFill="1" applyBorder="1" applyAlignment="1">
      <alignment horizontal="left" vertical="center"/>
    </xf>
    <xf numFmtId="0" fontId="0" fillId="18" borderId="5" xfId="0" applyFill="1" applyBorder="1" applyAlignment="1">
      <alignment horizontal="left" vertical="center"/>
    </xf>
    <xf numFmtId="0" fontId="68" fillId="23" borderId="3" xfId="0" applyFont="1" applyFill="1" applyBorder="1" applyAlignment="1">
      <alignment horizontal="left" vertical="center"/>
    </xf>
    <xf numFmtId="0" fontId="68" fillId="23" borderId="5" xfId="0" applyFont="1" applyFill="1" applyBorder="1" applyAlignment="1">
      <alignment horizontal="left" vertical="center"/>
    </xf>
    <xf numFmtId="0" fontId="72" fillId="26" borderId="13" xfId="0" applyFont="1" applyFill="1" applyBorder="1" applyAlignment="1">
      <alignment horizontal="center" vertical="center"/>
    </xf>
    <xf numFmtId="0" fontId="72" fillId="26" borderId="15" xfId="0" applyFont="1" applyFill="1" applyBorder="1" applyAlignment="1">
      <alignment horizontal="center" vertical="center"/>
    </xf>
    <xf numFmtId="0" fontId="72" fillId="26" borderId="10" xfId="0" applyFont="1" applyFill="1" applyBorder="1" applyAlignment="1">
      <alignment horizontal="center" vertical="center"/>
    </xf>
    <xf numFmtId="0" fontId="72" fillId="26" borderId="2" xfId="0" applyFont="1" applyFill="1" applyBorder="1" applyAlignment="1">
      <alignment horizontal="center" vertical="center"/>
    </xf>
    <xf numFmtId="0" fontId="72" fillId="26" borderId="14" xfId="0" applyFont="1" applyFill="1" applyBorder="1" applyAlignment="1">
      <alignment horizontal="center" vertical="center"/>
    </xf>
    <xf numFmtId="0" fontId="72" fillId="26" borderId="16" xfId="0" applyFont="1" applyFill="1" applyBorder="1" applyAlignment="1">
      <alignment horizontal="center" vertical="center"/>
    </xf>
  </cellXfs>
  <cellStyles count="13">
    <cellStyle name="Activity" xfId="3" xr:uid="{00000000-0005-0000-0000-000000000000}"/>
    <cellStyle name="Comma" xfId="2" builtinId="3"/>
    <cellStyle name="Comma 2" xfId="1" xr:uid="{00000000-0005-0000-0000-000002000000}"/>
    <cellStyle name="Heading 1 2" xfId="6" xr:uid="{00000000-0005-0000-0000-000003000000}"/>
    <cellStyle name="Label" xfId="8" xr:uid="{00000000-0005-0000-0000-000004000000}"/>
    <cellStyle name="Normal" xfId="0" builtinId="0"/>
    <cellStyle name="Normal 2" xfId="4" xr:uid="{00000000-0005-0000-0000-000006000000}"/>
    <cellStyle name="Note" xfId="12" builtinId="10"/>
    <cellStyle name="Percent" xfId="11" builtinId="5"/>
    <cellStyle name="Percent Complete" xfId="5" xr:uid="{00000000-0005-0000-0000-000008000000}"/>
    <cellStyle name="Period Headers" xfId="10" xr:uid="{00000000-0005-0000-0000-000009000000}"/>
    <cellStyle name="Period Highlight Control" xfId="7" xr:uid="{00000000-0005-0000-0000-00000A000000}"/>
    <cellStyle name="Project Headers" xfId="9" xr:uid="{00000000-0005-0000-0000-00000B000000}"/>
  </cellStyles>
  <dxfs count="337"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darkUp">
          <fgColor theme="1"/>
          <bgColor theme="0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F66CC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externalLink" Target="externalLinks/externalLink14.xml"/><Relationship Id="rId39" Type="http://schemas.openxmlformats.org/officeDocument/2006/relationships/externalLink" Target="externalLinks/externalLink27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9.xml"/><Relationship Id="rId34" Type="http://schemas.openxmlformats.org/officeDocument/2006/relationships/externalLink" Target="externalLinks/externalLink22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33" Type="http://schemas.openxmlformats.org/officeDocument/2006/relationships/externalLink" Target="externalLinks/externalLink21.xml"/><Relationship Id="rId38" Type="http://schemas.openxmlformats.org/officeDocument/2006/relationships/externalLink" Target="externalLinks/externalLink2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openxmlformats.org/officeDocument/2006/relationships/externalLink" Target="externalLinks/externalLink17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32" Type="http://schemas.openxmlformats.org/officeDocument/2006/relationships/externalLink" Target="externalLinks/externalLink20.xml"/><Relationship Id="rId37" Type="http://schemas.openxmlformats.org/officeDocument/2006/relationships/externalLink" Target="externalLinks/externalLink25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externalLink" Target="externalLinks/externalLink16.xml"/><Relationship Id="rId36" Type="http://schemas.openxmlformats.org/officeDocument/2006/relationships/externalLink" Target="externalLinks/externalLink24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externalLink" Target="externalLinks/externalLink19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externalLink" Target="externalLinks/externalLink15.xml"/><Relationship Id="rId30" Type="http://schemas.openxmlformats.org/officeDocument/2006/relationships/externalLink" Target="externalLinks/externalLink18.xml"/><Relationship Id="rId35" Type="http://schemas.openxmlformats.org/officeDocument/2006/relationships/externalLink" Target="externalLinks/externalLink23.xml"/><Relationship Id="rId43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5">
                    <a:lumMod val="75000"/>
                  </a:schemeClr>
                </a:solidFill>
              </a:rPr>
              <a:t>Piping Fab &amp; Erec Work Load</a:t>
            </a:r>
          </a:p>
        </c:rich>
      </c:tx>
      <c:layout>
        <c:manualLayout>
          <c:xMode val="edge"/>
          <c:yMode val="edge"/>
          <c:x val="0.74057020953888386"/>
          <c:y val="3.42714732030065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1517081024111495E-2"/>
          <c:y val="8.5121174719491988E-2"/>
          <c:w val="0.93943780035943925"/>
          <c:h val="0.818877845916793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'Piping Chart'!$B$6</c:f>
              <c:strCache>
                <c:ptCount val="1"/>
                <c:pt idx="0">
                  <c:v>Total Fab. QTY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'Piping Chart'!$C$2:$N$2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'Piping Chart'!$C$6:$N$6</c:f>
              <c:numCache>
                <c:formatCode>0</c:formatCode>
                <c:ptCount val="12"/>
                <c:pt idx="0">
                  <c:v>3800</c:v>
                </c:pt>
                <c:pt idx="1">
                  <c:v>4800</c:v>
                </c:pt>
                <c:pt idx="2">
                  <c:v>8100</c:v>
                </c:pt>
                <c:pt idx="3">
                  <c:v>8500</c:v>
                </c:pt>
                <c:pt idx="4">
                  <c:v>11000</c:v>
                </c:pt>
                <c:pt idx="5">
                  <c:v>10700</c:v>
                </c:pt>
                <c:pt idx="6">
                  <c:v>10000</c:v>
                </c:pt>
                <c:pt idx="7">
                  <c:v>9050</c:v>
                </c:pt>
                <c:pt idx="8">
                  <c:v>8600</c:v>
                </c:pt>
                <c:pt idx="9">
                  <c:v>6293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A3-4FDA-9F45-BAACE83818AF}"/>
            </c:ext>
          </c:extLst>
        </c:ser>
        <c:ser>
          <c:idx val="1"/>
          <c:order val="1"/>
          <c:tx>
            <c:strRef>
              <c:f>'Piping Chart'!$B$7</c:f>
              <c:strCache>
                <c:ptCount val="1"/>
                <c:pt idx="0">
                  <c:v>Total Erec. Qty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'Piping Chart'!$C$7:$N$7</c:f>
              <c:numCache>
                <c:formatCode>0</c:formatCode>
                <c:ptCount val="12"/>
                <c:pt idx="0">
                  <c:v>0</c:v>
                </c:pt>
                <c:pt idx="1">
                  <c:v>800</c:v>
                </c:pt>
                <c:pt idx="2">
                  <c:v>2730</c:v>
                </c:pt>
                <c:pt idx="3">
                  <c:v>4300</c:v>
                </c:pt>
                <c:pt idx="4">
                  <c:v>6500</c:v>
                </c:pt>
                <c:pt idx="5">
                  <c:v>7720</c:v>
                </c:pt>
                <c:pt idx="6">
                  <c:v>8786</c:v>
                </c:pt>
                <c:pt idx="7">
                  <c:v>9339</c:v>
                </c:pt>
                <c:pt idx="8">
                  <c:v>10047</c:v>
                </c:pt>
                <c:pt idx="9">
                  <c:v>10850</c:v>
                </c:pt>
                <c:pt idx="10">
                  <c:v>9770</c:v>
                </c:pt>
                <c:pt idx="11">
                  <c:v>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A3-4FDA-9F45-BAACE83818A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029614240"/>
        <c:axId val="1849847264"/>
      </c:barChart>
      <c:catAx>
        <c:axId val="202961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9847264"/>
        <c:crosses val="autoZero"/>
        <c:auto val="1"/>
        <c:lblAlgn val="ctr"/>
        <c:lblOffset val="100"/>
        <c:noMultiLvlLbl val="0"/>
      </c:catAx>
      <c:valAx>
        <c:axId val="1849847264"/>
        <c:scaling>
          <c:orientation val="minMax"/>
          <c:max val="16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9614240"/>
        <c:crosses val="autoZero"/>
        <c:crossBetween val="between"/>
        <c:majorUnit val="200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963247564835014"/>
          <c:y val="0.19266645243450298"/>
          <c:w val="0.19607349766118226"/>
          <c:h val="2.85483189029210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" l="0" r="0" t="0.5" header="0" footer="0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chemeClr val="accent5">
                    <a:lumMod val="75000"/>
                  </a:schemeClr>
                </a:solidFill>
              </a:rPr>
              <a:t>Steel erec. QTY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'Steel Structure Chart'!$B$6</c:f>
              <c:strCache>
                <c:ptCount val="1"/>
                <c:pt idx="0">
                  <c:v>Steel erec. QTY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'Steel Structure Chart'!$C$2:$L$2</c:f>
              <c:strCache>
                <c:ptCount val="10"/>
                <c:pt idx="0">
                  <c:v>Dec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</c:strCache>
            </c:strRef>
          </c:cat>
          <c:val>
            <c:numRef>
              <c:f>'Steel Structure Chart'!$C$6:$L$6</c:f>
              <c:numCache>
                <c:formatCode>0</c:formatCode>
                <c:ptCount val="10"/>
                <c:pt idx="0">
                  <c:v>40.299999999999997</c:v>
                </c:pt>
                <c:pt idx="1">
                  <c:v>353</c:v>
                </c:pt>
                <c:pt idx="2">
                  <c:v>542.29999999999995</c:v>
                </c:pt>
                <c:pt idx="3">
                  <c:v>600</c:v>
                </c:pt>
                <c:pt idx="4">
                  <c:v>599.5</c:v>
                </c:pt>
                <c:pt idx="5">
                  <c:v>843</c:v>
                </c:pt>
                <c:pt idx="6">
                  <c:v>799</c:v>
                </c:pt>
                <c:pt idx="7">
                  <c:v>397</c:v>
                </c:pt>
                <c:pt idx="8">
                  <c:v>50</c:v>
                </c:pt>
                <c:pt idx="9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C6-46A7-852A-56C0496CB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1236912"/>
        <c:axId val="2028044608"/>
      </c:barChart>
      <c:catAx>
        <c:axId val="2121236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044608"/>
        <c:crosses val="autoZero"/>
        <c:auto val="1"/>
        <c:lblAlgn val="ctr"/>
        <c:lblOffset val="100"/>
        <c:noMultiLvlLbl val="0"/>
      </c:catAx>
      <c:valAx>
        <c:axId val="202804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QTY /TON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12369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WL!$C$3</c:f>
              <c:strCache>
                <c:ptCount val="1"/>
                <c:pt idx="0">
                  <c:v>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WL!$B$4:$B$21</c:f>
              <c:numCache>
                <c:formatCode>d\-mmm</c:formatCode>
                <c:ptCount val="18"/>
                <c:pt idx="0">
                  <c:v>44774</c:v>
                </c:pt>
                <c:pt idx="1">
                  <c:v>44804</c:v>
                </c:pt>
                <c:pt idx="2">
                  <c:v>44834</c:v>
                </c:pt>
                <c:pt idx="3">
                  <c:v>44864</c:v>
                </c:pt>
                <c:pt idx="4">
                  <c:v>44894</c:v>
                </c:pt>
                <c:pt idx="5">
                  <c:v>44924</c:v>
                </c:pt>
                <c:pt idx="6">
                  <c:v>44954</c:v>
                </c:pt>
                <c:pt idx="7">
                  <c:v>44984</c:v>
                </c:pt>
                <c:pt idx="8">
                  <c:v>45014</c:v>
                </c:pt>
                <c:pt idx="9">
                  <c:v>45044</c:v>
                </c:pt>
                <c:pt idx="10">
                  <c:v>45074</c:v>
                </c:pt>
                <c:pt idx="11">
                  <c:v>45104</c:v>
                </c:pt>
                <c:pt idx="12">
                  <c:v>45134</c:v>
                </c:pt>
                <c:pt idx="13">
                  <c:v>45164</c:v>
                </c:pt>
                <c:pt idx="14">
                  <c:v>45194</c:v>
                </c:pt>
                <c:pt idx="15">
                  <c:v>45224</c:v>
                </c:pt>
                <c:pt idx="16">
                  <c:v>45254</c:v>
                </c:pt>
                <c:pt idx="17">
                  <c:v>45284</c:v>
                </c:pt>
              </c:numCache>
            </c:numRef>
          </c:cat>
          <c:val>
            <c:numRef>
              <c:f>WL!$C$4:$C$21</c:f>
              <c:numCache>
                <c:formatCode>0%</c:formatCode>
                <c:ptCount val="18"/>
                <c:pt idx="0">
                  <c:v>0.99999999999999978</c:v>
                </c:pt>
                <c:pt idx="1">
                  <c:v>0.99999999999999978</c:v>
                </c:pt>
                <c:pt idx="2">
                  <c:v>0.99999999999999978</c:v>
                </c:pt>
                <c:pt idx="3">
                  <c:v>0.99999999999999978</c:v>
                </c:pt>
                <c:pt idx="4">
                  <c:v>0.99999999999999978</c:v>
                </c:pt>
                <c:pt idx="5">
                  <c:v>0.99999999999999978</c:v>
                </c:pt>
                <c:pt idx="6">
                  <c:v>0.99999999999999978</c:v>
                </c:pt>
                <c:pt idx="7">
                  <c:v>0.99999999999999978</c:v>
                </c:pt>
                <c:pt idx="8">
                  <c:v>0.99999999999999978</c:v>
                </c:pt>
                <c:pt idx="9">
                  <c:v>0.99999999999999978</c:v>
                </c:pt>
                <c:pt idx="10">
                  <c:v>0.99999999999999978</c:v>
                </c:pt>
                <c:pt idx="11">
                  <c:v>0.99999999999999978</c:v>
                </c:pt>
                <c:pt idx="12">
                  <c:v>0.99999999999999978</c:v>
                </c:pt>
                <c:pt idx="13">
                  <c:v>0.99999999999999978</c:v>
                </c:pt>
                <c:pt idx="14">
                  <c:v>0.99999999999999978</c:v>
                </c:pt>
                <c:pt idx="15">
                  <c:v>0.99999999999999978</c:v>
                </c:pt>
                <c:pt idx="16">
                  <c:v>0.99999999999999978</c:v>
                </c:pt>
                <c:pt idx="17">
                  <c:v>0.99999999999999978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8D-4535-834C-754DD00B3A11}"/>
            </c:ext>
          </c:extLst>
        </c:ser>
        <c:ser>
          <c:idx val="1"/>
          <c:order val="1"/>
          <c:tx>
            <c:strRef>
              <c:f>WL!$D$3</c:f>
              <c:strCache>
                <c:ptCount val="1"/>
                <c:pt idx="0">
                  <c:v>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WL!$B$4:$B$21</c:f>
              <c:numCache>
                <c:formatCode>d\-mmm</c:formatCode>
                <c:ptCount val="18"/>
                <c:pt idx="0">
                  <c:v>44774</c:v>
                </c:pt>
                <c:pt idx="1">
                  <c:v>44804</c:v>
                </c:pt>
                <c:pt idx="2">
                  <c:v>44834</c:v>
                </c:pt>
                <c:pt idx="3">
                  <c:v>44864</c:v>
                </c:pt>
                <c:pt idx="4">
                  <c:v>44894</c:v>
                </c:pt>
                <c:pt idx="5">
                  <c:v>44924</c:v>
                </c:pt>
                <c:pt idx="6">
                  <c:v>44954</c:v>
                </c:pt>
                <c:pt idx="7">
                  <c:v>44984</c:v>
                </c:pt>
                <c:pt idx="8">
                  <c:v>45014</c:v>
                </c:pt>
                <c:pt idx="9">
                  <c:v>45044</c:v>
                </c:pt>
                <c:pt idx="10">
                  <c:v>45074</c:v>
                </c:pt>
                <c:pt idx="11">
                  <c:v>45104</c:v>
                </c:pt>
                <c:pt idx="12">
                  <c:v>45134</c:v>
                </c:pt>
                <c:pt idx="13">
                  <c:v>45164</c:v>
                </c:pt>
                <c:pt idx="14">
                  <c:v>45194</c:v>
                </c:pt>
                <c:pt idx="15">
                  <c:v>45224</c:v>
                </c:pt>
                <c:pt idx="16">
                  <c:v>45254</c:v>
                </c:pt>
                <c:pt idx="17">
                  <c:v>45284</c:v>
                </c:pt>
              </c:numCache>
            </c:numRef>
          </c:cat>
          <c:val>
            <c:numRef>
              <c:f>WL!$D$4:$D$21</c:f>
              <c:numCache>
                <c:formatCode>0%</c:formatCode>
                <c:ptCount val="18"/>
                <c:pt idx="0">
                  <c:v>0.15405200358645427</c:v>
                </c:pt>
                <c:pt idx="1">
                  <c:v>0.15405200358645427</c:v>
                </c:pt>
                <c:pt idx="2">
                  <c:v>0.15405200358645427</c:v>
                </c:pt>
                <c:pt idx="3">
                  <c:v>0.15405200358645427</c:v>
                </c:pt>
                <c:pt idx="4">
                  <c:v>0.1615509292418045</c:v>
                </c:pt>
                <c:pt idx="5">
                  <c:v>0.19698281579100949</c:v>
                </c:pt>
                <c:pt idx="6">
                  <c:v>0.19698281579100949</c:v>
                </c:pt>
                <c:pt idx="7">
                  <c:v>0.28078169847257373</c:v>
                </c:pt>
                <c:pt idx="8">
                  <c:v>0.37207950680948826</c:v>
                </c:pt>
                <c:pt idx="9">
                  <c:v>0.45685962427117</c:v>
                </c:pt>
                <c:pt idx="10">
                  <c:v>0.63454190474674654</c:v>
                </c:pt>
                <c:pt idx="11">
                  <c:v>0.73734952543146215</c:v>
                </c:pt>
                <c:pt idx="12">
                  <c:v>0.76410495153511926</c:v>
                </c:pt>
                <c:pt idx="13">
                  <c:v>0.85628796680938213</c:v>
                </c:pt>
                <c:pt idx="14">
                  <c:v>0.9155766710701535</c:v>
                </c:pt>
                <c:pt idx="15">
                  <c:v>0.96148699910338653</c:v>
                </c:pt>
                <c:pt idx="16">
                  <c:v>0.98074349955169327</c:v>
                </c:pt>
                <c:pt idx="17">
                  <c:v>0.99037174977584663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8D-4535-834C-754DD00B3A11}"/>
            </c:ext>
          </c:extLst>
        </c:ser>
        <c:ser>
          <c:idx val="2"/>
          <c:order val="2"/>
          <c:tx>
            <c:strRef>
              <c:f>WL!$E$3</c:f>
              <c:strCache>
                <c:ptCount val="1"/>
                <c:pt idx="0">
                  <c:v>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WL!$B$4:$B$21</c:f>
              <c:numCache>
                <c:formatCode>d\-mmm</c:formatCode>
                <c:ptCount val="18"/>
                <c:pt idx="0">
                  <c:v>44774</c:v>
                </c:pt>
                <c:pt idx="1">
                  <c:v>44804</c:v>
                </c:pt>
                <c:pt idx="2">
                  <c:v>44834</c:v>
                </c:pt>
                <c:pt idx="3">
                  <c:v>44864</c:v>
                </c:pt>
                <c:pt idx="4">
                  <c:v>44894</c:v>
                </c:pt>
                <c:pt idx="5">
                  <c:v>44924</c:v>
                </c:pt>
                <c:pt idx="6">
                  <c:v>44954</c:v>
                </c:pt>
                <c:pt idx="7">
                  <c:v>44984</c:v>
                </c:pt>
                <c:pt idx="8">
                  <c:v>45014</c:v>
                </c:pt>
                <c:pt idx="9">
                  <c:v>45044</c:v>
                </c:pt>
                <c:pt idx="10">
                  <c:v>45074</c:v>
                </c:pt>
                <c:pt idx="11">
                  <c:v>45104</c:v>
                </c:pt>
                <c:pt idx="12">
                  <c:v>45134</c:v>
                </c:pt>
                <c:pt idx="13">
                  <c:v>45164</c:v>
                </c:pt>
                <c:pt idx="14">
                  <c:v>45194</c:v>
                </c:pt>
                <c:pt idx="15">
                  <c:v>45224</c:v>
                </c:pt>
                <c:pt idx="16">
                  <c:v>45254</c:v>
                </c:pt>
                <c:pt idx="17">
                  <c:v>45284</c:v>
                </c:pt>
              </c:numCache>
            </c:numRef>
          </c:cat>
          <c:val>
            <c:numRef>
              <c:f>WL!$E$4:$E$21</c:f>
              <c:numCache>
                <c:formatCode>0%</c:formatCode>
                <c:ptCount val="18"/>
                <c:pt idx="0">
                  <c:v>0.37105215376188871</c:v>
                </c:pt>
                <c:pt idx="1">
                  <c:v>0.43333669022106447</c:v>
                </c:pt>
                <c:pt idx="2">
                  <c:v>0.51111535296495636</c:v>
                </c:pt>
                <c:pt idx="3">
                  <c:v>0.587919501806623</c:v>
                </c:pt>
                <c:pt idx="4">
                  <c:v>0.65029192207456665</c:v>
                </c:pt>
                <c:pt idx="5">
                  <c:v>0.72263865914037551</c:v>
                </c:pt>
                <c:pt idx="6">
                  <c:v>0.7738724305134852</c:v>
                </c:pt>
                <c:pt idx="7">
                  <c:v>0.81963216849758946</c:v>
                </c:pt>
                <c:pt idx="8">
                  <c:v>0.85265025023616459</c:v>
                </c:pt>
                <c:pt idx="9">
                  <c:v>0.87585243862141671</c:v>
                </c:pt>
                <c:pt idx="10">
                  <c:v>0.89785667820891268</c:v>
                </c:pt>
                <c:pt idx="11">
                  <c:v>0.91507965235657851</c:v>
                </c:pt>
                <c:pt idx="12">
                  <c:v>0.92726571897049304</c:v>
                </c:pt>
                <c:pt idx="13">
                  <c:v>0.93945178558440756</c:v>
                </c:pt>
                <c:pt idx="14">
                  <c:v>0.95163785219832209</c:v>
                </c:pt>
                <c:pt idx="15">
                  <c:v>0.96382391881223661</c:v>
                </c:pt>
                <c:pt idx="16">
                  <c:v>0.97113555878058533</c:v>
                </c:pt>
                <c:pt idx="17">
                  <c:v>0.98495847605959685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8D-4535-834C-754DD00B3A11}"/>
            </c:ext>
          </c:extLst>
        </c:ser>
        <c:ser>
          <c:idx val="3"/>
          <c:order val="3"/>
          <c:tx>
            <c:strRef>
              <c:f>WL!$F$3</c:f>
              <c:strCache>
                <c:ptCount val="1"/>
                <c:pt idx="0">
                  <c:v>Overall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WL!$B$4:$B$21</c:f>
              <c:numCache>
                <c:formatCode>d\-mmm</c:formatCode>
                <c:ptCount val="18"/>
                <c:pt idx="0">
                  <c:v>44774</c:v>
                </c:pt>
                <c:pt idx="1">
                  <c:v>44804</c:v>
                </c:pt>
                <c:pt idx="2">
                  <c:v>44834</c:v>
                </c:pt>
                <c:pt idx="3">
                  <c:v>44864</c:v>
                </c:pt>
                <c:pt idx="4">
                  <c:v>44894</c:v>
                </c:pt>
                <c:pt idx="5">
                  <c:v>44924</c:v>
                </c:pt>
                <c:pt idx="6">
                  <c:v>44954</c:v>
                </c:pt>
                <c:pt idx="7">
                  <c:v>44984</c:v>
                </c:pt>
                <c:pt idx="8">
                  <c:v>45014</c:v>
                </c:pt>
                <c:pt idx="9">
                  <c:v>45044</c:v>
                </c:pt>
                <c:pt idx="10">
                  <c:v>45074</c:v>
                </c:pt>
                <c:pt idx="11">
                  <c:v>45104</c:v>
                </c:pt>
                <c:pt idx="12">
                  <c:v>45134</c:v>
                </c:pt>
                <c:pt idx="13">
                  <c:v>45164</c:v>
                </c:pt>
                <c:pt idx="14">
                  <c:v>45194</c:v>
                </c:pt>
                <c:pt idx="15">
                  <c:v>45224</c:v>
                </c:pt>
                <c:pt idx="16">
                  <c:v>45254</c:v>
                </c:pt>
                <c:pt idx="17">
                  <c:v>45284</c:v>
                </c:pt>
              </c:numCache>
            </c:numRef>
          </c:cat>
          <c:val>
            <c:numRef>
              <c:f>WL!$F$4:$F$21</c:f>
              <c:numCache>
                <c:formatCode>0%</c:formatCode>
                <c:ptCount val="18"/>
                <c:pt idx="0">
                  <c:v>0.12313703844916582</c:v>
                </c:pt>
                <c:pt idx="1">
                  <c:v>0.14146130648395042</c:v>
                </c:pt>
                <c:pt idx="2">
                  <c:v>0.16434193157622287</c:v>
                </c:pt>
                <c:pt idx="3">
                  <c:v>0.18717696623685201</c:v>
                </c:pt>
                <c:pt idx="4">
                  <c:v>0.20983406712461022</c:v>
                </c:pt>
                <c:pt idx="5">
                  <c:v>0.23854083873026441</c:v>
                </c:pt>
                <c:pt idx="6">
                  <c:v>0.27555402192987138</c:v>
                </c:pt>
                <c:pt idx="7">
                  <c:v>0.32778994059332817</c:v>
                </c:pt>
                <c:pt idx="8">
                  <c:v>0.38426810101122244</c:v>
                </c:pt>
                <c:pt idx="9">
                  <c:v>0.46372360218767755</c:v>
                </c:pt>
                <c:pt idx="10">
                  <c:v>0.55494510158413102</c:v>
                </c:pt>
                <c:pt idx="11">
                  <c:v>0.65196144594234051</c:v>
                </c:pt>
                <c:pt idx="12">
                  <c:v>0.72742603689412477</c:v>
                </c:pt>
                <c:pt idx="13">
                  <c:v>0.79594325993250337</c:v>
                </c:pt>
                <c:pt idx="14">
                  <c:v>0.85879716570120035</c:v>
                </c:pt>
                <c:pt idx="15">
                  <c:v>0.91221062164942746</c:v>
                </c:pt>
                <c:pt idx="16">
                  <c:v>0.94991326235052631</c:v>
                </c:pt>
                <c:pt idx="17">
                  <c:v>0.97479757941123202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8D-4535-834C-754DD00B3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1437112"/>
        <c:axId val="421437440"/>
      </c:lineChart>
      <c:dateAx>
        <c:axId val="421437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437440"/>
        <c:crosses val="autoZero"/>
        <c:auto val="1"/>
        <c:lblOffset val="100"/>
        <c:baseTimeUnit val="months"/>
      </c:dateAx>
      <c:valAx>
        <c:axId val="42143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437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16" fmlaLink="period_selected" max="60" min="1" page="10" val="6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114300</xdr:colOff>
          <xdr:row>1</xdr:row>
          <xdr:rowOff>28575</xdr:rowOff>
        </xdr:from>
        <xdr:to>
          <xdr:col>39</xdr:col>
          <xdr:colOff>161925</xdr:colOff>
          <xdr:row>1</xdr:row>
          <xdr:rowOff>276225</xdr:rowOff>
        </xdr:to>
        <xdr:sp macro="" textlink="">
          <xdr:nvSpPr>
            <xdr:cNvPr id="7169" name="Spinner 1" descr="Period Highlight Spin Control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70340</xdr:colOff>
      <xdr:row>4</xdr:row>
      <xdr:rowOff>87923</xdr:rowOff>
    </xdr:from>
    <xdr:to>
      <xdr:col>16</xdr:col>
      <xdr:colOff>468924</xdr:colOff>
      <xdr:row>35</xdr:row>
      <xdr:rowOff>123025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9140" y="814754"/>
          <a:ext cx="8323384" cy="5668040"/>
        </a:xfrm>
        <a:prstGeom prst="rect">
          <a:avLst/>
        </a:prstGeom>
      </xdr:spPr>
    </xdr:pic>
    <xdr:clientData/>
  </xdr:twoCellAnchor>
  <xdr:twoCellAnchor>
    <xdr:from>
      <xdr:col>1</xdr:col>
      <xdr:colOff>292091</xdr:colOff>
      <xdr:row>3</xdr:row>
      <xdr:rowOff>97821</xdr:rowOff>
    </xdr:from>
    <xdr:to>
      <xdr:col>9</xdr:col>
      <xdr:colOff>423390</xdr:colOff>
      <xdr:row>4</xdr:row>
      <xdr:rowOff>116708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901691" y="649614"/>
          <a:ext cx="5008099" cy="202818"/>
        </a:xfrm>
        <a:prstGeom prst="rect">
          <a:avLst/>
        </a:prstGeom>
        <a:noFill/>
        <a:ln w="76200">
          <a:solidFill>
            <a:schemeClr val="accent6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410307</xdr:colOff>
      <xdr:row>15</xdr:row>
      <xdr:rowOff>152401</xdr:rowOff>
    </xdr:from>
    <xdr:to>
      <xdr:col>10</xdr:col>
      <xdr:colOff>9378</xdr:colOff>
      <xdr:row>19</xdr:row>
      <xdr:rowOff>99646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677507" y="2878016"/>
          <a:ext cx="1427871" cy="674076"/>
        </a:xfrm>
        <a:prstGeom prst="rect">
          <a:avLst/>
        </a:prstGeom>
        <a:noFill/>
        <a:ln w="76200">
          <a:solidFill>
            <a:srgbClr val="FFC000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586154</xdr:colOff>
      <xdr:row>21</xdr:row>
      <xdr:rowOff>111367</xdr:rowOff>
    </xdr:from>
    <xdr:to>
      <xdr:col>16</xdr:col>
      <xdr:colOff>404447</xdr:colOff>
      <xdr:row>23</xdr:row>
      <xdr:rowOff>76199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7901354" y="3927229"/>
          <a:ext cx="2256693" cy="328247"/>
        </a:xfrm>
        <a:prstGeom prst="rect">
          <a:avLst/>
        </a:prstGeom>
        <a:noFill/>
        <a:ln w="76200">
          <a:solidFill>
            <a:schemeClr val="accent6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263769</xdr:colOff>
      <xdr:row>6</xdr:row>
      <xdr:rowOff>41029</xdr:rowOff>
    </xdr:from>
    <xdr:to>
      <xdr:col>16</xdr:col>
      <xdr:colOff>386862</xdr:colOff>
      <xdr:row>8</xdr:row>
      <xdr:rowOff>5860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6359769" y="1131275"/>
          <a:ext cx="3780693" cy="328247"/>
        </a:xfrm>
        <a:prstGeom prst="rect">
          <a:avLst/>
        </a:prstGeom>
        <a:noFill/>
        <a:ln w="76200">
          <a:solidFill>
            <a:schemeClr val="accent6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545124</xdr:colOff>
      <xdr:row>23</xdr:row>
      <xdr:rowOff>76198</xdr:rowOff>
    </xdr:from>
    <xdr:to>
      <xdr:col>11</xdr:col>
      <xdr:colOff>363416</xdr:colOff>
      <xdr:row>33</xdr:row>
      <xdr:rowOff>70338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421924" y="4255475"/>
          <a:ext cx="1647092" cy="1811217"/>
        </a:xfrm>
        <a:prstGeom prst="rect">
          <a:avLst/>
        </a:prstGeom>
        <a:noFill/>
        <a:ln w="76200">
          <a:solidFill>
            <a:srgbClr val="FFC000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281727</xdr:colOff>
      <xdr:row>24</xdr:row>
      <xdr:rowOff>43961</xdr:rowOff>
    </xdr:from>
    <xdr:to>
      <xdr:col>16</xdr:col>
      <xdr:colOff>469296</xdr:colOff>
      <xdr:row>27</xdr:row>
      <xdr:rowOff>68581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9425727" y="4449706"/>
          <a:ext cx="797169" cy="575339"/>
        </a:xfrm>
        <a:prstGeom prst="rect">
          <a:avLst/>
        </a:prstGeom>
        <a:noFill/>
        <a:ln w="76200">
          <a:solidFill>
            <a:schemeClr val="accent6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271669</xdr:colOff>
      <xdr:row>7</xdr:row>
      <xdr:rowOff>112641</xdr:rowOff>
    </xdr:from>
    <xdr:to>
      <xdr:col>12</xdr:col>
      <xdr:colOff>536712</xdr:colOff>
      <xdr:row>20</xdr:row>
      <xdr:rowOff>125895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7586869" y="1411354"/>
          <a:ext cx="265043" cy="2425150"/>
        </a:xfrm>
        <a:prstGeom prst="rect">
          <a:avLst/>
        </a:prstGeom>
        <a:noFill/>
        <a:ln w="76200">
          <a:solidFill>
            <a:schemeClr val="accent6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228600</xdr:colOff>
      <xdr:row>21</xdr:row>
      <xdr:rowOff>123092</xdr:rowOff>
    </xdr:from>
    <xdr:to>
      <xdr:col>12</xdr:col>
      <xdr:colOff>328247</xdr:colOff>
      <xdr:row>23</xdr:row>
      <xdr:rowOff>87924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6324600" y="3938954"/>
          <a:ext cx="1318847" cy="328247"/>
        </a:xfrm>
        <a:prstGeom prst="rect">
          <a:avLst/>
        </a:prstGeom>
        <a:noFill/>
        <a:ln w="76200">
          <a:solidFill>
            <a:srgbClr val="FFC000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263770</xdr:colOff>
      <xdr:row>27</xdr:row>
      <xdr:rowOff>160020</xdr:rowOff>
    </xdr:from>
    <xdr:to>
      <xdr:col>16</xdr:col>
      <xdr:colOff>451339</xdr:colOff>
      <xdr:row>32</xdr:row>
      <xdr:rowOff>140677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407770" y="5097780"/>
          <a:ext cx="797169" cy="895057"/>
        </a:xfrm>
        <a:prstGeom prst="rect">
          <a:avLst/>
        </a:prstGeom>
        <a:noFill/>
        <a:ln w="76200">
          <a:solidFill>
            <a:srgbClr val="FFC000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82063</xdr:colOff>
      <xdr:row>16</xdr:row>
      <xdr:rowOff>5862</xdr:rowOff>
    </xdr:from>
    <xdr:to>
      <xdr:col>11</xdr:col>
      <xdr:colOff>134817</xdr:colOff>
      <xdr:row>19</xdr:row>
      <xdr:rowOff>93786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6178063" y="2913185"/>
          <a:ext cx="662354" cy="633047"/>
        </a:xfrm>
        <a:prstGeom prst="rect">
          <a:avLst/>
        </a:prstGeom>
        <a:noFill/>
        <a:ln w="76200">
          <a:solidFill>
            <a:schemeClr val="accent6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120748</xdr:colOff>
      <xdr:row>16</xdr:row>
      <xdr:rowOff>51582</xdr:rowOff>
    </xdr:from>
    <xdr:to>
      <xdr:col>6</xdr:col>
      <xdr:colOff>607255</xdr:colOff>
      <xdr:row>21</xdr:row>
      <xdr:rowOff>104334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49548" y="2977662"/>
          <a:ext cx="2315307" cy="967152"/>
        </a:xfrm>
        <a:prstGeom prst="rect">
          <a:avLst/>
        </a:prstGeom>
        <a:noFill/>
        <a:ln w="76200">
          <a:solidFill>
            <a:schemeClr val="accent6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480060</xdr:colOff>
      <xdr:row>9</xdr:row>
      <xdr:rowOff>129540</xdr:rowOff>
    </xdr:from>
    <xdr:to>
      <xdr:col>5</xdr:col>
      <xdr:colOff>600807</xdr:colOff>
      <xdr:row>14</xdr:row>
      <xdr:rowOff>82648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2308860" y="1764909"/>
          <a:ext cx="1339947" cy="861647"/>
        </a:xfrm>
        <a:prstGeom prst="rect">
          <a:avLst/>
        </a:prstGeom>
        <a:noFill/>
        <a:ln w="76200">
          <a:solidFill>
            <a:schemeClr val="accent6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358411</xdr:colOff>
      <xdr:row>6</xdr:row>
      <xdr:rowOff>118911</xdr:rowOff>
    </xdr:from>
    <xdr:to>
      <xdr:col>11</xdr:col>
      <xdr:colOff>168063</xdr:colOff>
      <xdr:row>8</xdr:row>
      <xdr:rowOff>99848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6454411" y="1220347"/>
          <a:ext cx="419252" cy="348083"/>
        </a:xfrm>
        <a:prstGeom prst="rect">
          <a:avLst/>
        </a:prstGeom>
        <a:noFill/>
        <a:ln w="76200">
          <a:solidFill>
            <a:schemeClr val="accent6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11560</xdr:colOff>
      <xdr:row>12</xdr:row>
      <xdr:rowOff>105144</xdr:rowOff>
    </xdr:from>
    <xdr:to>
      <xdr:col>13</xdr:col>
      <xdr:colOff>430812</xdr:colOff>
      <xdr:row>14</xdr:row>
      <xdr:rowOff>86080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7936360" y="2313506"/>
          <a:ext cx="419252" cy="348997"/>
        </a:xfrm>
        <a:prstGeom prst="rect">
          <a:avLst/>
        </a:prstGeom>
        <a:noFill/>
        <a:ln w="76200">
          <a:solidFill>
            <a:schemeClr val="accent6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149994</xdr:colOff>
      <xdr:row>12</xdr:row>
      <xdr:rowOff>81894</xdr:rowOff>
    </xdr:from>
    <xdr:to>
      <xdr:col>12</xdr:col>
      <xdr:colOff>710046</xdr:colOff>
      <xdr:row>12</xdr:row>
      <xdr:rowOff>311727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0887267" y="5052212"/>
          <a:ext cx="6015279" cy="229833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432954</xdr:colOff>
      <xdr:row>22</xdr:row>
      <xdr:rowOff>88302</xdr:rowOff>
    </xdr:from>
    <xdr:to>
      <xdr:col>14</xdr:col>
      <xdr:colOff>935180</xdr:colOff>
      <xdr:row>22</xdr:row>
      <xdr:rowOff>329045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4460681" y="9214984"/>
          <a:ext cx="3775363" cy="240743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32290</xdr:colOff>
      <xdr:row>21</xdr:row>
      <xdr:rowOff>104448</xdr:rowOff>
    </xdr:from>
    <xdr:to>
      <xdr:col>13</xdr:col>
      <xdr:colOff>294409</xdr:colOff>
      <xdr:row>21</xdr:row>
      <xdr:rowOff>311728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60017" y="8815493"/>
          <a:ext cx="2444210" cy="207280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70741</xdr:colOff>
      <xdr:row>20</xdr:row>
      <xdr:rowOff>96864</xdr:rowOff>
    </xdr:from>
    <xdr:to>
      <xdr:col>16</xdr:col>
      <xdr:colOff>865909</xdr:colOff>
      <xdr:row>20</xdr:row>
      <xdr:rowOff>329046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6644241" y="8392273"/>
          <a:ext cx="4068304" cy="232182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50877</xdr:colOff>
      <xdr:row>24</xdr:row>
      <xdr:rowOff>104447</xdr:rowOff>
    </xdr:from>
    <xdr:to>
      <xdr:col>16</xdr:col>
      <xdr:colOff>935181</xdr:colOff>
      <xdr:row>24</xdr:row>
      <xdr:rowOff>311727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8806468" y="10062402"/>
          <a:ext cx="1975349" cy="207280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0</xdr:colOff>
      <xdr:row>16</xdr:row>
      <xdr:rowOff>88303</xdr:rowOff>
    </xdr:from>
    <xdr:to>
      <xdr:col>14</xdr:col>
      <xdr:colOff>727364</xdr:colOff>
      <xdr:row>16</xdr:row>
      <xdr:rowOff>329045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2209318" y="6721167"/>
          <a:ext cx="6182591" cy="240742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758770</xdr:colOff>
      <xdr:row>15</xdr:row>
      <xdr:rowOff>53666</xdr:rowOff>
    </xdr:from>
    <xdr:to>
      <xdr:col>16</xdr:col>
      <xdr:colOff>883228</xdr:colOff>
      <xdr:row>15</xdr:row>
      <xdr:rowOff>311727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1877043" y="6270893"/>
          <a:ext cx="8852821" cy="258061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725307</xdr:colOff>
      <xdr:row>14</xdr:row>
      <xdr:rowOff>86592</xdr:rowOff>
    </xdr:from>
    <xdr:to>
      <xdr:col>13</xdr:col>
      <xdr:colOff>432955</xdr:colOff>
      <xdr:row>14</xdr:row>
      <xdr:rowOff>311727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11843580" y="5888183"/>
          <a:ext cx="5162875" cy="225135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644882</xdr:colOff>
      <xdr:row>13</xdr:row>
      <xdr:rowOff>80720</xdr:rowOff>
    </xdr:from>
    <xdr:to>
      <xdr:col>13</xdr:col>
      <xdr:colOff>903187</xdr:colOff>
      <xdr:row>13</xdr:row>
      <xdr:rowOff>290593</xdr:rowOff>
    </xdr:to>
    <xdr:sp macro="" textlink="">
      <xdr:nvSpPr>
        <xdr:cNvPr id="21" name="Rounded Rectangl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13945246" y="5466675"/>
          <a:ext cx="3531441" cy="209873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16143</xdr:colOff>
      <xdr:row>17</xdr:row>
      <xdr:rowOff>78530</xdr:rowOff>
    </xdr:from>
    <xdr:to>
      <xdr:col>13</xdr:col>
      <xdr:colOff>813954</xdr:colOff>
      <xdr:row>17</xdr:row>
      <xdr:rowOff>311727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12225461" y="7127030"/>
          <a:ext cx="5161993" cy="233197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1081652</xdr:colOff>
      <xdr:row>18</xdr:row>
      <xdr:rowOff>72160</xdr:rowOff>
    </xdr:from>
    <xdr:to>
      <xdr:col>16</xdr:col>
      <xdr:colOff>346363</xdr:colOff>
      <xdr:row>18</xdr:row>
      <xdr:rowOff>294409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14018334" y="7536296"/>
          <a:ext cx="5810984" cy="222249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355170</xdr:colOff>
      <xdr:row>19</xdr:row>
      <xdr:rowOff>80720</xdr:rowOff>
    </xdr:from>
    <xdr:to>
      <xdr:col>17</xdr:col>
      <xdr:colOff>536863</xdr:colOff>
      <xdr:row>19</xdr:row>
      <xdr:rowOff>329045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13655534" y="7960493"/>
          <a:ext cx="7819011" cy="248325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177584</xdr:colOff>
      <xdr:row>6</xdr:row>
      <xdr:rowOff>102736</xdr:rowOff>
    </xdr:from>
    <xdr:to>
      <xdr:col>15</xdr:col>
      <xdr:colOff>1004454</xdr:colOff>
      <xdr:row>6</xdr:row>
      <xdr:rowOff>311727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8143948" y="3202691"/>
          <a:ext cx="10646279" cy="208991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345287</xdr:colOff>
      <xdr:row>23</xdr:row>
      <xdr:rowOff>104447</xdr:rowOff>
    </xdr:from>
    <xdr:to>
      <xdr:col>12</xdr:col>
      <xdr:colOff>762000</xdr:colOff>
      <xdr:row>23</xdr:row>
      <xdr:rowOff>294409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3645651" y="9646765"/>
          <a:ext cx="2598804" cy="189962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608339</xdr:colOff>
      <xdr:row>9</xdr:row>
      <xdr:rowOff>88445</xdr:rowOff>
    </xdr:from>
    <xdr:to>
      <xdr:col>14</xdr:col>
      <xdr:colOff>553579</xdr:colOff>
      <xdr:row>48</xdr:row>
      <xdr:rowOff>163286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674687</xdr:colOff>
      <xdr:row>5</xdr:row>
      <xdr:rowOff>106437</xdr:rowOff>
    </xdr:from>
    <xdr:to>
      <xdr:col>11</xdr:col>
      <xdr:colOff>1567656</xdr:colOff>
      <xdr:row>5</xdr:row>
      <xdr:rowOff>317500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2104687" y="2586906"/>
          <a:ext cx="9723438" cy="211063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1238251</xdr:colOff>
      <xdr:row>10</xdr:row>
      <xdr:rowOff>72158</xdr:rowOff>
    </xdr:from>
    <xdr:to>
      <xdr:col>12</xdr:col>
      <xdr:colOff>514351</xdr:colOff>
      <xdr:row>10</xdr:row>
      <xdr:rowOff>361950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9773901" y="4682258"/>
          <a:ext cx="2819400" cy="289792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873125</xdr:colOff>
      <xdr:row>8</xdr:row>
      <xdr:rowOff>84420</xdr:rowOff>
    </xdr:from>
    <xdr:to>
      <xdr:col>11</xdr:col>
      <xdr:colOff>1111250</xdr:colOff>
      <xdr:row>8</xdr:row>
      <xdr:rowOff>337344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2521406" y="3993639"/>
          <a:ext cx="7302500" cy="252924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198437</xdr:colOff>
      <xdr:row>13</xdr:row>
      <xdr:rowOff>74829</xdr:rowOff>
    </xdr:from>
    <xdr:to>
      <xdr:col>13</xdr:col>
      <xdr:colOff>1647031</xdr:colOff>
      <xdr:row>13</xdr:row>
      <xdr:rowOff>377031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6962437" y="5942229"/>
          <a:ext cx="8535194" cy="302202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1170782</xdr:colOff>
      <xdr:row>16</xdr:row>
      <xdr:rowOff>72159</xdr:rowOff>
    </xdr:from>
    <xdr:to>
      <xdr:col>12</xdr:col>
      <xdr:colOff>257969</xdr:colOff>
      <xdr:row>16</xdr:row>
      <xdr:rowOff>317500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8117345" y="6898409"/>
          <a:ext cx="2619374" cy="245341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99218</xdr:colOff>
      <xdr:row>12</xdr:row>
      <xdr:rowOff>106436</xdr:rowOff>
    </xdr:from>
    <xdr:to>
      <xdr:col>13</xdr:col>
      <xdr:colOff>380999</xdr:colOff>
      <xdr:row>12</xdr:row>
      <xdr:rowOff>304800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15091568" y="5554736"/>
          <a:ext cx="9140031" cy="198364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1071562</xdr:colOff>
      <xdr:row>7</xdr:row>
      <xdr:rowOff>84420</xdr:rowOff>
    </xdr:from>
    <xdr:to>
      <xdr:col>9</xdr:col>
      <xdr:colOff>1508125</xdr:colOff>
      <xdr:row>7</xdr:row>
      <xdr:rowOff>317500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10953750" y="3576920"/>
          <a:ext cx="5734844" cy="233080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1113631</xdr:colOff>
      <xdr:row>6</xdr:row>
      <xdr:rowOff>73898</xdr:rowOff>
    </xdr:from>
    <xdr:to>
      <xdr:col>7</xdr:col>
      <xdr:colOff>1686719</xdr:colOff>
      <xdr:row>6</xdr:row>
      <xdr:rowOff>337344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10995819" y="3149679"/>
          <a:ext cx="2339181" cy="263446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1150938</xdr:colOff>
      <xdr:row>9</xdr:row>
      <xdr:rowOff>72159</xdr:rowOff>
    </xdr:from>
    <xdr:to>
      <xdr:col>11</xdr:col>
      <xdr:colOff>19843</xdr:colOff>
      <xdr:row>9</xdr:row>
      <xdr:rowOff>337343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12799219" y="4219503"/>
          <a:ext cx="5933280" cy="265184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1468436</xdr:colOff>
      <xdr:row>11</xdr:row>
      <xdr:rowOff>91354</xdr:rowOff>
    </xdr:from>
    <xdr:to>
      <xdr:col>12</xdr:col>
      <xdr:colOff>1686718</xdr:colOff>
      <xdr:row>11</xdr:row>
      <xdr:rowOff>317500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14664530" y="5072135"/>
          <a:ext cx="9048751" cy="226146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59531</xdr:colOff>
      <xdr:row>14</xdr:row>
      <xdr:rowOff>108168</xdr:rowOff>
    </xdr:from>
    <xdr:to>
      <xdr:col>11</xdr:col>
      <xdr:colOff>595312</xdr:colOff>
      <xdr:row>14</xdr:row>
      <xdr:rowOff>297656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18553906" y="6339106"/>
          <a:ext cx="2301875" cy="189488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1210468</xdr:colOff>
      <xdr:row>17</xdr:row>
      <xdr:rowOff>85657</xdr:rowOff>
    </xdr:from>
    <xdr:to>
      <xdr:col>12</xdr:col>
      <xdr:colOff>990600</xdr:colOff>
      <xdr:row>17</xdr:row>
      <xdr:rowOff>304800</xdr:rowOff>
    </xdr:to>
    <xdr:sp macro="" textlink="">
      <xdr:nvSpPr>
        <xdr:cNvPr id="21" name="Rounded Rectangle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19746118" y="7629457"/>
          <a:ext cx="3323432" cy="219143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218282</xdr:colOff>
      <xdr:row>15</xdr:row>
      <xdr:rowOff>72161</xdr:rowOff>
    </xdr:from>
    <xdr:to>
      <xdr:col>15</xdr:col>
      <xdr:colOff>1066800</xdr:colOff>
      <xdr:row>15</xdr:row>
      <xdr:rowOff>304801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24068882" y="6777761"/>
          <a:ext cx="4391818" cy="232640"/>
        </a:xfrm>
        <a:prstGeom prst="roundRect">
          <a:avLst/>
        </a:prstGeom>
        <a:solidFill>
          <a:schemeClr val="accent1">
            <a:alpha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8</xdr:row>
      <xdr:rowOff>128587</xdr:rowOff>
    </xdr:from>
    <xdr:to>
      <xdr:col>10</xdr:col>
      <xdr:colOff>0</xdr:colOff>
      <xdr:row>25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47625</xdr:rowOff>
    </xdr:from>
    <xdr:to>
      <xdr:col>0</xdr:col>
      <xdr:colOff>1352550</xdr:colOff>
      <xdr:row>0</xdr:row>
      <xdr:rowOff>371475</xdr:rowOff>
    </xdr:to>
    <xdr:sp macro="[0]!workload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7625" y="47625"/>
          <a:ext cx="1304925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Get</a:t>
          </a:r>
          <a:r>
            <a:rPr lang="en-US" sz="1100" b="1" baseline="0"/>
            <a:t> Workload</a:t>
          </a:r>
          <a:endParaRPr lang="en-US" sz="1100" b="1"/>
        </a:p>
      </xdr:txBody>
    </xdr:sp>
    <xdr:clientData/>
  </xdr:twoCellAnchor>
  <xdr:twoCellAnchor>
    <xdr:from>
      <xdr:col>7</xdr:col>
      <xdr:colOff>118533</xdr:colOff>
      <xdr:row>1</xdr:row>
      <xdr:rowOff>177798</xdr:rowOff>
    </xdr:from>
    <xdr:to>
      <xdr:col>16</xdr:col>
      <xdr:colOff>436033</xdr:colOff>
      <xdr:row>19</xdr:row>
      <xdr:rowOff>42333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5422900" y="643465"/>
          <a:ext cx="6108700" cy="31411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 u="sng"/>
            <a:t>How</a:t>
          </a:r>
          <a:r>
            <a:rPr lang="en-US" sz="1600" b="1" u="sng" baseline="0"/>
            <a:t> to use:</a:t>
          </a:r>
        </a:p>
        <a:p>
          <a:endParaRPr lang="en-US" sz="1100" baseline="0"/>
        </a:p>
        <a:p>
          <a:r>
            <a:rPr lang="en-US" sz="1300" b="1" u="sng" baseline="0"/>
            <a:t>For date:</a:t>
          </a:r>
        </a:p>
        <a:p>
          <a:r>
            <a:rPr lang="en-US" sz="1300" baseline="0"/>
            <a:t>1- Enter the list of dates which you want to capture project paramteres starting from cell (B4) to down</a:t>
          </a:r>
        </a:p>
        <a:p>
          <a:r>
            <a:rPr lang="en-US" sz="1300" baseline="0"/>
            <a:t>2- make control sheet date cell equall to cell (B1)</a:t>
          </a:r>
        </a:p>
        <a:p>
          <a:endParaRPr lang="en-US" sz="1300" baseline="0"/>
        </a:p>
        <a:p>
          <a:r>
            <a:rPr lang="en-US" sz="1300" b="1" u="sng" baseline="0"/>
            <a:t>For parameter:</a:t>
          </a:r>
        </a:p>
        <a:p>
          <a:r>
            <a:rPr lang="en-US" sz="13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1- Add parameters-names starting from cell (C3) to right direction</a:t>
          </a:r>
          <a:endParaRPr lang="en-US" sz="1300">
            <a:effectLst/>
          </a:endParaRPr>
        </a:p>
        <a:p>
          <a:r>
            <a:rPr lang="en-US" sz="13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2- Distribute paramters-values starting from cell (C1) to right direction</a:t>
          </a:r>
          <a:endParaRPr lang="en-US" sz="1300">
            <a:effectLst/>
          </a:endParaRPr>
        </a:p>
        <a:p>
          <a:endParaRPr lang="en-US" sz="1300"/>
        </a:p>
        <a:p>
          <a:r>
            <a:rPr lang="en-US" sz="1300"/>
            <a:t>3- press (Get Workload)</a:t>
          </a:r>
          <a:r>
            <a:rPr lang="en-US" sz="1300" baseline="0"/>
            <a:t> </a:t>
          </a:r>
          <a:r>
            <a:rPr lang="en-US" sz="13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button and enjoy parameters workload!</a:t>
          </a:r>
          <a:endParaRPr lang="en-US" sz="1300">
            <a:effectLst/>
          </a:endParaRPr>
        </a:p>
        <a:p>
          <a:endParaRPr lang="en-US" sz="13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1" u="sng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Warning: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don't insert or delete  any row/column to ensure functions are working correctly</a:t>
          </a:r>
          <a:endParaRPr lang="en-US" sz="1300">
            <a:effectLst/>
          </a:endParaRPr>
        </a:p>
        <a:p>
          <a:endParaRPr lang="en-US" sz="1100"/>
        </a:p>
      </xdr:txBody>
    </xdr:sp>
    <xdr:clientData/>
  </xdr:twoCellAnchor>
  <xdr:twoCellAnchor>
    <xdr:from>
      <xdr:col>7</xdr:col>
      <xdr:colOff>148166</xdr:colOff>
      <xdr:row>2</xdr:row>
      <xdr:rowOff>103717</xdr:rowOff>
    </xdr:from>
    <xdr:to>
      <xdr:col>17</xdr:col>
      <xdr:colOff>387349</xdr:colOff>
      <xdr:row>19</xdr:row>
      <xdr:rowOff>110067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cnimont-my.sharepoint.com/personal/l_bartocci_kt-met_it/Documents/Documents/Desktop%20LARA/K411-390-0-PP%206001/TB-XLS_CP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rithym\Local%20Settings\Temporary%20Internet%20Files\Content.Outlook\VPT0YCDN\Rits%20Docz\DXB%20-%20014%20Project\Tracking%20Schedule\AX%20014%20Base%20Line%20Tracking%20Schedul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kprojects.worleyparsons.com/AGIP%20KCO/Onshore%20Plant/Technical/Mechanical/Data%20Sheets/AIRCOOLERS/Issued%20for%20Internal%20Review%20(Feb%202003)/360HC013%20revP0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eq.%20status%2027-04-201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kprojects.worleyparsons.com/SHEARWTR/MECHANIC/MAINGEN/DATASHT/DS015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icbfscl6\Projects2011\SHEARWTR\MECHANIC\MAINGEN\DATASHT\DS015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1715\AppData\Local\Microsoft\Windows\Temporary%20Internet%20Files\Content.Outlook\GM1SVTPB\tecnomare\Elenchi_vari\linee\SHEARWTR\MECHANIC\MAINGEN\DATASHT\DS015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icbfscl6\Projects2011\Tcm%20Jobs\3611-KNPC\GENERAL\FORMATS\3611-GG-SE-D-211-3-58-012_P211-003AB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%20and%20Settings\User\Desktop\TANKS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Sulphur\Projects\180477%20Nizhnekamsk\Process%20Design%20Package\8.0%20Utility%20Requirements\Master\front%20pag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cnimont.sharepoint.com/Users/balzi/Desktop/TCM-KT/Liste%20e%20codifiche%20KT%20-%20procedure/Deliverable/formati/formato_dl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35.10.158\Zohr%20Project\Users\noco5908\AppData\Roaming\OpenText\DM\Temp\Documents%20and%20Settings\noco5364\Desktop\HHI%20MC%20date%2010162012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35.10.158\Zohr%20Project\Documents%20and%20Settings\noco5364\Local%20Settings\Temporary%20Internet%20Files\OLK28\Comm%206%20Milestones\Copy%20of%20Goliat%20PJT_HHI%20RFC%20Dates_130117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ndc02\projects\BHP%20180279\Electrical\Load%20Schedule\BHPLoadScheduleRev1A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Mechanic\PROJECTS\Habshan\Mechanical%20Datasheets\450-E-103%20&amp;%20450-V-103%20-%20RF%20Waste%20heat%20boiler%20+%20steam%20drum\Working%20Copy\Rev%201\Final%20SP-450-E-103%20%20Rev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ohamed%20El%20sayyad\AppData\Local\Microsoft\Windows\INetCache\Content.Outlook\3J0HH5YR\180509_Mechanical%20Completion%20Status%20(By%20Area)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35.10.158\Zohr%20Project\Users\noco5364\AppData\Roaming\OpenText\DM\Temp\data\BP%20Skarv%20Nov07\Completions%20&amp;%20Commissioning\Planning\Commissioning%20Execution%20Planning\Topsides%20MC%20Dates%20%20MC%20Skyline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ndc02\projects\Documents%20and%20Settings\P0074003\Desktop\HYSYS_MB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ohsen%20Elashry\Desktop\180326_Punchlist%20Status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032133_Safco_V\AUS\AU01%20Design%20Basis\Item%20List\Rev.07\SF5-530-P1-EL-201_07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ndc02\projects\Process%20Units\UNIT%20331\Parsons%20Package\Package%20Deliverables%20-%20ISSUE%20FOR%20FEED%20F01\Section%2005%20-%20Heat%20And%20Material%20Balance\Heat%20&amp;%20Material%20Balance_F01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psv000u\GROUPS\TEMP\SAMPLING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11.Ramp-up\4.%20QTYs%20Control%20Sheet\4.1%20H.T%20&amp;%20Reinst\Leak%20Test\2019\04%20April-2019\T7%20&amp;%20S21%20%20180419_LTP%20vs%20TP%20%2030-04-2019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napp03\encompass\agip\ke00\issued\datasheets\KE01.A1.430.KD.R.TD.0645.000.P01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35.10.158\Zohr%20Project\Users\noco5908\AppData\Roaming\OpenText\DM\Temp\data\BP%20Skarv%20Nov07\Completions%20&amp;%20Commissioning\Planning\Commissioning%20Execution%20Planning\Topsides%20MC%20Dates%20%20MC%20Skyline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p08170\Desktop\MC%20Report\ACS%20MC%20control%20sheet%2017-9-2021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icbfs\3403-PE-NKNK\3225%20PP%20NKNK\MR\GP-MR-004\3225-GP-SE-004%20Rev.0%20%20DS%20for%20PK401%20Gas%20Recirculation%20Compresso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B XLS"/>
      <sheetName val="TB-XLS_CP"/>
    </sheetNames>
    <definedNames>
      <definedName name="_1Module_P_.ProjDataOk" refersTo="#REF!"/>
      <definedName name="_2module4_1_.begin_macro" refersTo="#REF!"/>
      <definedName name="AnzeigenDropTxt_BeiKlick" refersTo="#REF!"/>
      <definedName name="CRACK" refersTo="#REF!"/>
      <definedName name="DropTxt_BeiÄnderung" refersTo="#REF!"/>
      <definedName name="DropTxtHinzufügen_BeiKlick" refersTo="#REF!"/>
      <definedName name="DropTxtLöschen_BeiKlick" refersTo="#REF!"/>
      <definedName name="editbos50" refersTo="#REF!"/>
      <definedName name="editbox" refersTo="#REF!"/>
      <definedName name="editbox011" refersTo="#REF!"/>
      <definedName name="editbox1" refersTo="#REF!"/>
      <definedName name="editbox10" refersTo="#REF!"/>
      <definedName name="editbox100" refersTo="#REF!"/>
      <definedName name="editbox11" refersTo="#REF!"/>
      <definedName name="editbox1117" refersTo="#REF!"/>
      <definedName name="editbox12" refersTo="#REF!"/>
      <definedName name="editbox13" refersTo="#REF!"/>
      <definedName name="editbox14" refersTo="#REF!"/>
      <definedName name="editbox15" refersTo="#REF!"/>
      <definedName name="editbox17" refersTo="#REF!"/>
      <definedName name="editbox2" refersTo="#REF!"/>
      <definedName name="editbox3" refersTo="#REF!"/>
      <definedName name="editbox30" refersTo="#REF!"/>
      <definedName name="editbox4" refersTo="#REF!"/>
      <definedName name="editbox40" refersTo="#REF!"/>
      <definedName name="editbox5" refersTo="#REF!"/>
      <definedName name="editbox8" refersTo="#REF!"/>
      <definedName name="editbox80" refersTo="#REF!"/>
      <definedName name="EDITBOX80A" refersTo="#REF!"/>
      <definedName name="EDITBOX8A" refersTo="#REF!"/>
      <definedName name="editbox9" refersTo="#REF!"/>
      <definedName name="editbox90" refersTo="#REF!"/>
      <definedName name="OK_Kont_BeiKlick" refersTo="#REF!"/>
      <definedName name="ProjDataOk" refersTo="#REF!"/>
      <definedName name="Project_No_eingeben" refersTo="#REF!"/>
    </definedNames>
    <sheetDataSet>
      <sheetData sheetId="0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A"/>
      <sheetName val="MEP Site Survey Report"/>
      <sheetName val="SCR"/>
      <sheetName val="MATRIX OF RESPOSIBILITIES"/>
      <sheetName val="Proposed List of Subcontractor"/>
      <sheetName val="SCOPE OF WORK "/>
      <sheetName val="WORK NOTIFICATION"/>
      <sheetName val="List of Long Load Material"/>
      <sheetName val="Material Submittal"/>
      <sheetName val="Method Statement"/>
      <sheetName val="SD A3"/>
      <sheetName val="SD A4"/>
      <sheetName val="Summary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Sheet"/>
      <sheetName val="  Sheet 2 Revision"/>
      <sheetName val="Sheet 3 Data Sum 2 "/>
      <sheetName val="Sheet 4 Data Win 1 "/>
      <sheetName val="Sheet 4 Data Win 2"/>
      <sheetName val="Sheet 6 Notes"/>
      <sheetName val="Sheet 7 Inspection"/>
      <sheetName val="Air Cooler-E"/>
      <sheetName val="Air Cooler-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>
        <row r="2">
          <cell r="N2" t="str">
            <v>AIR COOLED EXCHANGER</v>
          </cell>
        </row>
        <row r="4">
          <cell r="D4" t="str">
            <v>Customer and plant location</v>
          </cell>
          <cell r="M4" t="str">
            <v>AGIP KCO</v>
          </cell>
        </row>
        <row r="5">
          <cell r="D5" t="str">
            <v>Project</v>
          </cell>
          <cell r="H5" t="str">
            <v>KASHAGAN EAST FIELD DEVELOPMENT</v>
          </cell>
        </row>
        <row r="6">
          <cell r="D6" t="str">
            <v>Service</v>
          </cell>
          <cell r="H6" t="str">
            <v>2ND STAGE LP FLASH GAS COMPRESSOR AFTER COOLER</v>
          </cell>
          <cell r="T6" t="str">
            <v>Unit</v>
          </cell>
        </row>
        <row r="7">
          <cell r="D7" t="str">
            <v>Manufacturer</v>
          </cell>
        </row>
        <row r="8">
          <cell r="D8" t="str">
            <v>Size &amp; Type    Note (3) (5)</v>
          </cell>
          <cell r="T8" t="str">
            <v>o</v>
          </cell>
          <cell r="U8" t="str">
            <v>Induced</v>
          </cell>
        </row>
        <row r="9">
          <cell r="D9" t="str">
            <v>Surface per unit - Finned area</v>
          </cell>
          <cell r="M9" t="str">
            <v>*</v>
          </cell>
          <cell r="S9" t="str">
            <v>m²</v>
          </cell>
          <cell r="T9" t="str">
            <v>Bare Area</v>
          </cell>
        </row>
        <row r="10">
          <cell r="D10" t="str">
            <v>Heat Exchanged</v>
          </cell>
          <cell r="K10" t="str">
            <v>4634 (1)</v>
          </cell>
          <cell r="S10" t="str">
            <v>kW</v>
          </cell>
          <cell r="T10" t="str">
            <v>MTD (effective)</v>
          </cell>
        </row>
        <row r="11">
          <cell r="D11" t="str">
            <v>Transfer Rate:- Finned area, service</v>
          </cell>
          <cell r="O11" t="str">
            <v>*</v>
          </cell>
          <cell r="S11" t="str">
            <v>W/m²°C</v>
          </cell>
          <cell r="T11" t="str">
            <v>Bare tube area, service</v>
          </cell>
        </row>
        <row r="12">
          <cell r="D12" t="str">
            <v>PERFORMANCE DATA - TUBE SIDE</v>
          </cell>
        </row>
        <row r="13">
          <cell r="D13" t="str">
            <v>Fluid Name</v>
          </cell>
          <cell r="J13" t="str">
            <v>FLASH GAS</v>
          </cell>
          <cell r="R13" t="str">
            <v>Lethal Service</v>
          </cell>
        </row>
        <row r="14">
          <cell r="D14" t="str">
            <v>Total fluid entering   kg/h</v>
          </cell>
          <cell r="L14" t="str">
            <v>121351 (1)</v>
          </cell>
        </row>
        <row r="15">
          <cell r="L15" t="str">
            <v>IN</v>
          </cell>
          <cell r="O15" t="str">
            <v>OUT</v>
          </cell>
        </row>
        <row r="16">
          <cell r="D16" t="str">
            <v>Temperature</v>
          </cell>
          <cell r="K16" t="str">
            <v>°C</v>
          </cell>
          <cell r="L16">
            <v>142.6</v>
          </cell>
          <cell r="O16">
            <v>86</v>
          </cell>
          <cell r="R16" t="str">
            <v>Density</v>
          </cell>
        </row>
        <row r="17">
          <cell r="D17" t="str">
            <v>Liquid</v>
          </cell>
          <cell r="K17" t="str">
            <v>kg/s</v>
          </cell>
          <cell r="R17" t="str">
            <v>Spec. heat Capacity</v>
          </cell>
        </row>
        <row r="18">
          <cell r="D18" t="str">
            <v>Vapour</v>
          </cell>
          <cell r="K18" t="str">
            <v>kg/s</v>
          </cell>
          <cell r="L18" t="str">
            <v>33.71(1)</v>
          </cell>
          <cell r="O18" t="str">
            <v>33.71(1)</v>
          </cell>
          <cell r="R18" t="str">
            <v>Viscosity</v>
          </cell>
        </row>
        <row r="19">
          <cell r="D19" t="str">
            <v>Noncond.</v>
          </cell>
          <cell r="K19" t="str">
            <v>kg/s</v>
          </cell>
          <cell r="R19" t="str">
            <v>Thermal Conductivity</v>
          </cell>
        </row>
        <row r="20">
          <cell r="D20" t="str">
            <v>Steam</v>
          </cell>
          <cell r="K20" t="str">
            <v>kg/s</v>
          </cell>
          <cell r="R20" t="str">
            <v>(pour)(freeze) point</v>
          </cell>
        </row>
        <row r="21">
          <cell r="D21" t="str">
            <v>Water</v>
          </cell>
          <cell r="K21" t="str">
            <v>kg/s</v>
          </cell>
          <cell r="R21" t="str">
            <v>Bubble point</v>
          </cell>
        </row>
        <row r="22">
          <cell r="D22" t="str">
            <v>Inlet Pressure</v>
          </cell>
          <cell r="K22" t="str">
            <v>bar(g)</v>
          </cell>
          <cell r="L22">
            <v>68.5</v>
          </cell>
          <cell r="R22" t="str">
            <v>Latent heat</v>
          </cell>
        </row>
        <row r="23">
          <cell r="D23" t="str">
            <v>Press drop (allow / calc)</v>
          </cell>
          <cell r="K23" t="str">
            <v>bar</v>
          </cell>
          <cell r="L23" t="str">
            <v>0.7 / *</v>
          </cell>
          <cell r="R23" t="str">
            <v>Fouling inside</v>
          </cell>
        </row>
        <row r="25">
          <cell r="D25" t="str">
            <v>PERFORMANCE DATA - AIR SIDE</v>
          </cell>
        </row>
        <row r="26">
          <cell r="D26" t="str">
            <v>Air quantity, total</v>
          </cell>
          <cell r="K26" t="str">
            <v>*</v>
          </cell>
          <cell r="R26" t="str">
            <v>act m³/s</v>
          </cell>
          <cell r="T26" t="str">
            <v>Altitude above sea level</v>
          </cell>
        </row>
        <row r="27">
          <cell r="D27" t="str">
            <v>Air quantity / fan</v>
          </cell>
          <cell r="K27" t="str">
            <v>*</v>
          </cell>
          <cell r="R27" t="str">
            <v>act m³/s</v>
          </cell>
          <cell r="T27" t="str">
            <v>Temperature In (design dry bulb)</v>
          </cell>
        </row>
        <row r="28">
          <cell r="D28" t="str">
            <v>Static Pressure drop</v>
          </cell>
          <cell r="K28" t="str">
            <v>*</v>
          </cell>
          <cell r="R28" t="str">
            <v>Pa</v>
          </cell>
          <cell r="T28" t="str">
            <v>Temperature Out</v>
          </cell>
        </row>
        <row r="29">
          <cell r="D29" t="str">
            <v>Face Velocity</v>
          </cell>
          <cell r="K29" t="str">
            <v>*</v>
          </cell>
          <cell r="R29" t="str">
            <v>m/s</v>
          </cell>
          <cell r="T29" t="str">
            <v>Minimum Design Ambient Temp.</v>
          </cell>
        </row>
        <row r="31">
          <cell r="D31" t="str">
            <v>DESIGN - MATERIALS - CONSTRUCTION</v>
          </cell>
        </row>
        <row r="32">
          <cell r="D32" t="str">
            <v>Design code : ASME VIII Div 1 Latest Edition, BS EN ISO 13706 Latest Edition.</v>
          </cell>
        </row>
        <row r="33">
          <cell r="D33" t="str">
            <v>Design pressure</v>
          </cell>
          <cell r="K33">
            <v>80</v>
          </cell>
          <cell r="O33" t="str">
            <v>bar g</v>
          </cell>
          <cell r="P33" t="str">
            <v>Test pressure</v>
          </cell>
          <cell r="U33" t="str">
            <v>TO CODE</v>
          </cell>
        </row>
        <row r="34">
          <cell r="D34" t="str">
            <v>Tube bundle</v>
          </cell>
          <cell r="P34" t="str">
            <v>Header</v>
          </cell>
        </row>
        <row r="35">
          <cell r="D35" t="str">
            <v>Size (width x length)</v>
          </cell>
          <cell r="K35" t="str">
            <v>NOTE (3)</v>
          </cell>
          <cell r="O35" t="str">
            <v>m</v>
          </cell>
          <cell r="P35" t="str">
            <v>Type</v>
          </cell>
          <cell r="S35" t="str">
            <v>*</v>
          </cell>
        </row>
        <row r="36">
          <cell r="D36" t="str">
            <v>No per bay</v>
          </cell>
          <cell r="J36" t="str">
            <v>*</v>
          </cell>
          <cell r="K36" t="str">
            <v>No tube rows</v>
          </cell>
          <cell r="N36" t="str">
            <v>*</v>
          </cell>
          <cell r="P36" t="str">
            <v>Material</v>
          </cell>
          <cell r="S36" t="str">
            <v>INCOLOY 825</v>
          </cell>
        </row>
        <row r="37">
          <cell r="D37" t="str">
            <v>Arrangement</v>
          </cell>
          <cell r="P37" t="str">
            <v>No Passes</v>
          </cell>
          <cell r="S37" t="str">
            <v>*</v>
          </cell>
        </row>
        <row r="38">
          <cell r="D38" t="str">
            <v>Bundles</v>
          </cell>
          <cell r="H38" t="str">
            <v>*</v>
          </cell>
          <cell r="I38" t="str">
            <v>In Parallel</v>
          </cell>
          <cell r="L38" t="str">
            <v>*</v>
          </cell>
          <cell r="M38" t="str">
            <v>In Series</v>
          </cell>
          <cell r="P38" t="str">
            <v>Plug Material</v>
          </cell>
          <cell r="T38" t="str">
            <v>*</v>
          </cell>
        </row>
        <row r="39">
          <cell r="D39" t="str">
            <v>Bays</v>
          </cell>
          <cell r="H39" t="str">
            <v>*</v>
          </cell>
          <cell r="I39" t="str">
            <v>In Parallel</v>
          </cell>
          <cell r="L39" t="str">
            <v>*</v>
          </cell>
          <cell r="M39" t="str">
            <v>In Series</v>
          </cell>
          <cell r="P39" t="str">
            <v>Gasket Material</v>
          </cell>
          <cell r="T39" t="str">
            <v>*</v>
          </cell>
        </row>
        <row r="40">
          <cell r="D40" t="str">
            <v>Bundle Frame</v>
          </cell>
          <cell r="P40" t="str">
            <v>Corrosion allow.</v>
          </cell>
          <cell r="T40" t="str">
            <v>*</v>
          </cell>
        </row>
        <row r="41">
          <cell r="D41" t="str">
            <v>Miscellaneous</v>
          </cell>
          <cell r="P41" t="str">
            <v>Inlet Nozzle</v>
          </cell>
          <cell r="T41" t="str">
            <v>*</v>
          </cell>
        </row>
        <row r="42">
          <cell r="D42" t="str">
            <v>Structure Mount.</v>
          </cell>
          <cell r="J42" t="str">
            <v>o</v>
          </cell>
          <cell r="K42" t="str">
            <v>Grade</v>
          </cell>
          <cell r="L42" t="str">
            <v>o</v>
          </cell>
          <cell r="M42" t="str">
            <v>Piperack</v>
          </cell>
          <cell r="P42" t="str">
            <v>Outlet Nozzle</v>
          </cell>
          <cell r="T42" t="str">
            <v>*</v>
          </cell>
        </row>
        <row r="43">
          <cell r="D43" t="str">
            <v>Surface preparation</v>
          </cell>
          <cell r="P43" t="str">
            <v>Rating  &amp; facing</v>
          </cell>
          <cell r="T43" t="str">
            <v>*</v>
          </cell>
        </row>
        <row r="44">
          <cell r="D44" t="str">
            <v>Louvres</v>
          </cell>
          <cell r="J44" t="str">
            <v>o</v>
          </cell>
          <cell r="K44" t="str">
            <v>Auto</v>
          </cell>
          <cell r="L44" t="str">
            <v>o</v>
          </cell>
          <cell r="M44" t="str">
            <v>Manual</v>
          </cell>
          <cell r="P44" t="str">
            <v>Special Nozzles</v>
          </cell>
          <cell r="T44" t="str">
            <v>*</v>
          </cell>
        </row>
        <row r="45">
          <cell r="D45" t="str">
            <v>Vibration switch</v>
          </cell>
          <cell r="J45" t="str">
            <v>o</v>
          </cell>
          <cell r="K45" t="str">
            <v>Yes</v>
          </cell>
          <cell r="L45" t="str">
            <v>o</v>
          </cell>
          <cell r="M45" t="str">
            <v>No</v>
          </cell>
          <cell r="P45" t="str">
            <v>Sour Service</v>
          </cell>
          <cell r="T45" t="str">
            <v>Yes</v>
          </cell>
        </row>
        <row r="46">
          <cell r="P46" t="str">
            <v>Code Stamp</v>
          </cell>
          <cell r="T46" t="str">
            <v>Yes</v>
          </cell>
        </row>
        <row r="47">
          <cell r="D47" t="str">
            <v>MECHANICAL EQUIPMENT</v>
          </cell>
        </row>
        <row r="48">
          <cell r="D48" t="str">
            <v>Fan</v>
          </cell>
          <cell r="P48" t="str">
            <v>Driver</v>
          </cell>
        </row>
        <row r="49">
          <cell r="D49" t="str">
            <v>Mfr</v>
          </cell>
          <cell r="I49" t="str">
            <v>*</v>
          </cell>
          <cell r="P49" t="str">
            <v>Type</v>
          </cell>
          <cell r="S49" t="str">
            <v>Electric Motor (6)</v>
          </cell>
        </row>
        <row r="50">
          <cell r="D50" t="str">
            <v>No./Bay</v>
          </cell>
          <cell r="H50">
            <v>2</v>
          </cell>
          <cell r="K50" t="str">
            <v>rev/min</v>
          </cell>
          <cell r="M50" t="str">
            <v>*</v>
          </cell>
          <cell r="P50" t="str">
            <v>Mfr</v>
          </cell>
          <cell r="S50" t="str">
            <v>*</v>
          </cell>
        </row>
        <row r="51">
          <cell r="D51" t="str">
            <v>Diameter</v>
          </cell>
          <cell r="H51" t="str">
            <v>* m</v>
          </cell>
          <cell r="K51" t="str">
            <v>No Blades</v>
          </cell>
          <cell r="M51" t="str">
            <v>*</v>
          </cell>
          <cell r="P51" t="str">
            <v>No./Bay</v>
          </cell>
          <cell r="S51" t="str">
            <v>*</v>
          </cell>
          <cell r="U51" t="str">
            <v>Rating</v>
          </cell>
        </row>
        <row r="52">
          <cell r="D52" t="str">
            <v>Pitch</v>
          </cell>
          <cell r="H52" t="str">
            <v>o</v>
          </cell>
          <cell r="I52" t="str">
            <v xml:space="preserve"> Auto     o</v>
          </cell>
          <cell r="L52" t="str">
            <v>Manual</v>
          </cell>
          <cell r="P52" t="str">
            <v>Enclosure</v>
          </cell>
          <cell r="S52" t="str">
            <v>IP55 EExde IIB T3</v>
          </cell>
        </row>
        <row r="53">
          <cell r="D53" t="str">
            <v>Material-blade</v>
          </cell>
          <cell r="K53" t="str">
            <v>Hub</v>
          </cell>
          <cell r="L53" t="str">
            <v>CS or Al</v>
          </cell>
          <cell r="P53" t="str">
            <v>Volt/phase/Cycle</v>
          </cell>
          <cell r="T53" t="str">
            <v>400 / 3 / 50</v>
          </cell>
        </row>
        <row r="54">
          <cell r="D54" t="str">
            <v>Abs power</v>
          </cell>
          <cell r="I54" t="str">
            <v>*</v>
          </cell>
          <cell r="J54" t="str">
            <v>kW</v>
          </cell>
          <cell r="K54" t="str">
            <v>Min amb</v>
          </cell>
          <cell r="M54" t="str">
            <v>*</v>
          </cell>
          <cell r="O54" t="str">
            <v>kW</v>
          </cell>
          <cell r="P54" t="str">
            <v>Rev/min</v>
          </cell>
          <cell r="T54" t="str">
            <v>*</v>
          </cell>
        </row>
        <row r="57">
          <cell r="D57" t="str">
            <v>Control action on Air Failure</v>
          </cell>
          <cell r="L57" t="str">
            <v>Fan Pitch</v>
          </cell>
          <cell r="P57" t="str">
            <v>o</v>
          </cell>
          <cell r="Q57" t="str">
            <v>Min</v>
          </cell>
          <cell r="S57" t="str">
            <v>o</v>
          </cell>
          <cell r="T57" t="str">
            <v>Max</v>
          </cell>
        </row>
        <row r="58">
          <cell r="L58" t="str">
            <v>Louvres</v>
          </cell>
          <cell r="P58" t="str">
            <v>o</v>
          </cell>
          <cell r="Q58" t="str">
            <v>Open</v>
          </cell>
          <cell r="S58" t="str">
            <v>o</v>
          </cell>
          <cell r="T58" t="str">
            <v>Close</v>
          </cell>
        </row>
        <row r="59">
          <cell r="D59" t="str">
            <v>1.  DESIGN FOR 110% FLOWS AND DUTY.</v>
          </cell>
        </row>
        <row r="60">
          <cell r="D60" t="str">
            <v>2.  ITEMS MARKED  *  TO BE COMPLETED BY SUPPLIER</v>
          </cell>
        </row>
        <row r="61">
          <cell r="D61" t="str">
            <v>3.  SUPPLIER TO ADVISE CALCULATED PLOT AREA (INCLUDING WINTERISATION CABINS) WITH BID.</v>
          </cell>
        </row>
        <row r="62">
          <cell r="D62" t="str">
            <v>4.  LETHAL SERVICE DUE TO PRESENCE OF H2S IN FEED.H2S=20.07 MOL%,H2O=0.8 MOL%, CO2=3.52 MOL%.</v>
          </cell>
        </row>
        <row r="63">
          <cell r="D63" t="str">
            <v>5.  WINTERISATION AND STEAM COILS TO BE PROVIDED IN ACCORDANCE WITH SYSTEM D ANNEXE C.3.1.4. OF ISO 13706.</v>
          </cell>
        </row>
        <row r="64">
          <cell r="D64" t="str">
            <v>6.  50% MOTORS SUITABLE FOR VARIABLE SPEED DRIVE (SPEED CONTROLLER BY OTHERS)</v>
          </cell>
        </row>
        <row r="65">
          <cell r="D65" t="str">
            <v>7.  TURNDOWN DUTY IS 30% OF NOMINAL DUTY.</v>
          </cell>
        </row>
        <row r="66">
          <cell r="D66" t="str">
            <v>8. SUPPLIER TO CARRY OUT P.M.I. ON HIGH ALLOY MATERIAL. MATERIALS TO COMPLY WITH NACE MR-01-75.</v>
          </cell>
        </row>
        <row r="67">
          <cell r="D67" t="str">
            <v>9.  IN ADDITION TO CODE REQUIREMENTS, INSPECTION SHALL INCLUDE THE FOLLOWING :  100% UT EXAMINATION OF HEADER BOX WELDS BEFORE</v>
          </cell>
        </row>
        <row r="68">
          <cell r="D68" t="str">
            <v xml:space="preserve">    PWHT, 100% RADIOGRAPHY AFTER PWHT, 100% UT EXAMINATION OF SET ON NOZZLE/HEADER WELDS AFTER PWHT, 100% DYE PEN.</v>
          </cell>
        </row>
        <row r="69">
          <cell r="D69" t="str">
            <v xml:space="preserve">    TUBE/TUBESHEET WELDS.</v>
          </cell>
        </row>
      </sheetData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PS"/>
      <sheetName val="Detailed status Leak Tests"/>
      <sheetName val="Construction Readiness t5"/>
      <sheetName val="Construction Readiness t6"/>
      <sheetName val="Construction Readiness Opp"/>
      <sheetName val="Sheet2"/>
      <sheetName val="MEMO"/>
      <sheetName val="Sheet1"/>
      <sheetName val="project"/>
      <sheetName val="project (2)"/>
      <sheetName val="TOTAL"/>
      <sheetName val="Sheet3"/>
      <sheetName val="eq"/>
      <sheetName val="SRU"/>
      <sheetName val="موقف المعدات"/>
      <sheetName val="SRU old"/>
      <sheetName val="Summary"/>
      <sheetName val="Tracking"/>
      <sheetName val="W Daily&amp;Topup Produtivity Chart"/>
    </sheetNames>
    <sheetDataSet>
      <sheetData sheetId="0">
        <row r="3">
          <cell r="R3">
            <v>83</v>
          </cell>
        </row>
      </sheetData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SHT "/>
      <sheetName val="PCKGE SCPE"/>
      <sheetName val="PCKGE NTS"/>
      <sheetName val="GT DATA SHTS"/>
      <sheetName val="INST SCHEDULE"/>
      <sheetName val="PKGINST"/>
      <sheetName val="GEAR DATA SHT"/>
      <sheetName val="OIL SYST DATA SH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SHT "/>
      <sheetName val="PCKGE SCPE"/>
      <sheetName val="PCKGE NTS"/>
      <sheetName val="GT DATA SHTS"/>
      <sheetName val="INST SCHEDULE"/>
      <sheetName val="PKGINST"/>
      <sheetName val="GEAR DATA SHT"/>
      <sheetName val="OIL SYST DATA SH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SHT "/>
      <sheetName val="PCKGE SCPE"/>
      <sheetName val="PCKGE NTS"/>
      <sheetName val="GT DATA SHTS"/>
      <sheetName val="INST SCHEDULE"/>
      <sheetName val="PKGINST"/>
      <sheetName val="GEAR DATA SHT"/>
      <sheetName val="OIL SYST DATA SH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Revision Sheet"/>
      <sheetName val="COMMON"/>
      <sheetName val="Type BB details"/>
      <sheetName val="seal details"/>
      <sheetName val="ST pg1"/>
      <sheetName val="ST pg2"/>
      <sheetName val="ST pg3"/>
      <sheetName val="LUBRICANT"/>
      <sheetName val="Noise Data"/>
      <sheetName val="Elec Motor"/>
      <sheetName val="Power Suppl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."/>
      <sheetName val="EQUQTION"/>
      <sheetName val="RT Per Lenght"/>
      <sheetName val="RT Per Film"/>
      <sheetName val="Welder Per Lenght"/>
      <sheetName val="Welder Per Film"/>
      <sheetName val="Welder List"/>
      <sheetName val="Zohr WPS"/>
      <sheetName val="Welder"/>
      <sheetName val="WPS"/>
    </sheetNames>
    <sheetDataSet>
      <sheetData sheetId="0" refreshError="1"/>
      <sheetData sheetId="1">
        <row r="12">
          <cell r="IK12">
            <v>1000</v>
          </cell>
        </row>
      </sheetData>
      <sheetData sheetId="2" refreshError="1"/>
      <sheetData sheetId="3">
        <row r="11">
          <cell r="C11" t="str">
            <v>TOTALWELDED</v>
          </cell>
        </row>
      </sheetData>
      <sheetData sheetId="4">
        <row r="7">
          <cell r="C7" t="str">
            <v>ENPC-MOPCP</v>
          </cell>
        </row>
        <row r="8">
          <cell r="C8" t="str">
            <v>TK-190-T001</v>
          </cell>
        </row>
        <row r="9">
          <cell r="C9" t="str">
            <v>ID</v>
          </cell>
        </row>
        <row r="12">
          <cell r="C12" t="str">
            <v>C1</v>
          </cell>
        </row>
        <row r="13">
          <cell r="C13" t="str">
            <v>C2</v>
          </cell>
        </row>
        <row r="14">
          <cell r="C14" t="str">
            <v>C3</v>
          </cell>
        </row>
        <row r="15">
          <cell r="C15" t="str">
            <v>C4</v>
          </cell>
        </row>
        <row r="16">
          <cell r="C16" t="str">
            <v>C5</v>
          </cell>
        </row>
        <row r="17">
          <cell r="C17" t="str">
            <v>C6</v>
          </cell>
        </row>
        <row r="18">
          <cell r="C18" t="str">
            <v>C7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rev1"/>
      <sheetName val="listes"/>
    </sheetNames>
    <sheetDataSet>
      <sheetData sheetId="0" refreshError="1"/>
      <sheetData sheetId="1">
        <row r="2">
          <cell r="A2" t="str">
            <v>DI</v>
          </cell>
          <cell r="C2" t="str">
            <v>AE</v>
          </cell>
          <cell r="D2">
            <v>1111</v>
          </cell>
        </row>
        <row r="3">
          <cell r="A3" t="str">
            <v>XX</v>
          </cell>
          <cell r="C3" t="str">
            <v>BM</v>
          </cell>
          <cell r="D3">
            <v>2222</v>
          </cell>
        </row>
        <row r="4">
          <cell r="A4" t="str">
            <v>FR</v>
          </cell>
          <cell r="C4" t="str">
            <v>CA</v>
          </cell>
          <cell r="D4">
            <v>3333</v>
          </cell>
        </row>
        <row r="5">
          <cell r="A5" t="str">
            <v>NH</v>
          </cell>
          <cell r="C5" t="str">
            <v>CS</v>
          </cell>
          <cell r="D5">
            <v>4444</v>
          </cell>
        </row>
        <row r="6">
          <cell r="A6" t="str">
            <v>OO</v>
          </cell>
          <cell r="C6" t="str">
            <v>BQ</v>
          </cell>
        </row>
        <row r="7">
          <cell r="A7" t="str">
            <v>UK</v>
          </cell>
          <cell r="C7" t="str">
            <v>DI</v>
          </cell>
        </row>
        <row r="8">
          <cell r="A8" t="str">
            <v>US</v>
          </cell>
          <cell r="C8" t="str">
            <v>01</v>
          </cell>
        </row>
        <row r="9">
          <cell r="A9" t="str">
            <v>VP</v>
          </cell>
          <cell r="C9" t="str">
            <v>02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"/>
      <sheetName val="Document Load (from CP)"/>
      <sheetName val="ValueAssistance"/>
    </sheetNames>
    <sheetDataSet>
      <sheetData sheetId="0"/>
      <sheetData sheetId="1"/>
      <sheetData sheetId="2">
        <row r="2">
          <cell r="C2" t="str">
            <v>CK</v>
          </cell>
          <cell r="D2" t="str">
            <v>0000</v>
          </cell>
          <cell r="F2" t="str">
            <v>ADM-PP-1</v>
          </cell>
        </row>
        <row r="3">
          <cell r="C3" t="str">
            <v>CN</v>
          </cell>
          <cell r="D3" t="str">
            <v>0001</v>
          </cell>
          <cell r="F3" t="str">
            <v>BURN-MR-1</v>
          </cell>
        </row>
        <row r="4">
          <cell r="C4" t="str">
            <v>CS</v>
          </cell>
          <cell r="D4" t="str">
            <v>0002</v>
          </cell>
          <cell r="F4" t="str">
            <v>BURN-QCP-1</v>
          </cell>
        </row>
        <row r="5">
          <cell r="C5" t="str">
            <v>DW</v>
          </cell>
          <cell r="D5" t="str">
            <v>0003</v>
          </cell>
          <cell r="F5" t="str">
            <v>BURN-TBT-1</v>
          </cell>
        </row>
        <row r="6">
          <cell r="C6" t="str">
            <v>ITP</v>
          </cell>
          <cell r="D6" t="str">
            <v>0004</v>
          </cell>
          <cell r="F6" t="str">
            <v>BURN_FUR-MR-1</v>
          </cell>
        </row>
        <row r="7">
          <cell r="C7" t="str">
            <v>JSD</v>
          </cell>
          <cell r="D7" t="str">
            <v>0005</v>
          </cell>
          <cell r="F7" t="str">
            <v>CIV-CN-1</v>
          </cell>
        </row>
        <row r="8">
          <cell r="C8" t="str">
            <v>JSS</v>
          </cell>
          <cell r="D8" t="str">
            <v>0006</v>
          </cell>
          <cell r="F8" t="str">
            <v>CIV-CN-2</v>
          </cell>
        </row>
        <row r="9">
          <cell r="C9" t="str">
            <v>ML</v>
          </cell>
          <cell r="D9" t="str">
            <v>0010</v>
          </cell>
          <cell r="F9" t="str">
            <v>CIV-CN-3</v>
          </cell>
        </row>
        <row r="10">
          <cell r="C10" t="str">
            <v>MPR</v>
          </cell>
          <cell r="D10" t="str">
            <v>0011</v>
          </cell>
          <cell r="F10" t="str">
            <v>CIV-DW-1</v>
          </cell>
        </row>
        <row r="11">
          <cell r="C11" t="str">
            <v>MR</v>
          </cell>
          <cell r="D11" t="str">
            <v>0020</v>
          </cell>
          <cell r="F11" t="str">
            <v>CIV-DW-10</v>
          </cell>
        </row>
        <row r="12">
          <cell r="C12" t="str">
            <v>MS</v>
          </cell>
          <cell r="D12" t="str">
            <v>0021</v>
          </cell>
          <cell r="F12" t="str">
            <v>CIV-DW-11</v>
          </cell>
        </row>
        <row r="13">
          <cell r="C13" t="str">
            <v>MSD</v>
          </cell>
          <cell r="D13" t="str">
            <v>0022</v>
          </cell>
          <cell r="F13" t="str">
            <v>CIV-DW-12</v>
          </cell>
        </row>
        <row r="14">
          <cell r="C14" t="str">
            <v>MTO</v>
          </cell>
          <cell r="D14" t="str">
            <v>0023</v>
          </cell>
          <cell r="F14" t="str">
            <v>CIV-DW-13</v>
          </cell>
        </row>
        <row r="15">
          <cell r="C15" t="str">
            <v>NM</v>
          </cell>
          <cell r="D15" t="str">
            <v>0031</v>
          </cell>
          <cell r="F15" t="str">
            <v>CIV-DW-14</v>
          </cell>
        </row>
        <row r="16">
          <cell r="C16" t="str">
            <v>PFD</v>
          </cell>
          <cell r="D16" t="str">
            <v>0032</v>
          </cell>
          <cell r="F16" t="str">
            <v>CIV-DW-2</v>
          </cell>
        </row>
        <row r="17">
          <cell r="C17" t="str">
            <v>PID</v>
          </cell>
          <cell r="D17" t="str">
            <v>0041</v>
          </cell>
          <cell r="F17" t="str">
            <v>CIV-DW-3</v>
          </cell>
        </row>
        <row r="18">
          <cell r="C18" t="str">
            <v>PLG</v>
          </cell>
          <cell r="D18" t="str">
            <v>0042</v>
          </cell>
          <cell r="F18" t="str">
            <v>CIV-DW-4</v>
          </cell>
        </row>
        <row r="19">
          <cell r="C19" t="str">
            <v>PP</v>
          </cell>
          <cell r="D19" t="str">
            <v>0051</v>
          </cell>
          <cell r="F19" t="str">
            <v>CIV-DW-5</v>
          </cell>
        </row>
        <row r="20">
          <cell r="C20" t="str">
            <v>PS</v>
          </cell>
          <cell r="D20" t="str">
            <v>0052</v>
          </cell>
          <cell r="F20" t="str">
            <v>CIV-DW-6</v>
          </cell>
        </row>
        <row r="21">
          <cell r="C21" t="str">
            <v>PTC</v>
          </cell>
          <cell r="D21" t="str">
            <v>0053</v>
          </cell>
          <cell r="F21" t="str">
            <v>CIV-DW-7</v>
          </cell>
        </row>
        <row r="22">
          <cell r="C22" t="str">
            <v>PTS</v>
          </cell>
          <cell r="D22" t="str">
            <v>0100</v>
          </cell>
          <cell r="F22" t="str">
            <v>CIV-DW-8</v>
          </cell>
        </row>
        <row r="23">
          <cell r="C23" t="str">
            <v>QCP</v>
          </cell>
          <cell r="D23" t="str">
            <v>0110</v>
          </cell>
          <cell r="F23" t="str">
            <v>CIV-DW-9</v>
          </cell>
        </row>
        <row r="24">
          <cell r="C24" t="str">
            <v>QE</v>
          </cell>
          <cell r="D24" t="str">
            <v>0111</v>
          </cell>
          <cell r="F24" t="str">
            <v>CIV-JSD-1</v>
          </cell>
        </row>
        <row r="25">
          <cell r="C25" t="str">
            <v>RK</v>
          </cell>
          <cell r="D25" t="str">
            <v>0112</v>
          </cell>
          <cell r="F25" t="str">
            <v>CIV-JSD-2</v>
          </cell>
        </row>
        <row r="26">
          <cell r="C26" t="str">
            <v>RR</v>
          </cell>
          <cell r="D26" t="str">
            <v>0113</v>
          </cell>
          <cell r="F26" t="str">
            <v>CIV-JSD-3</v>
          </cell>
        </row>
        <row r="27">
          <cell r="C27" t="str">
            <v>RT</v>
          </cell>
          <cell r="D27" t="str">
            <v>0115</v>
          </cell>
          <cell r="F27" t="str">
            <v>CIV-JSD-4</v>
          </cell>
        </row>
        <row r="28">
          <cell r="C28" t="str">
            <v>SP</v>
          </cell>
          <cell r="D28" t="str">
            <v>0119</v>
          </cell>
          <cell r="F28" t="str">
            <v>CIV-JSS-1</v>
          </cell>
        </row>
        <row r="29">
          <cell r="C29" t="str">
            <v>STC</v>
          </cell>
          <cell r="D29" t="str">
            <v>0120</v>
          </cell>
          <cell r="F29" t="str">
            <v>CIV-MR-1</v>
          </cell>
        </row>
        <row r="30">
          <cell r="C30" t="str">
            <v>STD</v>
          </cell>
          <cell r="D30" t="str">
            <v>0121</v>
          </cell>
          <cell r="F30" t="str">
            <v>CIV-MR-2</v>
          </cell>
        </row>
        <row r="31">
          <cell r="C31" t="str">
            <v>TBT</v>
          </cell>
          <cell r="D31" t="str">
            <v>0122</v>
          </cell>
          <cell r="F31" t="str">
            <v>CIV-MR-3</v>
          </cell>
        </row>
        <row r="32">
          <cell r="C32" t="str">
            <v>WPR</v>
          </cell>
          <cell r="D32" t="str">
            <v>0123</v>
          </cell>
          <cell r="F32" t="str">
            <v>CIV-MS-1</v>
          </cell>
        </row>
        <row r="33">
          <cell r="D33" t="str">
            <v>0125</v>
          </cell>
          <cell r="F33" t="str">
            <v>CIV-MTO-1</v>
          </cell>
        </row>
        <row r="34">
          <cell r="D34" t="str">
            <v>0126</v>
          </cell>
          <cell r="F34" t="str">
            <v>CIV-MTO-2</v>
          </cell>
        </row>
        <row r="35">
          <cell r="D35" t="str">
            <v>0127</v>
          </cell>
          <cell r="F35" t="str">
            <v>CIV-NM-1</v>
          </cell>
        </row>
        <row r="36">
          <cell r="D36" t="str">
            <v>0128</v>
          </cell>
          <cell r="F36" t="str">
            <v>CIV-NM-2</v>
          </cell>
        </row>
        <row r="37">
          <cell r="D37" t="str">
            <v>0129</v>
          </cell>
          <cell r="F37" t="str">
            <v>CIV-PFD-1</v>
          </cell>
        </row>
        <row r="38">
          <cell r="D38" t="str">
            <v>0130</v>
          </cell>
          <cell r="F38" t="str">
            <v>CIV-PS-1</v>
          </cell>
        </row>
        <row r="39">
          <cell r="D39" t="str">
            <v>0131</v>
          </cell>
          <cell r="F39" t="str">
            <v>CIV-PTS-1</v>
          </cell>
        </row>
        <row r="40">
          <cell r="D40" t="str">
            <v>0132</v>
          </cell>
          <cell r="F40" t="str">
            <v>CIV-QCP-1</v>
          </cell>
        </row>
        <row r="41">
          <cell r="D41" t="str">
            <v>0133</v>
          </cell>
          <cell r="F41" t="str">
            <v>CIV-RT-1</v>
          </cell>
        </row>
        <row r="42">
          <cell r="D42" t="str">
            <v>0135</v>
          </cell>
          <cell r="F42" t="str">
            <v>CIV-SP-1</v>
          </cell>
        </row>
        <row r="43">
          <cell r="D43" t="str">
            <v>0136</v>
          </cell>
          <cell r="F43" t="str">
            <v>CIV-SP-2</v>
          </cell>
        </row>
        <row r="44">
          <cell r="D44" t="str">
            <v>0140</v>
          </cell>
          <cell r="F44" t="str">
            <v>CIV-TBT-1</v>
          </cell>
        </row>
        <row r="45">
          <cell r="D45" t="str">
            <v>0141</v>
          </cell>
          <cell r="F45" t="str">
            <v>CIV-TBT-2</v>
          </cell>
        </row>
        <row r="46">
          <cell r="D46" t="str">
            <v>0142</v>
          </cell>
          <cell r="F46" t="str">
            <v>CIV_PIP-MR-1</v>
          </cell>
        </row>
        <row r="47">
          <cell r="D47" t="str">
            <v>0143</v>
          </cell>
          <cell r="F47" t="str">
            <v>CIV_PIP-MR-2</v>
          </cell>
        </row>
        <row r="48">
          <cell r="D48" t="str">
            <v>0144</v>
          </cell>
          <cell r="F48" t="str">
            <v>CIV_PIP-SP-1</v>
          </cell>
        </row>
        <row r="49">
          <cell r="D49" t="str">
            <v>0146</v>
          </cell>
          <cell r="F49" t="str">
            <v>CIV_PIP-TBT-1</v>
          </cell>
        </row>
        <row r="50">
          <cell r="D50" t="str">
            <v>0147</v>
          </cell>
          <cell r="F50" t="str">
            <v>COM-PLG-1</v>
          </cell>
        </row>
        <row r="51">
          <cell r="D51" t="str">
            <v>0148</v>
          </cell>
          <cell r="F51" t="str">
            <v>CON-CS-1</v>
          </cell>
        </row>
        <row r="52">
          <cell r="D52" t="str">
            <v>0149</v>
          </cell>
          <cell r="F52" t="str">
            <v>CON-ML-1</v>
          </cell>
        </row>
        <row r="53">
          <cell r="D53" t="str">
            <v>0150</v>
          </cell>
          <cell r="F53" t="str">
            <v>CON-ML-2</v>
          </cell>
        </row>
        <row r="54">
          <cell r="D54" t="str">
            <v>0151</v>
          </cell>
          <cell r="F54" t="str">
            <v>CON-MR-1</v>
          </cell>
        </row>
        <row r="55">
          <cell r="D55" t="str">
            <v>0152</v>
          </cell>
          <cell r="F55" t="str">
            <v>CON-NM-1</v>
          </cell>
        </row>
        <row r="56">
          <cell r="D56" t="str">
            <v>0153</v>
          </cell>
          <cell r="F56" t="str">
            <v>CON-PLG-1</v>
          </cell>
        </row>
        <row r="57">
          <cell r="D57" t="str">
            <v>0154</v>
          </cell>
          <cell r="F57" t="str">
            <v>CON-PP-1</v>
          </cell>
        </row>
        <row r="58">
          <cell r="D58" t="str">
            <v>0160</v>
          </cell>
          <cell r="F58" t="str">
            <v>CON-PP-2</v>
          </cell>
        </row>
        <row r="59">
          <cell r="D59" t="str">
            <v>0161</v>
          </cell>
          <cell r="F59" t="str">
            <v>CON-PP-3</v>
          </cell>
        </row>
        <row r="60">
          <cell r="D60" t="str">
            <v>0162</v>
          </cell>
          <cell r="F60" t="str">
            <v>CON-PP-4</v>
          </cell>
        </row>
        <row r="61">
          <cell r="D61" t="str">
            <v>0163</v>
          </cell>
          <cell r="F61" t="str">
            <v>CON-PS-1</v>
          </cell>
        </row>
        <row r="62">
          <cell r="D62" t="str">
            <v>0164</v>
          </cell>
          <cell r="F62" t="str">
            <v>CON-PS-2</v>
          </cell>
        </row>
        <row r="63">
          <cell r="D63" t="str">
            <v>0165</v>
          </cell>
          <cell r="F63" t="str">
            <v>CON-RK-1</v>
          </cell>
        </row>
        <row r="64">
          <cell r="D64" t="str">
            <v>0166</v>
          </cell>
          <cell r="F64" t="str">
            <v>CON-RT-1</v>
          </cell>
        </row>
        <row r="65">
          <cell r="D65" t="str">
            <v>0167</v>
          </cell>
          <cell r="F65" t="str">
            <v>CON-SP-1</v>
          </cell>
        </row>
        <row r="66">
          <cell r="D66" t="str">
            <v>0168</v>
          </cell>
          <cell r="F66" t="str">
            <v>CON-TBT-1</v>
          </cell>
        </row>
        <row r="67">
          <cell r="D67" t="str">
            <v>0170</v>
          </cell>
          <cell r="F67" t="str">
            <v>DHSE-CN-1</v>
          </cell>
        </row>
        <row r="68">
          <cell r="D68" t="str">
            <v>0171</v>
          </cell>
          <cell r="F68" t="str">
            <v>DHSE-CN-2</v>
          </cell>
        </row>
        <row r="69">
          <cell r="D69" t="str">
            <v>0172</v>
          </cell>
          <cell r="F69" t="str">
            <v>DHSE-DW-1</v>
          </cell>
        </row>
        <row r="70">
          <cell r="D70" t="str">
            <v>0173</v>
          </cell>
          <cell r="F70" t="str">
            <v>DHSE-DW-2</v>
          </cell>
        </row>
        <row r="71">
          <cell r="D71" t="str">
            <v>0174</v>
          </cell>
          <cell r="F71" t="str">
            <v>DHSE-DW-3</v>
          </cell>
        </row>
        <row r="72">
          <cell r="D72" t="str">
            <v>0180</v>
          </cell>
          <cell r="F72" t="str">
            <v>DHSE-DW-4</v>
          </cell>
        </row>
        <row r="73">
          <cell r="D73" t="str">
            <v>0181</v>
          </cell>
          <cell r="F73" t="str">
            <v>DHSE-DW-5</v>
          </cell>
        </row>
        <row r="74">
          <cell r="D74" t="str">
            <v>0182</v>
          </cell>
          <cell r="F74" t="str">
            <v>DHSE-DW-6</v>
          </cell>
        </row>
        <row r="75">
          <cell r="D75" t="str">
            <v>0183</v>
          </cell>
          <cell r="F75" t="str">
            <v>DHSE-DW-7</v>
          </cell>
        </row>
        <row r="76">
          <cell r="D76" t="str">
            <v>0184</v>
          </cell>
          <cell r="F76" t="str">
            <v>DHSE-JSD-1</v>
          </cell>
        </row>
        <row r="77">
          <cell r="D77" t="str">
            <v>0185</v>
          </cell>
          <cell r="F77" t="str">
            <v>DHSE-JSD-2</v>
          </cell>
        </row>
        <row r="78">
          <cell r="D78" t="str">
            <v>0186</v>
          </cell>
          <cell r="F78" t="str">
            <v>DHSE-JSD-3</v>
          </cell>
        </row>
        <row r="79">
          <cell r="D79" t="str">
            <v>0187</v>
          </cell>
          <cell r="F79" t="str">
            <v>DHSE-JSD-4</v>
          </cell>
        </row>
        <row r="80">
          <cell r="D80" t="str">
            <v>0190</v>
          </cell>
          <cell r="F80" t="str">
            <v>DHSE-JSD-5</v>
          </cell>
        </row>
        <row r="81">
          <cell r="D81" t="str">
            <v>0191</v>
          </cell>
          <cell r="F81" t="str">
            <v>DHSE-JSD-6</v>
          </cell>
        </row>
        <row r="82">
          <cell r="D82" t="str">
            <v>0192</v>
          </cell>
          <cell r="F82" t="str">
            <v>DHSE-JSD-7</v>
          </cell>
        </row>
        <row r="83">
          <cell r="D83" t="str">
            <v>0193</v>
          </cell>
          <cell r="F83" t="str">
            <v>DHSE-ML-1</v>
          </cell>
        </row>
        <row r="84">
          <cell r="D84" t="str">
            <v>0194</v>
          </cell>
          <cell r="F84" t="str">
            <v>DHSE-ML-2</v>
          </cell>
        </row>
        <row r="85">
          <cell r="D85" t="str">
            <v>0195</v>
          </cell>
          <cell r="F85" t="str">
            <v>DHSE-MR-1</v>
          </cell>
        </row>
        <row r="86">
          <cell r="D86" t="str">
            <v>0196</v>
          </cell>
          <cell r="F86" t="str">
            <v>DHSE-NM-1</v>
          </cell>
        </row>
        <row r="87">
          <cell r="D87" t="str">
            <v>0197</v>
          </cell>
          <cell r="F87" t="str">
            <v>DHSE-NM-2</v>
          </cell>
        </row>
        <row r="88">
          <cell r="D88" t="str">
            <v>0198</v>
          </cell>
          <cell r="F88" t="str">
            <v>DHSE-PFD-1</v>
          </cell>
        </row>
        <row r="89">
          <cell r="D89" t="str">
            <v>0199</v>
          </cell>
          <cell r="F89" t="str">
            <v>DHSE-PID-1</v>
          </cell>
        </row>
        <row r="90">
          <cell r="D90" t="str">
            <v>0200</v>
          </cell>
          <cell r="F90" t="str">
            <v>DHSE-PP-1</v>
          </cell>
        </row>
        <row r="91">
          <cell r="D91" t="str">
            <v>0210</v>
          </cell>
          <cell r="F91" t="str">
            <v>DHSE-RT-1</v>
          </cell>
        </row>
        <row r="92">
          <cell r="D92" t="str">
            <v>0211</v>
          </cell>
          <cell r="F92" t="str">
            <v>DHSE-RT-2</v>
          </cell>
        </row>
        <row r="93">
          <cell r="D93" t="str">
            <v>0212</v>
          </cell>
          <cell r="F93" t="str">
            <v>DHSE-RT-3</v>
          </cell>
        </row>
        <row r="94">
          <cell r="D94" t="str">
            <v>0213</v>
          </cell>
          <cell r="F94" t="str">
            <v>DHSE-SP-1</v>
          </cell>
        </row>
        <row r="95">
          <cell r="D95" t="str">
            <v>0214</v>
          </cell>
          <cell r="F95" t="str">
            <v>DHSE-TBT-1</v>
          </cell>
        </row>
        <row r="96">
          <cell r="D96" t="str">
            <v>0215</v>
          </cell>
          <cell r="F96" t="str">
            <v>ELE-CN-1</v>
          </cell>
        </row>
        <row r="97">
          <cell r="D97" t="str">
            <v>0216</v>
          </cell>
          <cell r="F97" t="str">
            <v>ELE-DW-1</v>
          </cell>
        </row>
        <row r="98">
          <cell r="D98" t="str">
            <v>0217</v>
          </cell>
          <cell r="F98" t="str">
            <v>ELE-DW-10</v>
          </cell>
        </row>
        <row r="99">
          <cell r="D99" t="str">
            <v>0220</v>
          </cell>
          <cell r="F99" t="str">
            <v>ELE-DW-11</v>
          </cell>
        </row>
        <row r="100">
          <cell r="D100" t="str">
            <v>0221</v>
          </cell>
          <cell r="F100" t="str">
            <v>ELE-DW-2</v>
          </cell>
        </row>
        <row r="101">
          <cell r="D101" t="str">
            <v>0222</v>
          </cell>
          <cell r="F101" t="str">
            <v>ELE-DW-3</v>
          </cell>
        </row>
        <row r="102">
          <cell r="D102" t="str">
            <v>0223</v>
          </cell>
          <cell r="F102" t="str">
            <v>ELE-DW-4</v>
          </cell>
        </row>
        <row r="103">
          <cell r="D103" t="str">
            <v>0224</v>
          </cell>
          <cell r="F103" t="str">
            <v>ELE-DW-5</v>
          </cell>
        </row>
        <row r="104">
          <cell r="D104" t="str">
            <v>0225</v>
          </cell>
          <cell r="F104" t="str">
            <v>ELE-DW-6</v>
          </cell>
        </row>
        <row r="105">
          <cell r="D105" t="str">
            <v>0230</v>
          </cell>
          <cell r="F105" t="str">
            <v>ELE-DW-7</v>
          </cell>
        </row>
        <row r="106">
          <cell r="D106" t="str">
            <v>0240</v>
          </cell>
          <cell r="F106" t="str">
            <v>ELE-DW-8</v>
          </cell>
        </row>
        <row r="107">
          <cell r="D107" t="str">
            <v>0250</v>
          </cell>
          <cell r="F107" t="str">
            <v>ELE-DW-9</v>
          </cell>
        </row>
        <row r="108">
          <cell r="D108" t="str">
            <v>0260</v>
          </cell>
          <cell r="F108" t="str">
            <v>ELE-JSD-1</v>
          </cell>
        </row>
        <row r="109">
          <cell r="D109" t="str">
            <v>0261</v>
          </cell>
          <cell r="F109" t="str">
            <v>ELE-JSD-2</v>
          </cell>
        </row>
        <row r="110">
          <cell r="D110" t="str">
            <v>0262</v>
          </cell>
          <cell r="F110" t="str">
            <v>ELE-JSS-1</v>
          </cell>
        </row>
        <row r="111">
          <cell r="D111" t="str">
            <v>0270</v>
          </cell>
          <cell r="F111" t="str">
            <v>ELE-JSS-2</v>
          </cell>
        </row>
        <row r="112">
          <cell r="D112" t="str">
            <v>0271</v>
          </cell>
          <cell r="F112" t="str">
            <v>ELE-JSS-3</v>
          </cell>
        </row>
        <row r="113">
          <cell r="D113" t="str">
            <v>0272</v>
          </cell>
          <cell r="F113" t="str">
            <v>ELE-JSS-4</v>
          </cell>
        </row>
        <row r="114">
          <cell r="D114" t="str">
            <v>0273</v>
          </cell>
          <cell r="F114" t="str">
            <v>ELE-MR-1</v>
          </cell>
        </row>
        <row r="115">
          <cell r="D115" t="str">
            <v>0274</v>
          </cell>
          <cell r="F115" t="str">
            <v>ELE-MS-1</v>
          </cell>
        </row>
        <row r="116">
          <cell r="D116" t="str">
            <v>0275</v>
          </cell>
          <cell r="F116" t="str">
            <v>ELE-MTO-1</v>
          </cell>
        </row>
        <row r="117">
          <cell r="D117" t="str">
            <v>0276</v>
          </cell>
          <cell r="F117" t="str">
            <v>ELE-MTO-2</v>
          </cell>
        </row>
        <row r="118">
          <cell r="D118" t="str">
            <v>0277</v>
          </cell>
          <cell r="F118" t="str">
            <v>ELE-NM-1</v>
          </cell>
        </row>
        <row r="119">
          <cell r="D119" t="str">
            <v>0278</v>
          </cell>
          <cell r="F119" t="str">
            <v>ELE-NM-2</v>
          </cell>
        </row>
        <row r="120">
          <cell r="D120" t="str">
            <v>0279</v>
          </cell>
          <cell r="F120" t="str">
            <v>ELE-NM-3</v>
          </cell>
        </row>
        <row r="121">
          <cell r="D121" t="str">
            <v>0280</v>
          </cell>
          <cell r="F121" t="str">
            <v>ELE-PS-1</v>
          </cell>
        </row>
        <row r="122">
          <cell r="D122" t="str">
            <v>0281</v>
          </cell>
          <cell r="F122" t="str">
            <v>ELE-QCP-1</v>
          </cell>
        </row>
        <row r="123">
          <cell r="D123" t="str">
            <v>0282</v>
          </cell>
          <cell r="F123" t="str">
            <v>ELE-SP-1</v>
          </cell>
        </row>
        <row r="124">
          <cell r="D124" t="str">
            <v>0290</v>
          </cell>
          <cell r="F124" t="str">
            <v>ELE-SP-3</v>
          </cell>
        </row>
        <row r="125">
          <cell r="D125" t="str">
            <v>0300</v>
          </cell>
          <cell r="F125" t="str">
            <v>ELE-STC-1</v>
          </cell>
        </row>
        <row r="126">
          <cell r="D126" t="str">
            <v>0306</v>
          </cell>
          <cell r="F126" t="str">
            <v>ELE-STC-2</v>
          </cell>
        </row>
        <row r="127">
          <cell r="D127" t="str">
            <v>0310</v>
          </cell>
          <cell r="F127" t="str">
            <v>ELE-TBT-1</v>
          </cell>
        </row>
        <row r="128">
          <cell r="D128" t="str">
            <v>0311</v>
          </cell>
          <cell r="F128" t="str">
            <v>FUR-CN-1</v>
          </cell>
        </row>
        <row r="129">
          <cell r="D129" t="str">
            <v>0312</v>
          </cell>
          <cell r="F129" t="str">
            <v>FUR-CN-2</v>
          </cell>
        </row>
        <row r="130">
          <cell r="D130" t="str">
            <v>0320</v>
          </cell>
          <cell r="F130" t="str">
            <v>FUR-DW-1</v>
          </cell>
        </row>
        <row r="131">
          <cell r="D131" t="str">
            <v>0330</v>
          </cell>
          <cell r="F131" t="str">
            <v>FUR-DW-2</v>
          </cell>
        </row>
        <row r="132">
          <cell r="D132" t="str">
            <v>0340</v>
          </cell>
          <cell r="F132" t="str">
            <v>FUR-DW-3</v>
          </cell>
        </row>
        <row r="133">
          <cell r="D133" t="str">
            <v>0400</v>
          </cell>
          <cell r="F133" t="str">
            <v>FUR-DW-4</v>
          </cell>
        </row>
        <row r="134">
          <cell r="D134" t="str">
            <v>0410</v>
          </cell>
          <cell r="F134" t="str">
            <v>FUR-ITP-1</v>
          </cell>
        </row>
        <row r="135">
          <cell r="D135" t="str">
            <v>0411</v>
          </cell>
          <cell r="F135" t="str">
            <v>FUR-ML-1</v>
          </cell>
        </row>
        <row r="136">
          <cell r="D136" t="str">
            <v>0412</v>
          </cell>
          <cell r="F136" t="str">
            <v>FUR-MR-1</v>
          </cell>
        </row>
        <row r="137">
          <cell r="D137" t="str">
            <v>0413</v>
          </cell>
          <cell r="F137" t="str">
            <v>FUR-MTO-1</v>
          </cell>
        </row>
        <row r="138">
          <cell r="D138" t="str">
            <v>0470</v>
          </cell>
          <cell r="F138" t="str">
            <v>FUR-NM-1</v>
          </cell>
        </row>
        <row r="139">
          <cell r="D139" t="str">
            <v>0480</v>
          </cell>
          <cell r="F139" t="str">
            <v>FUR-PP-1</v>
          </cell>
        </row>
        <row r="140">
          <cell r="D140" t="str">
            <v>0490</v>
          </cell>
          <cell r="F140" t="str">
            <v>FUR-QCP-1</v>
          </cell>
        </row>
        <row r="141">
          <cell r="D141" t="str">
            <v>0500</v>
          </cell>
          <cell r="F141" t="str">
            <v>FUR-STD-1</v>
          </cell>
        </row>
        <row r="142">
          <cell r="D142" t="str">
            <v>0510</v>
          </cell>
          <cell r="F142" t="str">
            <v>FUR-TBT-1</v>
          </cell>
        </row>
        <row r="143">
          <cell r="D143" t="str">
            <v>0511</v>
          </cell>
          <cell r="F143" t="str">
            <v>FUR_BUR-DW-1</v>
          </cell>
        </row>
        <row r="144">
          <cell r="D144" t="str">
            <v>0512</v>
          </cell>
          <cell r="F144" t="str">
            <v>FUR_BUR-ITP-1</v>
          </cell>
        </row>
        <row r="145">
          <cell r="D145" t="str">
            <v>0513</v>
          </cell>
          <cell r="F145" t="str">
            <v>FUR_BUR-MR-1</v>
          </cell>
        </row>
        <row r="146">
          <cell r="D146" t="str">
            <v>0514</v>
          </cell>
          <cell r="F146" t="str">
            <v>FUR_BUR-MR-2</v>
          </cell>
        </row>
        <row r="147">
          <cell r="D147" t="str">
            <v>0570</v>
          </cell>
          <cell r="F147" t="str">
            <v>FUR_BUR-SP-1</v>
          </cell>
        </row>
        <row r="148">
          <cell r="D148" t="str">
            <v>0580</v>
          </cell>
          <cell r="F148" t="str">
            <v>FUR_BUR-SP-3</v>
          </cell>
        </row>
        <row r="149">
          <cell r="D149" t="str">
            <v>0590</v>
          </cell>
          <cell r="F149" t="str">
            <v>FUR_BUR-TBT-1</v>
          </cell>
        </row>
        <row r="150">
          <cell r="D150" t="str">
            <v>0600</v>
          </cell>
          <cell r="F150" t="str">
            <v>FUR_CIV_BUR-CN-1</v>
          </cell>
        </row>
        <row r="151">
          <cell r="D151" t="str">
            <v>0610</v>
          </cell>
          <cell r="F151" t="str">
            <v>HSE-CK-1</v>
          </cell>
        </row>
        <row r="152">
          <cell r="D152" t="str">
            <v>0620</v>
          </cell>
          <cell r="F152" t="str">
            <v>HSE-ML-1</v>
          </cell>
        </row>
        <row r="153">
          <cell r="D153" t="str">
            <v>0630</v>
          </cell>
          <cell r="F153" t="str">
            <v>HSE-PP-1</v>
          </cell>
        </row>
        <row r="154">
          <cell r="D154" t="str">
            <v>0640</v>
          </cell>
          <cell r="F154" t="str">
            <v>HSE-PP-2</v>
          </cell>
        </row>
        <row r="155">
          <cell r="D155" t="str">
            <v>0650</v>
          </cell>
          <cell r="F155" t="str">
            <v>HSE-PP-3</v>
          </cell>
        </row>
        <row r="156">
          <cell r="D156" t="str">
            <v>0660</v>
          </cell>
          <cell r="F156" t="str">
            <v>HSE-PP-4</v>
          </cell>
        </row>
        <row r="157">
          <cell r="D157" t="str">
            <v>0661</v>
          </cell>
          <cell r="F157" t="str">
            <v>HSE-PP-5</v>
          </cell>
        </row>
        <row r="158">
          <cell r="D158" t="str">
            <v>0662</v>
          </cell>
          <cell r="F158" t="str">
            <v>HSE-RK-1</v>
          </cell>
        </row>
        <row r="159">
          <cell r="D159" t="str">
            <v>0663</v>
          </cell>
          <cell r="F159" t="str">
            <v>INS-CN-1</v>
          </cell>
        </row>
        <row r="160">
          <cell r="D160" t="str">
            <v>0670</v>
          </cell>
          <cell r="F160" t="str">
            <v>INS-DW-1</v>
          </cell>
        </row>
        <row r="161">
          <cell r="D161" t="str">
            <v>0671</v>
          </cell>
          <cell r="F161" t="str">
            <v>INS-DW-10</v>
          </cell>
        </row>
        <row r="162">
          <cell r="D162" t="str">
            <v>0672</v>
          </cell>
          <cell r="F162" t="str">
            <v>INS-DW-11</v>
          </cell>
        </row>
        <row r="163">
          <cell r="D163" t="str">
            <v>0673</v>
          </cell>
          <cell r="F163" t="str">
            <v>INS-DW-12</v>
          </cell>
        </row>
        <row r="164">
          <cell r="D164" t="str">
            <v>0674</v>
          </cell>
          <cell r="F164" t="str">
            <v>INS-DW-13</v>
          </cell>
        </row>
        <row r="165">
          <cell r="D165" t="str">
            <v>0680</v>
          </cell>
          <cell r="F165" t="str">
            <v>INS-DW-14</v>
          </cell>
        </row>
        <row r="166">
          <cell r="D166" t="str">
            <v>0690</v>
          </cell>
          <cell r="F166" t="str">
            <v>INS-DW-15</v>
          </cell>
        </row>
        <row r="167">
          <cell r="D167" t="str">
            <v>0691</v>
          </cell>
          <cell r="F167" t="str">
            <v>INS-DW-2</v>
          </cell>
        </row>
        <row r="168">
          <cell r="D168" t="str">
            <v>0692</v>
          </cell>
          <cell r="F168" t="str">
            <v>INS-DW-3</v>
          </cell>
        </row>
        <row r="169">
          <cell r="D169" t="str">
            <v>0693</v>
          </cell>
          <cell r="F169" t="str">
            <v>INS-DW-4</v>
          </cell>
        </row>
        <row r="170">
          <cell r="D170" t="str">
            <v>0700</v>
          </cell>
          <cell r="F170" t="str">
            <v>INS-DW-5</v>
          </cell>
        </row>
        <row r="171">
          <cell r="D171" t="str">
            <v>0710</v>
          </cell>
          <cell r="F171" t="str">
            <v>INS-DW-6</v>
          </cell>
        </row>
        <row r="172">
          <cell r="D172" t="str">
            <v>0720</v>
          </cell>
          <cell r="F172" t="str">
            <v>INS-DW-7</v>
          </cell>
        </row>
        <row r="173">
          <cell r="D173" t="str">
            <v>0730</v>
          </cell>
          <cell r="F173" t="str">
            <v>INS-DW-8</v>
          </cell>
        </row>
        <row r="174">
          <cell r="D174" t="str">
            <v>0800</v>
          </cell>
          <cell r="F174" t="str">
            <v>INS-DW-9</v>
          </cell>
        </row>
        <row r="175">
          <cell r="D175" t="str">
            <v>0810</v>
          </cell>
          <cell r="F175" t="str">
            <v>INS-JSD-1</v>
          </cell>
        </row>
        <row r="176">
          <cell r="D176" t="str">
            <v>0811</v>
          </cell>
          <cell r="F176" t="str">
            <v>INS-JSD-2</v>
          </cell>
        </row>
        <row r="177">
          <cell r="D177" t="str">
            <v>0812</v>
          </cell>
          <cell r="F177" t="str">
            <v>INS-JSD-3</v>
          </cell>
        </row>
        <row r="178">
          <cell r="D178" t="str">
            <v>0813</v>
          </cell>
          <cell r="F178" t="str">
            <v>INS-JSD-4</v>
          </cell>
        </row>
        <row r="179">
          <cell r="D179" t="str">
            <v>0814</v>
          </cell>
          <cell r="F179" t="str">
            <v>INS-JSD-5</v>
          </cell>
        </row>
        <row r="180">
          <cell r="D180" t="str">
            <v>0815</v>
          </cell>
          <cell r="F180" t="str">
            <v>INS-MR-1</v>
          </cell>
        </row>
        <row r="181">
          <cell r="D181" t="str">
            <v>0820</v>
          </cell>
          <cell r="F181" t="str">
            <v>INS-MS-1</v>
          </cell>
        </row>
        <row r="182">
          <cell r="D182" t="str">
            <v>0830</v>
          </cell>
          <cell r="F182" t="str">
            <v>INS-MTO-1</v>
          </cell>
        </row>
        <row r="183">
          <cell r="D183" t="str">
            <v>0831</v>
          </cell>
          <cell r="F183" t="str">
            <v>INS-NM-1</v>
          </cell>
        </row>
        <row r="184">
          <cell r="D184" t="str">
            <v>0832</v>
          </cell>
          <cell r="F184" t="str">
            <v>INS-NM-2</v>
          </cell>
        </row>
        <row r="185">
          <cell r="D185" t="str">
            <v>0833</v>
          </cell>
          <cell r="F185" t="str">
            <v>INS-NM-3</v>
          </cell>
        </row>
        <row r="186">
          <cell r="D186" t="str">
            <v>0834</v>
          </cell>
          <cell r="F186" t="str">
            <v>INS-PS-1</v>
          </cell>
        </row>
        <row r="187">
          <cell r="D187" t="str">
            <v>0835</v>
          </cell>
          <cell r="F187" t="str">
            <v>INS-PTS-1</v>
          </cell>
        </row>
        <row r="188">
          <cell r="D188" t="str">
            <v>0836</v>
          </cell>
          <cell r="F188" t="str">
            <v>INS-PTS-2</v>
          </cell>
        </row>
        <row r="189">
          <cell r="D189" t="str">
            <v>0837</v>
          </cell>
          <cell r="F189" t="str">
            <v>INS-QCP-1</v>
          </cell>
        </row>
        <row r="190">
          <cell r="D190" t="str">
            <v>0840</v>
          </cell>
          <cell r="F190" t="str">
            <v>INS-SP-1</v>
          </cell>
        </row>
        <row r="191">
          <cell r="D191" t="str">
            <v>0841</v>
          </cell>
          <cell r="F191" t="str">
            <v>INS-SP-2</v>
          </cell>
        </row>
        <row r="192">
          <cell r="D192" t="str">
            <v>0842</v>
          </cell>
          <cell r="F192" t="str">
            <v>INS-SP-3</v>
          </cell>
        </row>
        <row r="193">
          <cell r="D193" t="str">
            <v>0843</v>
          </cell>
          <cell r="F193" t="str">
            <v>INS-SP-4</v>
          </cell>
        </row>
        <row r="194">
          <cell r="D194" t="str">
            <v>0844</v>
          </cell>
          <cell r="F194" t="str">
            <v>INS-TBT-1</v>
          </cell>
        </row>
        <row r="195">
          <cell r="D195" t="str">
            <v>0845</v>
          </cell>
          <cell r="F195" t="str">
            <v>IT-PP-1</v>
          </cell>
        </row>
        <row r="196">
          <cell r="D196" t="str">
            <v>0846</v>
          </cell>
          <cell r="F196" t="str">
            <v>MAC-JSS-1</v>
          </cell>
        </row>
        <row r="197">
          <cell r="D197" t="str">
            <v>0847</v>
          </cell>
          <cell r="F197" t="str">
            <v>MAC-MR-1</v>
          </cell>
        </row>
        <row r="198">
          <cell r="D198" t="str">
            <v>0848</v>
          </cell>
          <cell r="F198" t="str">
            <v>MAC-MR-2</v>
          </cell>
        </row>
        <row r="199">
          <cell r="D199" t="str">
            <v>0849</v>
          </cell>
          <cell r="F199" t="str">
            <v>MAC-MS-1</v>
          </cell>
        </row>
        <row r="200">
          <cell r="D200" t="str">
            <v>0850</v>
          </cell>
          <cell r="F200" t="str">
            <v>MAC-PS-1</v>
          </cell>
        </row>
        <row r="201">
          <cell r="D201" t="str">
            <v>0851</v>
          </cell>
          <cell r="F201" t="str">
            <v>MAC-QCP-1</v>
          </cell>
        </row>
        <row r="202">
          <cell r="D202" t="str">
            <v>0852</v>
          </cell>
          <cell r="F202" t="str">
            <v>MAC-TBT-1</v>
          </cell>
        </row>
        <row r="203">
          <cell r="D203" t="str">
            <v>0853</v>
          </cell>
          <cell r="F203" t="str">
            <v>MATECH-MR-1</v>
          </cell>
        </row>
        <row r="204">
          <cell r="D204" t="str">
            <v>0870</v>
          </cell>
          <cell r="F204" t="str">
            <v>MATECH-TBT-1</v>
          </cell>
        </row>
        <row r="205">
          <cell r="D205" t="str">
            <v>0880</v>
          </cell>
          <cell r="F205" t="str">
            <v>PC-MPR-1</v>
          </cell>
        </row>
        <row r="206">
          <cell r="D206" t="str">
            <v>0890</v>
          </cell>
          <cell r="F206" t="str">
            <v>PC-NM-1</v>
          </cell>
        </row>
        <row r="207">
          <cell r="D207" t="str">
            <v>0900</v>
          </cell>
          <cell r="F207" t="str">
            <v>PC-PLG-1</v>
          </cell>
        </row>
        <row r="208">
          <cell r="D208" t="str">
            <v>0910</v>
          </cell>
          <cell r="F208" t="str">
            <v>PC-PLG-2</v>
          </cell>
        </row>
        <row r="209">
          <cell r="D209" t="str">
            <v>0911</v>
          </cell>
          <cell r="F209" t="str">
            <v>PC-PLG-3</v>
          </cell>
        </row>
        <row r="210">
          <cell r="D210" t="str">
            <v>0912</v>
          </cell>
          <cell r="F210" t="str">
            <v>PC-PP-1</v>
          </cell>
        </row>
        <row r="211">
          <cell r="D211" t="str">
            <v>0920</v>
          </cell>
          <cell r="F211" t="str">
            <v>PC-RK-1</v>
          </cell>
        </row>
        <row r="212">
          <cell r="D212" t="str">
            <v>0921</v>
          </cell>
          <cell r="F212" t="str">
            <v>PIP-CN-2</v>
          </cell>
        </row>
        <row r="213">
          <cell r="D213" t="str">
            <v>0930</v>
          </cell>
          <cell r="F213" t="str">
            <v>PIP-DW-1</v>
          </cell>
        </row>
        <row r="214">
          <cell r="D214" t="str">
            <v>0931</v>
          </cell>
          <cell r="F214" t="str">
            <v>PIP-DW-2</v>
          </cell>
        </row>
        <row r="215">
          <cell r="D215" t="str">
            <v>0932</v>
          </cell>
          <cell r="F215" t="str">
            <v>PIP-DW-3</v>
          </cell>
        </row>
        <row r="216">
          <cell r="D216" t="str">
            <v>0940</v>
          </cell>
          <cell r="F216" t="str">
            <v>PIP-DW-4</v>
          </cell>
        </row>
        <row r="217">
          <cell r="D217" t="str">
            <v>0950</v>
          </cell>
          <cell r="F217" t="str">
            <v>PIP-DW-5</v>
          </cell>
        </row>
        <row r="218">
          <cell r="D218" t="str">
            <v>0960</v>
          </cell>
          <cell r="F218" t="str">
            <v>PIP-DW-6</v>
          </cell>
        </row>
        <row r="219">
          <cell r="D219" t="str">
            <v>1000</v>
          </cell>
          <cell r="F219" t="str">
            <v>PIP-DW-7</v>
          </cell>
        </row>
        <row r="220">
          <cell r="D220" t="str">
            <v>1001</v>
          </cell>
          <cell r="F220" t="str">
            <v>PIP-DW-8</v>
          </cell>
        </row>
        <row r="221">
          <cell r="D221" t="str">
            <v>1002</v>
          </cell>
          <cell r="F221" t="str">
            <v>PIP-JSD-1</v>
          </cell>
        </row>
        <row r="222">
          <cell r="D222" t="str">
            <v>1003</v>
          </cell>
          <cell r="F222" t="str">
            <v>PIP-JSD-2</v>
          </cell>
        </row>
        <row r="223">
          <cell r="D223" t="str">
            <v>1004</v>
          </cell>
          <cell r="F223" t="str">
            <v>PIP-JSD-3</v>
          </cell>
        </row>
        <row r="224">
          <cell r="D224" t="str">
            <v>1010</v>
          </cell>
          <cell r="F224" t="str">
            <v>PIP-JSD-4</v>
          </cell>
        </row>
        <row r="225">
          <cell r="D225" t="str">
            <v>1011</v>
          </cell>
          <cell r="F225" t="str">
            <v>PIP-MR-1</v>
          </cell>
        </row>
        <row r="226">
          <cell r="D226" t="str">
            <v>1012</v>
          </cell>
          <cell r="F226" t="str">
            <v>PIP-MR-2</v>
          </cell>
        </row>
        <row r="227">
          <cell r="D227" t="str">
            <v>1013</v>
          </cell>
          <cell r="F227" t="str">
            <v>PIP-MS-1</v>
          </cell>
        </row>
        <row r="228">
          <cell r="D228" t="str">
            <v>1014</v>
          </cell>
          <cell r="F228" t="str">
            <v>PIP-MTO-1</v>
          </cell>
        </row>
        <row r="229">
          <cell r="D229" t="str">
            <v>1020</v>
          </cell>
          <cell r="F229" t="str">
            <v>PIP-MTO-2</v>
          </cell>
        </row>
        <row r="230">
          <cell r="D230" t="str">
            <v>1021</v>
          </cell>
          <cell r="F230" t="str">
            <v>PIP-NM-1</v>
          </cell>
        </row>
        <row r="231">
          <cell r="D231" t="str">
            <v>1022</v>
          </cell>
          <cell r="F231" t="str">
            <v>PIP-NM-2</v>
          </cell>
        </row>
        <row r="232">
          <cell r="D232" t="str">
            <v>1023</v>
          </cell>
          <cell r="F232" t="str">
            <v>PIP-NM-3</v>
          </cell>
        </row>
        <row r="233">
          <cell r="D233" t="str">
            <v>1030</v>
          </cell>
          <cell r="F233" t="str">
            <v>PIP-NM-4</v>
          </cell>
        </row>
        <row r="234">
          <cell r="D234" t="str">
            <v>1031</v>
          </cell>
          <cell r="F234" t="str">
            <v>PIP-NM-5</v>
          </cell>
        </row>
        <row r="235">
          <cell r="D235" t="str">
            <v>1032</v>
          </cell>
          <cell r="F235" t="str">
            <v>PIP-NM-6</v>
          </cell>
        </row>
        <row r="236">
          <cell r="D236" t="str">
            <v>1040</v>
          </cell>
          <cell r="F236" t="str">
            <v>PIP-NM-7</v>
          </cell>
        </row>
        <row r="237">
          <cell r="D237" t="str">
            <v>1041</v>
          </cell>
          <cell r="F237" t="str">
            <v>PIP-PP-1</v>
          </cell>
        </row>
        <row r="238">
          <cell r="D238" t="str">
            <v>1042</v>
          </cell>
          <cell r="F238" t="str">
            <v>PIP-PP-2</v>
          </cell>
        </row>
        <row r="239">
          <cell r="D239" t="str">
            <v>1043</v>
          </cell>
          <cell r="F239" t="str">
            <v>PIP-PS-1</v>
          </cell>
        </row>
        <row r="240">
          <cell r="D240" t="str">
            <v>1050</v>
          </cell>
          <cell r="F240" t="str">
            <v>PIP-PTS-1</v>
          </cell>
        </row>
        <row r="241">
          <cell r="D241" t="str">
            <v>1060</v>
          </cell>
          <cell r="F241" t="str">
            <v>PIP-PTS-2</v>
          </cell>
        </row>
        <row r="242">
          <cell r="D242" t="str">
            <v>1061</v>
          </cell>
          <cell r="F242" t="str">
            <v>PIP-QCP-1</v>
          </cell>
        </row>
        <row r="243">
          <cell r="D243" t="str">
            <v>1100</v>
          </cell>
          <cell r="F243" t="str">
            <v>PIP-SP-1</v>
          </cell>
        </row>
        <row r="244">
          <cell r="D244" t="str">
            <v>1110</v>
          </cell>
          <cell r="F244" t="str">
            <v>PIP-SP-2</v>
          </cell>
        </row>
        <row r="245">
          <cell r="D245" t="str">
            <v>1111</v>
          </cell>
          <cell r="F245" t="str">
            <v>PIP-STC-1</v>
          </cell>
        </row>
        <row r="246">
          <cell r="D246" t="str">
            <v>1112</v>
          </cell>
          <cell r="F246" t="str">
            <v>PIP-STD-1</v>
          </cell>
        </row>
        <row r="247">
          <cell r="D247" t="str">
            <v>1113</v>
          </cell>
          <cell r="F247" t="str">
            <v>PIP-STD-2</v>
          </cell>
        </row>
        <row r="248">
          <cell r="D248" t="str">
            <v>1120</v>
          </cell>
          <cell r="F248" t="str">
            <v>PIP-TBT-1</v>
          </cell>
        </row>
        <row r="249">
          <cell r="D249" t="str">
            <v>1130</v>
          </cell>
          <cell r="F249" t="str">
            <v>PIP-TBT-2</v>
          </cell>
        </row>
        <row r="250">
          <cell r="D250" t="str">
            <v>1140</v>
          </cell>
          <cell r="F250" t="str">
            <v>PM-CK-1</v>
          </cell>
        </row>
        <row r="251">
          <cell r="D251" t="str">
            <v>1150</v>
          </cell>
          <cell r="F251" t="str">
            <v>PM-JSD-1</v>
          </cell>
        </row>
        <row r="252">
          <cell r="D252" t="str">
            <v>1160</v>
          </cell>
          <cell r="F252" t="str">
            <v>PM-ML-1</v>
          </cell>
        </row>
        <row r="253">
          <cell r="D253" t="str">
            <v>1170</v>
          </cell>
          <cell r="F253" t="str">
            <v>PM-NM-1</v>
          </cell>
        </row>
        <row r="254">
          <cell r="D254" t="str">
            <v>1180</v>
          </cell>
          <cell r="F254" t="str">
            <v>PM-NM-2</v>
          </cell>
        </row>
        <row r="255">
          <cell r="D255" t="str">
            <v>1181</v>
          </cell>
          <cell r="F255" t="str">
            <v>PM-NM-3</v>
          </cell>
        </row>
        <row r="256">
          <cell r="D256" t="str">
            <v>1182</v>
          </cell>
          <cell r="F256" t="str">
            <v>PM-NM-4</v>
          </cell>
        </row>
        <row r="257">
          <cell r="D257" t="str">
            <v>1183</v>
          </cell>
          <cell r="F257" t="str">
            <v>PM-NM-5</v>
          </cell>
        </row>
        <row r="258">
          <cell r="D258" t="str">
            <v>1184</v>
          </cell>
          <cell r="F258" t="str">
            <v>PM-PLG-1</v>
          </cell>
        </row>
        <row r="259">
          <cell r="D259" t="str">
            <v>1300</v>
          </cell>
          <cell r="F259" t="str">
            <v>PM-PP-1</v>
          </cell>
        </row>
        <row r="260">
          <cell r="D260" t="str">
            <v>1301</v>
          </cell>
          <cell r="F260" t="str">
            <v>PM-PP-2</v>
          </cell>
        </row>
        <row r="261">
          <cell r="D261" t="str">
            <v>1310</v>
          </cell>
          <cell r="F261" t="str">
            <v>PM-PP-3</v>
          </cell>
        </row>
        <row r="262">
          <cell r="D262" t="str">
            <v>1311</v>
          </cell>
          <cell r="F262" t="str">
            <v>PM-PP-4</v>
          </cell>
        </row>
        <row r="263">
          <cell r="D263" t="str">
            <v>1320</v>
          </cell>
          <cell r="F263" t="str">
            <v>PM-RR-1</v>
          </cell>
        </row>
        <row r="264">
          <cell r="D264" t="str">
            <v>1321</v>
          </cell>
          <cell r="F264" t="str">
            <v>PM-RT-1</v>
          </cell>
        </row>
        <row r="265">
          <cell r="D265" t="str">
            <v>1322</v>
          </cell>
          <cell r="F265" t="str">
            <v>PRO-CN-1</v>
          </cell>
        </row>
        <row r="266">
          <cell r="D266" t="str">
            <v>1324</v>
          </cell>
          <cell r="F266" t="str">
            <v>PRO-CN-2</v>
          </cell>
        </row>
        <row r="267">
          <cell r="D267" t="str">
            <v>1325</v>
          </cell>
          <cell r="F267" t="str">
            <v>PRO-CN-3</v>
          </cell>
        </row>
        <row r="268">
          <cell r="D268" t="str">
            <v>1328</v>
          </cell>
          <cell r="F268" t="str">
            <v>PRO-CN-4</v>
          </cell>
        </row>
        <row r="269">
          <cell r="D269" t="str">
            <v>1330</v>
          </cell>
          <cell r="F269" t="str">
            <v>PRO-CN-5</v>
          </cell>
        </row>
        <row r="270">
          <cell r="D270" t="str">
            <v>1331</v>
          </cell>
          <cell r="F270" t="str">
            <v>PRO-DW-1</v>
          </cell>
        </row>
        <row r="271">
          <cell r="D271" t="str">
            <v>1332</v>
          </cell>
          <cell r="F271" t="str">
            <v>PRO-JSD-1</v>
          </cell>
        </row>
        <row r="272">
          <cell r="D272" t="str">
            <v>1340</v>
          </cell>
          <cell r="F272" t="str">
            <v>PRO-JSD-2</v>
          </cell>
        </row>
        <row r="273">
          <cell r="D273" t="str">
            <v>1350</v>
          </cell>
          <cell r="F273" t="str">
            <v>PRO-JSD-3</v>
          </cell>
        </row>
        <row r="274">
          <cell r="D274" t="str">
            <v>1360</v>
          </cell>
          <cell r="F274" t="str">
            <v>PRO-JSD-4</v>
          </cell>
        </row>
        <row r="275">
          <cell r="D275" t="str">
            <v>1370</v>
          </cell>
          <cell r="F275" t="str">
            <v>PRO-JSD-5</v>
          </cell>
        </row>
        <row r="276">
          <cell r="D276" t="str">
            <v>1380</v>
          </cell>
          <cell r="F276" t="str">
            <v>PRO-ML-1</v>
          </cell>
        </row>
        <row r="277">
          <cell r="D277" t="str">
            <v>1381</v>
          </cell>
          <cell r="F277" t="str">
            <v>PRO-ML-2</v>
          </cell>
        </row>
        <row r="278">
          <cell r="D278" t="str">
            <v>1382</v>
          </cell>
          <cell r="F278" t="str">
            <v>PRO-ML-3</v>
          </cell>
        </row>
        <row r="279">
          <cell r="D279" t="str">
            <v>1383</v>
          </cell>
          <cell r="F279" t="str">
            <v>PRO-MR-1</v>
          </cell>
        </row>
        <row r="280">
          <cell r="D280" t="str">
            <v>1384</v>
          </cell>
          <cell r="F280" t="str">
            <v>PRO-MSD-1</v>
          </cell>
        </row>
        <row r="281">
          <cell r="D281" t="str">
            <v>1385</v>
          </cell>
          <cell r="F281" t="str">
            <v>PRO-NM-1</v>
          </cell>
        </row>
        <row r="282">
          <cell r="D282" t="str">
            <v>1386</v>
          </cell>
          <cell r="F282" t="str">
            <v>PRO-NM-2</v>
          </cell>
        </row>
        <row r="283">
          <cell r="D283" t="str">
            <v>1390</v>
          </cell>
          <cell r="F283" t="str">
            <v>PRO-NM-3</v>
          </cell>
        </row>
        <row r="284">
          <cell r="D284" t="str">
            <v>1391</v>
          </cell>
          <cell r="F284" t="str">
            <v>PRO-NM-4</v>
          </cell>
        </row>
        <row r="285">
          <cell r="D285" t="str">
            <v>1392</v>
          </cell>
          <cell r="F285" t="str">
            <v>PRO-NM-5</v>
          </cell>
        </row>
        <row r="286">
          <cell r="D286" t="str">
            <v>1393</v>
          </cell>
          <cell r="F286" t="str">
            <v>PRO-NM-6</v>
          </cell>
        </row>
        <row r="287">
          <cell r="D287" t="str">
            <v>1394</v>
          </cell>
          <cell r="F287" t="str">
            <v>PRO-NM-7</v>
          </cell>
        </row>
        <row r="288">
          <cell r="D288" t="str">
            <v>1395</v>
          </cell>
          <cell r="F288" t="str">
            <v>PRO-PFD-1</v>
          </cell>
        </row>
        <row r="289">
          <cell r="D289" t="str">
            <v>1396</v>
          </cell>
          <cell r="F289" t="str">
            <v>PRO-PID-1</v>
          </cell>
        </row>
        <row r="290">
          <cell r="D290" t="str">
            <v>1397</v>
          </cell>
          <cell r="F290" t="str">
            <v>PRO-PP-1</v>
          </cell>
        </row>
        <row r="291">
          <cell r="D291" t="str">
            <v>1398</v>
          </cell>
          <cell r="F291" t="str">
            <v>PRO-SP-1</v>
          </cell>
        </row>
        <row r="292">
          <cell r="D292" t="str">
            <v>1399</v>
          </cell>
          <cell r="F292" t="str">
            <v>PRO-SP-10</v>
          </cell>
        </row>
        <row r="293">
          <cell r="D293" t="str">
            <v>1400</v>
          </cell>
          <cell r="F293" t="str">
            <v>PRO-SP-11</v>
          </cell>
        </row>
        <row r="294">
          <cell r="D294" t="str">
            <v>1401</v>
          </cell>
          <cell r="F294" t="str">
            <v>PRO-SP-12</v>
          </cell>
        </row>
        <row r="295">
          <cell r="D295" t="str">
            <v>1402</v>
          </cell>
          <cell r="F295" t="str">
            <v>PRO-SP-13</v>
          </cell>
        </row>
        <row r="296">
          <cell r="D296" t="str">
            <v>1410</v>
          </cell>
          <cell r="F296" t="str">
            <v>PRO-SP-14</v>
          </cell>
        </row>
        <row r="297">
          <cell r="D297" t="str">
            <v>1420</v>
          </cell>
          <cell r="F297" t="str">
            <v>PRO-SP-2</v>
          </cell>
        </row>
        <row r="298">
          <cell r="D298" t="str">
            <v>1421</v>
          </cell>
          <cell r="F298" t="str">
            <v>PRO-SP-3</v>
          </cell>
        </row>
        <row r="299">
          <cell r="D299" t="str">
            <v>1422</v>
          </cell>
          <cell r="F299" t="str">
            <v>PRO-SP-4</v>
          </cell>
        </row>
        <row r="300">
          <cell r="D300" t="str">
            <v>1423</v>
          </cell>
          <cell r="F300" t="str">
            <v>PRO-SP-5</v>
          </cell>
        </row>
        <row r="301">
          <cell r="D301" t="str">
            <v>1424</v>
          </cell>
          <cell r="F301" t="str">
            <v>PRO-SP-6</v>
          </cell>
        </row>
        <row r="302">
          <cell r="D302" t="str">
            <v>1425</v>
          </cell>
          <cell r="F302" t="str">
            <v>PRO-SP-7</v>
          </cell>
        </row>
        <row r="303">
          <cell r="D303" t="str">
            <v>1430</v>
          </cell>
          <cell r="F303" t="str">
            <v>PRO-SP-8</v>
          </cell>
        </row>
        <row r="304">
          <cell r="D304" t="str">
            <v>1431</v>
          </cell>
          <cell r="F304" t="str">
            <v>PRO-SP-9</v>
          </cell>
        </row>
        <row r="305">
          <cell r="D305" t="str">
            <v>1432</v>
          </cell>
          <cell r="F305" t="str">
            <v>PRO-TBT-1</v>
          </cell>
        </row>
        <row r="306">
          <cell r="D306" t="str">
            <v>1433</v>
          </cell>
          <cell r="F306" t="str">
            <v>PROC-MR-1</v>
          </cell>
        </row>
        <row r="307">
          <cell r="D307" t="str">
            <v>1434</v>
          </cell>
          <cell r="F307" t="str">
            <v>PROC-NM-1</v>
          </cell>
        </row>
        <row r="308">
          <cell r="D308" t="str">
            <v>1435</v>
          </cell>
          <cell r="F308" t="str">
            <v>PROC-NM-2</v>
          </cell>
        </row>
        <row r="309">
          <cell r="D309" t="str">
            <v>1440</v>
          </cell>
          <cell r="F309" t="str">
            <v>PROC-PLG-1</v>
          </cell>
        </row>
        <row r="310">
          <cell r="D310" t="str">
            <v>1441</v>
          </cell>
          <cell r="F310" t="str">
            <v>PROC-PLG-2</v>
          </cell>
        </row>
        <row r="311">
          <cell r="D311" t="str">
            <v>1442</v>
          </cell>
          <cell r="F311" t="str">
            <v>PROC-PP-1</v>
          </cell>
        </row>
        <row r="312">
          <cell r="D312" t="str">
            <v>1450</v>
          </cell>
          <cell r="F312" t="str">
            <v>PROC-TBT-1</v>
          </cell>
        </row>
        <row r="313">
          <cell r="D313" t="str">
            <v>1450</v>
          </cell>
          <cell r="F313" t="str">
            <v>PRO_BURN-SP-1</v>
          </cell>
        </row>
        <row r="314">
          <cell r="D314" t="str">
            <v>1451</v>
          </cell>
          <cell r="F314" t="str">
            <v>PRO_FUR-SP-1</v>
          </cell>
        </row>
        <row r="315">
          <cell r="D315" t="str">
            <v>1452</v>
          </cell>
          <cell r="F315" t="str">
            <v>PRO_FUR-SP-2</v>
          </cell>
        </row>
        <row r="316">
          <cell r="D316" t="str">
            <v>1453</v>
          </cell>
          <cell r="F316" t="str">
            <v>PRO_FUR_BUR-SP-1</v>
          </cell>
        </row>
        <row r="317">
          <cell r="D317" t="str">
            <v>1454</v>
          </cell>
          <cell r="F317" t="str">
            <v>PRO_FUR_BUR-SP-2</v>
          </cell>
        </row>
        <row r="318">
          <cell r="D318" t="str">
            <v>1470</v>
          </cell>
          <cell r="F318" t="str">
            <v>PRO_FUR_BUR-SP-3</v>
          </cell>
        </row>
        <row r="319">
          <cell r="D319" t="str">
            <v>1471</v>
          </cell>
          <cell r="F319" t="str">
            <v>PRO_MAC-SP-1</v>
          </cell>
        </row>
        <row r="320">
          <cell r="D320" t="str">
            <v>1472</v>
          </cell>
          <cell r="F320" t="str">
            <v>PRO_MAC-SP-2</v>
          </cell>
        </row>
        <row r="321">
          <cell r="D321" t="str">
            <v>1473</v>
          </cell>
          <cell r="F321" t="str">
            <v>PRO_MAC-SP-3</v>
          </cell>
        </row>
        <row r="322">
          <cell r="D322" t="str">
            <v>1474</v>
          </cell>
          <cell r="F322" t="str">
            <v>PRO_MAC-SP-4</v>
          </cell>
        </row>
        <row r="323">
          <cell r="D323" t="str">
            <v>1475</v>
          </cell>
          <cell r="F323" t="str">
            <v>PRO_MAC-SP-5</v>
          </cell>
        </row>
        <row r="324">
          <cell r="D324" t="str">
            <v>1476</v>
          </cell>
          <cell r="F324" t="str">
            <v>PRO_MAC-SP-6</v>
          </cell>
        </row>
        <row r="325">
          <cell r="D325" t="str">
            <v>1477</v>
          </cell>
          <cell r="F325" t="str">
            <v>PVHE-CN-1</v>
          </cell>
        </row>
        <row r="326">
          <cell r="D326" t="str">
            <v>1478</v>
          </cell>
          <cell r="F326" t="str">
            <v>PVHE-DW-1</v>
          </cell>
        </row>
        <row r="327">
          <cell r="D327" t="str">
            <v>1479</v>
          </cell>
          <cell r="F327" t="str">
            <v>PVHE-DW-10</v>
          </cell>
        </row>
        <row r="328">
          <cell r="D328" t="str">
            <v>1500</v>
          </cell>
          <cell r="F328" t="str">
            <v>PVHE-DW-11</v>
          </cell>
        </row>
        <row r="329">
          <cell r="D329" t="str">
            <v>1501</v>
          </cell>
          <cell r="F329" t="str">
            <v>PVHE-DW-12</v>
          </cell>
        </row>
        <row r="330">
          <cell r="D330" t="str">
            <v>1502</v>
          </cell>
          <cell r="F330" t="str">
            <v>PVHE-DW-13</v>
          </cell>
        </row>
        <row r="331">
          <cell r="D331" t="str">
            <v>1503</v>
          </cell>
          <cell r="F331" t="str">
            <v>PVHE-DW-14</v>
          </cell>
        </row>
        <row r="332">
          <cell r="D332" t="str">
            <v>1504</v>
          </cell>
          <cell r="F332" t="str">
            <v>PVHE-DW-2</v>
          </cell>
        </row>
        <row r="333">
          <cell r="D333" t="str">
            <v>1505</v>
          </cell>
          <cell r="F333" t="str">
            <v>PVHE-DW-3</v>
          </cell>
        </row>
        <row r="334">
          <cell r="D334" t="str">
            <v>1510</v>
          </cell>
          <cell r="F334" t="str">
            <v>PVHE-DW-4</v>
          </cell>
        </row>
        <row r="335">
          <cell r="D335" t="str">
            <v>1511</v>
          </cell>
          <cell r="F335" t="str">
            <v>PVHE-DW-5</v>
          </cell>
        </row>
        <row r="336">
          <cell r="D336" t="str">
            <v>1512</v>
          </cell>
          <cell r="F336" t="str">
            <v>PVHE-DW-6</v>
          </cell>
        </row>
        <row r="337">
          <cell r="D337" t="str">
            <v>1513</v>
          </cell>
          <cell r="F337" t="str">
            <v>PVHE-DW-7</v>
          </cell>
        </row>
        <row r="338">
          <cell r="D338" t="str">
            <v>1514</v>
          </cell>
          <cell r="F338" t="str">
            <v>PVHE-DW-8</v>
          </cell>
        </row>
        <row r="339">
          <cell r="D339" t="str">
            <v>1515</v>
          </cell>
          <cell r="F339" t="str">
            <v>PVHE-DW-9</v>
          </cell>
        </row>
        <row r="340">
          <cell r="D340" t="str">
            <v>1516</v>
          </cell>
          <cell r="F340" t="str">
            <v>PVHE-JSD-1</v>
          </cell>
        </row>
        <row r="341">
          <cell r="D341" t="str">
            <v>1517</v>
          </cell>
          <cell r="F341" t="str">
            <v>PVHE-JSS-1</v>
          </cell>
        </row>
        <row r="342">
          <cell r="D342" t="str">
            <v>1518</v>
          </cell>
          <cell r="F342" t="str">
            <v>PVHE-JSS-2</v>
          </cell>
        </row>
        <row r="343">
          <cell r="D343" t="str">
            <v>1521</v>
          </cell>
          <cell r="F343" t="str">
            <v>PVHE-JSS-3</v>
          </cell>
        </row>
        <row r="344">
          <cell r="D344" t="str">
            <v>1522</v>
          </cell>
          <cell r="F344" t="str">
            <v>PVHE-MR-1</v>
          </cell>
        </row>
        <row r="345">
          <cell r="D345" t="str">
            <v>1523</v>
          </cell>
          <cell r="F345" t="str">
            <v>PVHE-MR-2</v>
          </cell>
        </row>
        <row r="346">
          <cell r="D346" t="str">
            <v>1524</v>
          </cell>
          <cell r="F346" t="str">
            <v>PVHE-NM-1</v>
          </cell>
        </row>
        <row r="347">
          <cell r="D347" t="str">
            <v>1525</v>
          </cell>
          <cell r="F347" t="str">
            <v>PVHE-QCP-1</v>
          </cell>
        </row>
        <row r="348">
          <cell r="D348" t="str">
            <v>1526</v>
          </cell>
          <cell r="F348" t="str">
            <v>PVHE-STD-1</v>
          </cell>
        </row>
        <row r="349">
          <cell r="D349" t="str">
            <v>1530</v>
          </cell>
          <cell r="F349" t="str">
            <v>PVHE-STD-2</v>
          </cell>
        </row>
        <row r="350">
          <cell r="D350" t="str">
            <v>1531</v>
          </cell>
          <cell r="F350" t="str">
            <v>PVHE-TBT-1</v>
          </cell>
        </row>
        <row r="351">
          <cell r="D351" t="str">
            <v>1532</v>
          </cell>
          <cell r="F351" t="str">
            <v>PVHE-TBT-2</v>
          </cell>
        </row>
        <row r="352">
          <cell r="D352" t="str">
            <v>1533</v>
          </cell>
          <cell r="F352" t="str">
            <v>QUA-CK-1</v>
          </cell>
        </row>
        <row r="353">
          <cell r="D353" t="str">
            <v>1534</v>
          </cell>
          <cell r="F353" t="str">
            <v>QUA-DW-1</v>
          </cell>
        </row>
        <row r="354">
          <cell r="D354" t="str">
            <v>1535</v>
          </cell>
          <cell r="F354" t="str">
            <v>QUA-ML-1</v>
          </cell>
        </row>
        <row r="355">
          <cell r="D355" t="str">
            <v>1536</v>
          </cell>
          <cell r="F355" t="str">
            <v>QUA-MR-1</v>
          </cell>
        </row>
        <row r="356">
          <cell r="D356" t="str">
            <v>1539</v>
          </cell>
          <cell r="F356" t="str">
            <v>QUA-NM-1</v>
          </cell>
        </row>
        <row r="357">
          <cell r="D357" t="str">
            <v>1540</v>
          </cell>
          <cell r="F357" t="str">
            <v>QUA-NM-2</v>
          </cell>
        </row>
        <row r="358">
          <cell r="D358" t="str">
            <v>1541</v>
          </cell>
          <cell r="F358" t="str">
            <v>QUA-PLG-1</v>
          </cell>
        </row>
        <row r="359">
          <cell r="D359" t="str">
            <v>1542</v>
          </cell>
          <cell r="F359" t="str">
            <v>QUA-PP-1</v>
          </cell>
        </row>
        <row r="360">
          <cell r="D360" t="str">
            <v>1543</v>
          </cell>
          <cell r="F360" t="str">
            <v>QUA-RT-1</v>
          </cell>
        </row>
        <row r="361">
          <cell r="D361" t="str">
            <v>1544</v>
          </cell>
          <cell r="F361" t="str">
            <v>QUA-SP-1</v>
          </cell>
        </row>
        <row r="362">
          <cell r="D362" t="str">
            <v>1545</v>
          </cell>
          <cell r="F362" t="str">
            <v>QUA_TBT-1</v>
          </cell>
        </row>
        <row r="363">
          <cell r="D363" t="str">
            <v>1546</v>
          </cell>
          <cell r="F363" t="str">
            <v>START-UP-NM-1</v>
          </cell>
        </row>
        <row r="364">
          <cell r="D364" t="str">
            <v>1547</v>
          </cell>
          <cell r="F364" t="str">
            <v>START-UP-PLG-1</v>
          </cell>
        </row>
        <row r="365">
          <cell r="D365" t="str">
            <v>1548</v>
          </cell>
          <cell r="F365" t="str">
            <v>START-UP-PP-1</v>
          </cell>
        </row>
        <row r="366">
          <cell r="D366" t="str">
            <v>1551</v>
          </cell>
          <cell r="F366" t="str">
            <v>START-UP-QCP-1</v>
          </cell>
        </row>
        <row r="367">
          <cell r="D367" t="str">
            <v>1552</v>
          </cell>
          <cell r="F367" t="str">
            <v>START-UP-QCP-2</v>
          </cell>
        </row>
        <row r="368">
          <cell r="D368" t="str">
            <v>1553</v>
          </cell>
          <cell r="F368" t="str">
            <v>START-UP-QCP-3</v>
          </cell>
        </row>
        <row r="369">
          <cell r="D369" t="str">
            <v>1554</v>
          </cell>
        </row>
        <row r="370">
          <cell r="D370" t="str">
            <v>1555</v>
          </cell>
        </row>
        <row r="371">
          <cell r="D371" t="str">
            <v>1557</v>
          </cell>
        </row>
        <row r="372">
          <cell r="D372" t="str">
            <v>1558</v>
          </cell>
        </row>
        <row r="373">
          <cell r="D373" t="str">
            <v>1560</v>
          </cell>
        </row>
        <row r="374">
          <cell r="D374" t="str">
            <v>1561</v>
          </cell>
        </row>
        <row r="375">
          <cell r="D375" t="str">
            <v>1562</v>
          </cell>
        </row>
        <row r="376">
          <cell r="D376" t="str">
            <v>1563</v>
          </cell>
        </row>
        <row r="377">
          <cell r="D377" t="str">
            <v>1564</v>
          </cell>
        </row>
        <row r="378">
          <cell r="D378" t="str">
            <v>1565</v>
          </cell>
        </row>
        <row r="379">
          <cell r="D379" t="str">
            <v>1566</v>
          </cell>
        </row>
        <row r="380">
          <cell r="D380" t="str">
            <v>1568</v>
          </cell>
        </row>
        <row r="381">
          <cell r="D381" t="str">
            <v>1570</v>
          </cell>
        </row>
        <row r="382">
          <cell r="D382" t="str">
            <v>1571</v>
          </cell>
        </row>
        <row r="383">
          <cell r="D383" t="str">
            <v>1572</v>
          </cell>
        </row>
        <row r="384">
          <cell r="D384" t="str">
            <v>1573</v>
          </cell>
        </row>
        <row r="385">
          <cell r="D385" t="str">
            <v>1574</v>
          </cell>
        </row>
        <row r="386">
          <cell r="D386" t="str">
            <v>1575</v>
          </cell>
        </row>
        <row r="387">
          <cell r="D387" t="str">
            <v>1576</v>
          </cell>
        </row>
        <row r="388">
          <cell r="D388" t="str">
            <v>1577</v>
          </cell>
        </row>
        <row r="389">
          <cell r="D389" t="str">
            <v>1580</v>
          </cell>
        </row>
        <row r="390">
          <cell r="D390" t="str">
            <v>1581</v>
          </cell>
        </row>
        <row r="391">
          <cell r="D391" t="str">
            <v>1583</v>
          </cell>
        </row>
        <row r="392">
          <cell r="D392" t="str">
            <v>1584</v>
          </cell>
        </row>
        <row r="393">
          <cell r="D393" t="str">
            <v>1585</v>
          </cell>
        </row>
        <row r="394">
          <cell r="D394" t="str">
            <v>1586</v>
          </cell>
        </row>
        <row r="395">
          <cell r="D395" t="str">
            <v>1587</v>
          </cell>
        </row>
        <row r="396">
          <cell r="D396" t="str">
            <v>1600</v>
          </cell>
        </row>
        <row r="397">
          <cell r="D397" t="str">
            <v>1601</v>
          </cell>
        </row>
        <row r="398">
          <cell r="D398" t="str">
            <v>1602</v>
          </cell>
        </row>
        <row r="399">
          <cell r="D399" t="str">
            <v>1603</v>
          </cell>
        </row>
        <row r="400">
          <cell r="D400" t="str">
            <v>1604</v>
          </cell>
        </row>
        <row r="401">
          <cell r="D401" t="str">
            <v>1610</v>
          </cell>
        </row>
        <row r="402">
          <cell r="D402" t="str">
            <v>1611</v>
          </cell>
        </row>
        <row r="403">
          <cell r="D403" t="str">
            <v>1612</v>
          </cell>
        </row>
        <row r="404">
          <cell r="D404" t="str">
            <v>1619</v>
          </cell>
        </row>
        <row r="405">
          <cell r="D405" t="str">
            <v>1620</v>
          </cell>
        </row>
        <row r="406">
          <cell r="D406" t="str">
            <v>1621</v>
          </cell>
        </row>
        <row r="407">
          <cell r="D407" t="str">
            <v>1622</v>
          </cell>
        </row>
        <row r="408">
          <cell r="D408" t="str">
            <v>1623</v>
          </cell>
        </row>
        <row r="409">
          <cell r="D409" t="str">
            <v>1624</v>
          </cell>
        </row>
        <row r="410">
          <cell r="D410" t="str">
            <v>1625</v>
          </cell>
        </row>
        <row r="411">
          <cell r="D411" t="str">
            <v>1626</v>
          </cell>
        </row>
        <row r="412">
          <cell r="D412" t="str">
            <v>1627</v>
          </cell>
        </row>
        <row r="413">
          <cell r="D413" t="str">
            <v>1628</v>
          </cell>
        </row>
        <row r="414">
          <cell r="D414" t="str">
            <v>1629</v>
          </cell>
        </row>
        <row r="415">
          <cell r="D415" t="str">
            <v>1630</v>
          </cell>
        </row>
        <row r="416">
          <cell r="D416" t="str">
            <v>1631</v>
          </cell>
        </row>
        <row r="417">
          <cell r="D417" t="str">
            <v>1632</v>
          </cell>
        </row>
        <row r="418">
          <cell r="D418" t="str">
            <v>1633</v>
          </cell>
        </row>
        <row r="419">
          <cell r="D419" t="str">
            <v>1634</v>
          </cell>
        </row>
        <row r="420">
          <cell r="D420" t="str">
            <v>1638</v>
          </cell>
        </row>
        <row r="421">
          <cell r="D421" t="str">
            <v>1639</v>
          </cell>
        </row>
        <row r="422">
          <cell r="D422" t="str">
            <v>1640</v>
          </cell>
        </row>
        <row r="423">
          <cell r="D423" t="str">
            <v>1641</v>
          </cell>
        </row>
        <row r="424">
          <cell r="D424" t="str">
            <v>1642</v>
          </cell>
        </row>
        <row r="425">
          <cell r="D425" t="str">
            <v>1643</v>
          </cell>
        </row>
        <row r="426">
          <cell r="D426" t="str">
            <v>1650</v>
          </cell>
        </row>
        <row r="427">
          <cell r="D427" t="str">
            <v>1651</v>
          </cell>
        </row>
        <row r="428">
          <cell r="D428" t="str">
            <v>1652</v>
          </cell>
        </row>
        <row r="429">
          <cell r="D429" t="str">
            <v>1653</v>
          </cell>
        </row>
        <row r="430">
          <cell r="D430" t="str">
            <v>1654</v>
          </cell>
        </row>
        <row r="431">
          <cell r="D431" t="str">
            <v>1655</v>
          </cell>
        </row>
        <row r="432">
          <cell r="D432" t="str">
            <v>1656</v>
          </cell>
        </row>
        <row r="433">
          <cell r="D433" t="str">
            <v>1657</v>
          </cell>
        </row>
        <row r="434">
          <cell r="D434" t="str">
            <v>1658</v>
          </cell>
        </row>
        <row r="435">
          <cell r="D435" t="str">
            <v>1660</v>
          </cell>
        </row>
        <row r="436">
          <cell r="D436" t="str">
            <v>1661</v>
          </cell>
        </row>
        <row r="437">
          <cell r="D437" t="str">
            <v>1662</v>
          </cell>
        </row>
        <row r="438">
          <cell r="D438" t="str">
            <v>1663</v>
          </cell>
        </row>
        <row r="439">
          <cell r="D439" t="str">
            <v>1664</v>
          </cell>
        </row>
        <row r="440">
          <cell r="D440" t="str">
            <v>1665</v>
          </cell>
        </row>
        <row r="441">
          <cell r="D441" t="str">
            <v>1670</v>
          </cell>
        </row>
        <row r="442">
          <cell r="D442" t="str">
            <v>1671</v>
          </cell>
        </row>
        <row r="443">
          <cell r="D443" t="str">
            <v>1672</v>
          </cell>
        </row>
        <row r="444">
          <cell r="D444" t="str">
            <v>1673</v>
          </cell>
        </row>
        <row r="445">
          <cell r="D445" t="str">
            <v>1675</v>
          </cell>
        </row>
        <row r="446">
          <cell r="D446" t="str">
            <v>1676</v>
          </cell>
        </row>
        <row r="447">
          <cell r="D447" t="str">
            <v>1680</v>
          </cell>
        </row>
        <row r="448">
          <cell r="D448" t="str">
            <v>1681</v>
          </cell>
        </row>
        <row r="449">
          <cell r="D449" t="str">
            <v>1682</v>
          </cell>
        </row>
        <row r="450">
          <cell r="D450" t="str">
            <v>1684</v>
          </cell>
        </row>
        <row r="451">
          <cell r="D451" t="str">
            <v>1687</v>
          </cell>
        </row>
        <row r="452">
          <cell r="D452" t="str">
            <v>1688</v>
          </cell>
        </row>
        <row r="453">
          <cell r="D453" t="str">
            <v>1690</v>
          </cell>
        </row>
        <row r="454">
          <cell r="D454" t="str">
            <v>1691</v>
          </cell>
        </row>
        <row r="455">
          <cell r="D455" t="str">
            <v>1692</v>
          </cell>
        </row>
        <row r="456">
          <cell r="D456" t="str">
            <v>1693</v>
          </cell>
        </row>
        <row r="457">
          <cell r="D457" t="str">
            <v>1694</v>
          </cell>
        </row>
        <row r="458">
          <cell r="D458" t="str">
            <v>1695</v>
          </cell>
        </row>
        <row r="459">
          <cell r="D459" t="str">
            <v>1696</v>
          </cell>
        </row>
        <row r="460">
          <cell r="D460" t="str">
            <v>1697</v>
          </cell>
        </row>
        <row r="461">
          <cell r="D461" t="str">
            <v>1698</v>
          </cell>
        </row>
        <row r="462">
          <cell r="D462" t="str">
            <v>1699</v>
          </cell>
        </row>
        <row r="463">
          <cell r="D463" t="str">
            <v>1700</v>
          </cell>
        </row>
        <row r="464">
          <cell r="D464" t="str">
            <v>1701</v>
          </cell>
        </row>
        <row r="465">
          <cell r="D465" t="str">
            <v>1702</v>
          </cell>
        </row>
        <row r="466">
          <cell r="D466" t="str">
            <v>1710</v>
          </cell>
        </row>
        <row r="467">
          <cell r="D467" t="str">
            <v>1720</v>
          </cell>
        </row>
        <row r="468">
          <cell r="D468" t="str">
            <v>1721</v>
          </cell>
        </row>
        <row r="469">
          <cell r="D469" t="str">
            <v>1722</v>
          </cell>
        </row>
        <row r="470">
          <cell r="D470" t="str">
            <v>1723</v>
          </cell>
        </row>
        <row r="471">
          <cell r="D471" t="str">
            <v>1724</v>
          </cell>
        </row>
        <row r="472">
          <cell r="D472" t="str">
            <v>1730</v>
          </cell>
        </row>
        <row r="473">
          <cell r="D473" t="str">
            <v>1731</v>
          </cell>
        </row>
        <row r="474">
          <cell r="D474" t="str">
            <v>1732</v>
          </cell>
        </row>
        <row r="475">
          <cell r="D475" t="str">
            <v>1733</v>
          </cell>
        </row>
        <row r="476">
          <cell r="D476" t="str">
            <v>1734</v>
          </cell>
        </row>
        <row r="477">
          <cell r="D477" t="str">
            <v>1735</v>
          </cell>
        </row>
        <row r="478">
          <cell r="D478" t="str">
            <v>1740</v>
          </cell>
        </row>
        <row r="479">
          <cell r="D479" t="str">
            <v>1741</v>
          </cell>
        </row>
        <row r="480">
          <cell r="D480" t="str">
            <v>1742</v>
          </cell>
        </row>
        <row r="481">
          <cell r="D481" t="str">
            <v>1743</v>
          </cell>
        </row>
        <row r="482">
          <cell r="D482" t="str">
            <v>1744</v>
          </cell>
        </row>
        <row r="483">
          <cell r="D483" t="str">
            <v>1745</v>
          </cell>
        </row>
        <row r="484">
          <cell r="D484" t="str">
            <v>1750</v>
          </cell>
        </row>
        <row r="485">
          <cell r="D485" t="str">
            <v>1760</v>
          </cell>
        </row>
        <row r="486">
          <cell r="D486" t="str">
            <v>1800</v>
          </cell>
        </row>
        <row r="487">
          <cell r="D487" t="str">
            <v>1802</v>
          </cell>
        </row>
        <row r="488">
          <cell r="D488" t="str">
            <v>1810</v>
          </cell>
        </row>
        <row r="489">
          <cell r="D489" t="str">
            <v>1820</v>
          </cell>
        </row>
        <row r="490">
          <cell r="D490" t="str">
            <v>1821</v>
          </cell>
        </row>
        <row r="491">
          <cell r="D491" t="str">
            <v>1822</v>
          </cell>
        </row>
        <row r="492">
          <cell r="D492" t="str">
            <v>1823</v>
          </cell>
        </row>
        <row r="493">
          <cell r="D493" t="str">
            <v>1824</v>
          </cell>
        </row>
        <row r="494">
          <cell r="D494" t="str">
            <v>1825</v>
          </cell>
        </row>
        <row r="495">
          <cell r="D495" t="str">
            <v>1830</v>
          </cell>
        </row>
        <row r="496">
          <cell r="D496" t="str">
            <v>1831</v>
          </cell>
        </row>
        <row r="497">
          <cell r="D497" t="str">
            <v>1832</v>
          </cell>
        </row>
        <row r="498">
          <cell r="D498" t="str">
            <v>1833</v>
          </cell>
        </row>
        <row r="499">
          <cell r="D499" t="str">
            <v>1834</v>
          </cell>
        </row>
        <row r="500">
          <cell r="D500" t="str">
            <v>1835</v>
          </cell>
        </row>
        <row r="501">
          <cell r="D501" t="str">
            <v>1841</v>
          </cell>
        </row>
        <row r="502">
          <cell r="D502" t="str">
            <v>1842</v>
          </cell>
        </row>
        <row r="503">
          <cell r="D503" t="str">
            <v>1843</v>
          </cell>
        </row>
        <row r="504">
          <cell r="D504" t="str">
            <v>1844</v>
          </cell>
        </row>
        <row r="505">
          <cell r="D505" t="str">
            <v>1845</v>
          </cell>
        </row>
        <row r="506">
          <cell r="D506" t="str">
            <v>1846</v>
          </cell>
        </row>
        <row r="507">
          <cell r="D507" t="str">
            <v>1870</v>
          </cell>
        </row>
        <row r="508">
          <cell r="D508" t="str">
            <v>1880</v>
          </cell>
        </row>
        <row r="509">
          <cell r="D509" t="str">
            <v>1890</v>
          </cell>
        </row>
        <row r="510">
          <cell r="D510" t="str">
            <v>1900</v>
          </cell>
        </row>
        <row r="511">
          <cell r="D511" t="str">
            <v>1901</v>
          </cell>
        </row>
        <row r="512">
          <cell r="D512" t="str">
            <v>1902</v>
          </cell>
        </row>
        <row r="513">
          <cell r="D513" t="str">
            <v>1903</v>
          </cell>
        </row>
        <row r="514">
          <cell r="D514" t="str">
            <v>1904</v>
          </cell>
        </row>
        <row r="515">
          <cell r="D515" t="str">
            <v>1905</v>
          </cell>
        </row>
        <row r="516">
          <cell r="D516" t="str">
            <v>1910</v>
          </cell>
        </row>
        <row r="517">
          <cell r="D517" t="str">
            <v>1920</v>
          </cell>
        </row>
        <row r="518">
          <cell r="D518" t="str">
            <v>1930</v>
          </cell>
        </row>
        <row r="519">
          <cell r="D519" t="str">
            <v>1931</v>
          </cell>
        </row>
        <row r="520">
          <cell r="D520" t="str">
            <v>1932</v>
          </cell>
        </row>
        <row r="521">
          <cell r="D521" t="str">
            <v>1933</v>
          </cell>
        </row>
        <row r="522">
          <cell r="D522" t="str">
            <v>1940</v>
          </cell>
        </row>
        <row r="523">
          <cell r="D523" t="str">
            <v>1950</v>
          </cell>
        </row>
        <row r="524">
          <cell r="D524" t="str">
            <v>1960</v>
          </cell>
        </row>
        <row r="525">
          <cell r="D525" t="str">
            <v>1970</v>
          </cell>
        </row>
        <row r="526">
          <cell r="D526" t="str">
            <v>1980</v>
          </cell>
        </row>
        <row r="527">
          <cell r="D527" t="str">
            <v>1990</v>
          </cell>
        </row>
        <row r="528">
          <cell r="D528" t="str">
            <v>2000</v>
          </cell>
        </row>
        <row r="529">
          <cell r="D529" t="str">
            <v>2001</v>
          </cell>
        </row>
        <row r="530">
          <cell r="D530" t="str">
            <v>2010</v>
          </cell>
        </row>
        <row r="531">
          <cell r="D531" t="str">
            <v>2020</v>
          </cell>
        </row>
        <row r="532">
          <cell r="D532" t="str">
            <v>2021</v>
          </cell>
        </row>
        <row r="533">
          <cell r="D533" t="str">
            <v>2022</v>
          </cell>
        </row>
        <row r="534">
          <cell r="D534" t="str">
            <v>2023</v>
          </cell>
        </row>
        <row r="535">
          <cell r="D535" t="str">
            <v>2024</v>
          </cell>
        </row>
        <row r="536">
          <cell r="D536" t="str">
            <v>2025</v>
          </cell>
        </row>
        <row r="537">
          <cell r="D537" t="str">
            <v>2026</v>
          </cell>
        </row>
        <row r="538">
          <cell r="D538" t="str">
            <v>2027</v>
          </cell>
        </row>
        <row r="539">
          <cell r="D539" t="str">
            <v>2028</v>
          </cell>
        </row>
        <row r="540">
          <cell r="D540" t="str">
            <v>2030</v>
          </cell>
        </row>
        <row r="541">
          <cell r="D541" t="str">
            <v>2031</v>
          </cell>
        </row>
        <row r="542">
          <cell r="D542" t="str">
            <v>2032</v>
          </cell>
        </row>
        <row r="543">
          <cell r="D543" t="str">
            <v>2033</v>
          </cell>
        </row>
        <row r="544">
          <cell r="D544" t="str">
            <v>2034</v>
          </cell>
        </row>
        <row r="545">
          <cell r="D545" t="str">
            <v>2035</v>
          </cell>
        </row>
        <row r="546">
          <cell r="D546" t="str">
            <v>2036</v>
          </cell>
        </row>
        <row r="547">
          <cell r="D547" t="str">
            <v>2037</v>
          </cell>
        </row>
        <row r="548">
          <cell r="D548" t="str">
            <v>2038</v>
          </cell>
        </row>
        <row r="549">
          <cell r="D549" t="str">
            <v>2040</v>
          </cell>
        </row>
        <row r="550">
          <cell r="D550" t="str">
            <v>2041</v>
          </cell>
        </row>
        <row r="551">
          <cell r="D551" t="str">
            <v>2042</v>
          </cell>
        </row>
        <row r="552">
          <cell r="D552" t="str">
            <v>2043</v>
          </cell>
        </row>
        <row r="553">
          <cell r="D553" t="str">
            <v>2044</v>
          </cell>
        </row>
        <row r="554">
          <cell r="D554" t="str">
            <v>2045</v>
          </cell>
        </row>
        <row r="555">
          <cell r="D555" t="str">
            <v>2046</v>
          </cell>
        </row>
        <row r="556">
          <cell r="D556" t="str">
            <v>2047</v>
          </cell>
        </row>
        <row r="557">
          <cell r="D557" t="str">
            <v>2048</v>
          </cell>
        </row>
        <row r="558">
          <cell r="D558" t="str">
            <v>2050</v>
          </cell>
        </row>
        <row r="559">
          <cell r="D559" t="str">
            <v>2051</v>
          </cell>
        </row>
        <row r="560">
          <cell r="D560" t="str">
            <v>2052</v>
          </cell>
        </row>
        <row r="561">
          <cell r="D561" t="str">
            <v>2053</v>
          </cell>
        </row>
        <row r="562">
          <cell r="D562" t="str">
            <v>2054</v>
          </cell>
        </row>
        <row r="563">
          <cell r="D563" t="str">
            <v>2055</v>
          </cell>
        </row>
        <row r="564">
          <cell r="D564" t="str">
            <v>2056</v>
          </cell>
        </row>
        <row r="565">
          <cell r="D565" t="str">
            <v>2057</v>
          </cell>
        </row>
        <row r="566">
          <cell r="D566" t="str">
            <v>2058</v>
          </cell>
        </row>
        <row r="567">
          <cell r="D567" t="str">
            <v>2060</v>
          </cell>
        </row>
        <row r="568">
          <cell r="D568" t="str">
            <v>2061</v>
          </cell>
        </row>
        <row r="569">
          <cell r="D569" t="str">
            <v>2062</v>
          </cell>
        </row>
        <row r="570">
          <cell r="D570" t="str">
            <v>2070</v>
          </cell>
        </row>
        <row r="571">
          <cell r="D571" t="str">
            <v>2100</v>
          </cell>
        </row>
        <row r="572">
          <cell r="D572" t="str">
            <v>2101</v>
          </cell>
        </row>
        <row r="573">
          <cell r="D573" t="str">
            <v>2110</v>
          </cell>
        </row>
        <row r="574">
          <cell r="D574" t="str">
            <v>2120</v>
          </cell>
        </row>
        <row r="575">
          <cell r="D575" t="str">
            <v>2130</v>
          </cell>
        </row>
        <row r="576">
          <cell r="D576" t="str">
            <v>2140</v>
          </cell>
        </row>
        <row r="577">
          <cell r="D577" t="str">
            <v>2141</v>
          </cell>
        </row>
        <row r="578">
          <cell r="D578" t="str">
            <v>2142</v>
          </cell>
        </row>
        <row r="579">
          <cell r="D579" t="str">
            <v>2143</v>
          </cell>
        </row>
        <row r="580">
          <cell r="D580" t="str">
            <v>2150</v>
          </cell>
        </row>
        <row r="581">
          <cell r="D581" t="str">
            <v>2160</v>
          </cell>
        </row>
        <row r="582">
          <cell r="D582" t="str">
            <v>2161</v>
          </cell>
        </row>
        <row r="583">
          <cell r="D583" t="str">
            <v>2162</v>
          </cell>
        </row>
        <row r="584">
          <cell r="D584" t="str">
            <v>2170</v>
          </cell>
        </row>
        <row r="585">
          <cell r="D585" t="str">
            <v>2171</v>
          </cell>
        </row>
        <row r="586">
          <cell r="D586" t="str">
            <v>2180</v>
          </cell>
        </row>
        <row r="587">
          <cell r="D587" t="str">
            <v>2181</v>
          </cell>
        </row>
        <row r="588">
          <cell r="D588" t="str">
            <v>2190</v>
          </cell>
        </row>
        <row r="589">
          <cell r="D589" t="str">
            <v>2191</v>
          </cell>
        </row>
        <row r="590">
          <cell r="D590" t="str">
            <v>2200</v>
          </cell>
        </row>
        <row r="591">
          <cell r="D591" t="str">
            <v>2210</v>
          </cell>
        </row>
        <row r="592">
          <cell r="D592" t="str">
            <v>2220</v>
          </cell>
        </row>
        <row r="593">
          <cell r="D593" t="str">
            <v>2230</v>
          </cell>
        </row>
        <row r="594">
          <cell r="D594" t="str">
            <v>2240</v>
          </cell>
        </row>
        <row r="595">
          <cell r="D595" t="str">
            <v>2280</v>
          </cell>
        </row>
        <row r="596">
          <cell r="D596" t="str">
            <v>2290</v>
          </cell>
        </row>
        <row r="597">
          <cell r="D597" t="str">
            <v>2300</v>
          </cell>
        </row>
        <row r="598">
          <cell r="D598" t="str">
            <v>2310</v>
          </cell>
        </row>
        <row r="599">
          <cell r="D599" t="str">
            <v>2320</v>
          </cell>
        </row>
        <row r="600">
          <cell r="D600" t="str">
            <v>2500</v>
          </cell>
        </row>
        <row r="601">
          <cell r="D601" t="str">
            <v>2501</v>
          </cell>
        </row>
        <row r="602">
          <cell r="D602" t="str">
            <v>2510</v>
          </cell>
        </row>
        <row r="603">
          <cell r="D603" t="str">
            <v>2520</v>
          </cell>
        </row>
        <row r="604">
          <cell r="D604" t="str">
            <v>2540</v>
          </cell>
        </row>
        <row r="605">
          <cell r="D605" t="str">
            <v>2541</v>
          </cell>
        </row>
        <row r="606">
          <cell r="D606" t="str">
            <v>2542</v>
          </cell>
        </row>
        <row r="607">
          <cell r="D607" t="str">
            <v>2543</v>
          </cell>
        </row>
        <row r="608">
          <cell r="D608" t="str">
            <v>2550</v>
          </cell>
        </row>
        <row r="609">
          <cell r="D609" t="str">
            <v>2560</v>
          </cell>
        </row>
        <row r="610">
          <cell r="D610" t="str">
            <v>2561</v>
          </cell>
        </row>
        <row r="611">
          <cell r="D611" t="str">
            <v>2562</v>
          </cell>
        </row>
        <row r="612">
          <cell r="D612" t="str">
            <v>2563</v>
          </cell>
        </row>
        <row r="613">
          <cell r="D613" t="str">
            <v>2564</v>
          </cell>
        </row>
        <row r="614">
          <cell r="D614" t="str">
            <v>2565</v>
          </cell>
        </row>
        <row r="615">
          <cell r="D615" t="str">
            <v>2566</v>
          </cell>
        </row>
        <row r="616">
          <cell r="D616" t="str">
            <v>2570</v>
          </cell>
        </row>
        <row r="617">
          <cell r="D617" t="str">
            <v>2580</v>
          </cell>
        </row>
        <row r="618">
          <cell r="D618" t="str">
            <v>2600</v>
          </cell>
        </row>
        <row r="619">
          <cell r="D619" t="str">
            <v>2610</v>
          </cell>
        </row>
        <row r="620">
          <cell r="D620" t="str">
            <v>2620</v>
          </cell>
        </row>
        <row r="621">
          <cell r="D621" t="str">
            <v>2630</v>
          </cell>
        </row>
        <row r="622">
          <cell r="D622" t="str">
            <v>2640</v>
          </cell>
        </row>
        <row r="623">
          <cell r="D623" t="str">
            <v>2650</v>
          </cell>
        </row>
        <row r="624">
          <cell r="D624" t="str">
            <v>2651</v>
          </cell>
        </row>
        <row r="625">
          <cell r="D625" t="str">
            <v>2652</v>
          </cell>
        </row>
        <row r="626">
          <cell r="D626" t="str">
            <v>3000</v>
          </cell>
        </row>
        <row r="627">
          <cell r="D627" t="str">
            <v>3001</v>
          </cell>
        </row>
        <row r="628">
          <cell r="D628" t="str">
            <v>3002</v>
          </cell>
        </row>
        <row r="629">
          <cell r="D629" t="str">
            <v>3003</v>
          </cell>
        </row>
        <row r="630">
          <cell r="D630" t="str">
            <v>3004</v>
          </cell>
        </row>
        <row r="631">
          <cell r="D631" t="str">
            <v>3005</v>
          </cell>
        </row>
        <row r="632">
          <cell r="D632" t="str">
            <v>3006</v>
          </cell>
        </row>
        <row r="633">
          <cell r="D633" t="str">
            <v>3007</v>
          </cell>
        </row>
        <row r="634">
          <cell r="D634" t="str">
            <v>3008</v>
          </cell>
        </row>
        <row r="635">
          <cell r="D635" t="str">
            <v>3009</v>
          </cell>
        </row>
        <row r="636">
          <cell r="D636" t="str">
            <v>3010</v>
          </cell>
        </row>
        <row r="637">
          <cell r="D637" t="str">
            <v>3011</v>
          </cell>
        </row>
        <row r="638">
          <cell r="D638" t="str">
            <v>3012</v>
          </cell>
        </row>
        <row r="639">
          <cell r="D639" t="str">
            <v>3013</v>
          </cell>
        </row>
        <row r="640">
          <cell r="D640" t="str">
            <v>3014</v>
          </cell>
        </row>
        <row r="641">
          <cell r="D641" t="str">
            <v>3015</v>
          </cell>
        </row>
        <row r="642">
          <cell r="D642" t="str">
            <v>3020</v>
          </cell>
        </row>
        <row r="643">
          <cell r="D643" t="str">
            <v>3021</v>
          </cell>
        </row>
        <row r="644">
          <cell r="D644" t="str">
            <v>3022</v>
          </cell>
        </row>
        <row r="645">
          <cell r="D645" t="str">
            <v>3023</v>
          </cell>
        </row>
        <row r="646">
          <cell r="D646" t="str">
            <v>3024</v>
          </cell>
        </row>
        <row r="647">
          <cell r="D647" t="str">
            <v>3025</v>
          </cell>
        </row>
        <row r="648">
          <cell r="D648" t="str">
            <v>3030</v>
          </cell>
        </row>
        <row r="649">
          <cell r="D649" t="str">
            <v>3031</v>
          </cell>
        </row>
        <row r="650">
          <cell r="D650" t="str">
            <v>3032</v>
          </cell>
        </row>
        <row r="651">
          <cell r="D651" t="str">
            <v>3033</v>
          </cell>
        </row>
        <row r="652">
          <cell r="D652" t="str">
            <v>3034</v>
          </cell>
        </row>
        <row r="653">
          <cell r="D653" t="str">
            <v>3035</v>
          </cell>
        </row>
        <row r="654">
          <cell r="D654" t="str">
            <v>3036</v>
          </cell>
        </row>
        <row r="655">
          <cell r="D655" t="str">
            <v>3037</v>
          </cell>
        </row>
        <row r="656">
          <cell r="D656" t="str">
            <v>3038</v>
          </cell>
        </row>
        <row r="657">
          <cell r="D657" t="str">
            <v>3039</v>
          </cell>
        </row>
        <row r="658">
          <cell r="D658" t="str">
            <v>3040</v>
          </cell>
        </row>
        <row r="659">
          <cell r="D659" t="str">
            <v>3041</v>
          </cell>
        </row>
        <row r="660">
          <cell r="D660" t="str">
            <v>3042</v>
          </cell>
        </row>
        <row r="661">
          <cell r="D661" t="str">
            <v>3043</v>
          </cell>
        </row>
        <row r="662">
          <cell r="D662" t="str">
            <v>3044</v>
          </cell>
        </row>
        <row r="663">
          <cell r="D663" t="str">
            <v>3400</v>
          </cell>
        </row>
        <row r="664">
          <cell r="D664" t="str">
            <v>3410</v>
          </cell>
        </row>
        <row r="665">
          <cell r="D665" t="str">
            <v>3420</v>
          </cell>
        </row>
        <row r="666">
          <cell r="D666" t="str">
            <v>3430</v>
          </cell>
        </row>
        <row r="667">
          <cell r="D667" t="str">
            <v>3431</v>
          </cell>
        </row>
        <row r="668">
          <cell r="D668" t="str">
            <v>3432</v>
          </cell>
        </row>
        <row r="669">
          <cell r="D669" t="str">
            <v>3433</v>
          </cell>
        </row>
        <row r="670">
          <cell r="D670" t="str">
            <v>3434</v>
          </cell>
        </row>
        <row r="671">
          <cell r="D671" t="str">
            <v>3435</v>
          </cell>
        </row>
        <row r="672">
          <cell r="D672" t="str">
            <v>3436</v>
          </cell>
        </row>
        <row r="673">
          <cell r="D673" t="str">
            <v>3437</v>
          </cell>
        </row>
        <row r="674">
          <cell r="D674" t="str">
            <v>3438</v>
          </cell>
        </row>
        <row r="675">
          <cell r="D675" t="str">
            <v>3440</v>
          </cell>
        </row>
        <row r="676">
          <cell r="D676" t="str">
            <v>3441</v>
          </cell>
        </row>
        <row r="677">
          <cell r="D677" t="str">
            <v>3442</v>
          </cell>
        </row>
        <row r="678">
          <cell r="D678" t="str">
            <v>3443</v>
          </cell>
        </row>
        <row r="679">
          <cell r="D679" t="str">
            <v>3444</v>
          </cell>
        </row>
        <row r="680">
          <cell r="D680" t="str">
            <v>3445</v>
          </cell>
        </row>
        <row r="681">
          <cell r="D681" t="str">
            <v>3446</v>
          </cell>
        </row>
        <row r="682">
          <cell r="D682" t="str">
            <v>3447</v>
          </cell>
        </row>
        <row r="683">
          <cell r="D683" t="str">
            <v>3448</v>
          </cell>
        </row>
        <row r="684">
          <cell r="D684" t="str">
            <v>3450</v>
          </cell>
        </row>
        <row r="685">
          <cell r="D685" t="str">
            <v>3451</v>
          </cell>
        </row>
        <row r="686">
          <cell r="D686" t="str">
            <v>3452</v>
          </cell>
        </row>
        <row r="687">
          <cell r="D687" t="str">
            <v>3453</v>
          </cell>
        </row>
        <row r="688">
          <cell r="D688" t="str">
            <v>3454</v>
          </cell>
        </row>
        <row r="689">
          <cell r="D689" t="str">
            <v>3455</v>
          </cell>
        </row>
        <row r="690">
          <cell r="D690" t="str">
            <v>3470</v>
          </cell>
        </row>
        <row r="691">
          <cell r="D691" t="str">
            <v>3480</v>
          </cell>
        </row>
        <row r="692">
          <cell r="D692" t="str">
            <v>3500</v>
          </cell>
        </row>
        <row r="693">
          <cell r="D693" t="str">
            <v>3501</v>
          </cell>
        </row>
        <row r="694">
          <cell r="D694" t="str">
            <v>3502</v>
          </cell>
        </row>
        <row r="695">
          <cell r="D695" t="str">
            <v>3503</v>
          </cell>
        </row>
        <row r="696">
          <cell r="D696" t="str">
            <v>3504</v>
          </cell>
        </row>
        <row r="697">
          <cell r="D697" t="str">
            <v>3505</v>
          </cell>
        </row>
        <row r="698">
          <cell r="D698" t="str">
            <v>3506</v>
          </cell>
        </row>
        <row r="699">
          <cell r="D699" t="str">
            <v>3507</v>
          </cell>
        </row>
        <row r="700">
          <cell r="D700" t="str">
            <v>3508</v>
          </cell>
        </row>
        <row r="701">
          <cell r="D701" t="str">
            <v>3509</v>
          </cell>
        </row>
        <row r="702">
          <cell r="D702" t="str">
            <v>3510</v>
          </cell>
        </row>
        <row r="703">
          <cell r="D703" t="str">
            <v>3511</v>
          </cell>
        </row>
        <row r="704">
          <cell r="D704" t="str">
            <v>3512</v>
          </cell>
        </row>
        <row r="705">
          <cell r="D705" t="str">
            <v>3513</v>
          </cell>
        </row>
        <row r="706">
          <cell r="D706" t="str">
            <v>3514</v>
          </cell>
        </row>
        <row r="707">
          <cell r="D707" t="str">
            <v>3520</v>
          </cell>
        </row>
        <row r="708">
          <cell r="D708" t="str">
            <v>3521</v>
          </cell>
        </row>
        <row r="709">
          <cell r="D709" t="str">
            <v>3522</v>
          </cell>
        </row>
        <row r="710">
          <cell r="D710" t="str">
            <v>3523</v>
          </cell>
        </row>
        <row r="711">
          <cell r="D711" t="str">
            <v>3524</v>
          </cell>
        </row>
        <row r="712">
          <cell r="D712" t="str">
            <v>3525</v>
          </cell>
        </row>
        <row r="713">
          <cell r="D713" t="str">
            <v>3526</v>
          </cell>
        </row>
        <row r="714">
          <cell r="D714" t="str">
            <v>3527</v>
          </cell>
        </row>
        <row r="715">
          <cell r="D715" t="str">
            <v>3530</v>
          </cell>
        </row>
        <row r="716">
          <cell r="D716" t="str">
            <v>3531</v>
          </cell>
        </row>
        <row r="717">
          <cell r="D717" t="str">
            <v>3532</v>
          </cell>
        </row>
        <row r="718">
          <cell r="D718" t="str">
            <v>3540</v>
          </cell>
        </row>
        <row r="719">
          <cell r="D719" t="str">
            <v>3541</v>
          </cell>
        </row>
        <row r="720">
          <cell r="D720" t="str">
            <v>3542</v>
          </cell>
        </row>
        <row r="721">
          <cell r="D721" t="str">
            <v>3543</v>
          </cell>
        </row>
        <row r="722">
          <cell r="D722" t="str">
            <v>3544</v>
          </cell>
        </row>
        <row r="723">
          <cell r="D723" t="str">
            <v>3545</v>
          </cell>
        </row>
        <row r="724">
          <cell r="D724" t="str">
            <v>3546</v>
          </cell>
        </row>
        <row r="725">
          <cell r="D725" t="str">
            <v>3547</v>
          </cell>
        </row>
        <row r="726">
          <cell r="D726" t="str">
            <v>3550</v>
          </cell>
        </row>
        <row r="727">
          <cell r="D727" t="str">
            <v>3560</v>
          </cell>
        </row>
        <row r="728">
          <cell r="D728" t="str">
            <v>3570</v>
          </cell>
        </row>
        <row r="729">
          <cell r="D729" t="str">
            <v>3580</v>
          </cell>
        </row>
        <row r="730">
          <cell r="D730" t="str">
            <v>3581</v>
          </cell>
        </row>
        <row r="731">
          <cell r="D731" t="str">
            <v>3582</v>
          </cell>
        </row>
        <row r="732">
          <cell r="D732" t="str">
            <v>3583</v>
          </cell>
        </row>
        <row r="733">
          <cell r="D733" t="str">
            <v>3590</v>
          </cell>
        </row>
        <row r="734">
          <cell r="D734" t="str">
            <v>3591</v>
          </cell>
        </row>
        <row r="735">
          <cell r="D735" t="str">
            <v>3592</v>
          </cell>
        </row>
        <row r="736">
          <cell r="D736" t="str">
            <v>4000</v>
          </cell>
        </row>
        <row r="737">
          <cell r="D737" t="str">
            <v>4001</v>
          </cell>
        </row>
        <row r="738">
          <cell r="D738" t="str">
            <v>4002</v>
          </cell>
        </row>
        <row r="739">
          <cell r="D739" t="str">
            <v>4003</v>
          </cell>
        </row>
        <row r="740">
          <cell r="D740" t="str">
            <v>4004</v>
          </cell>
        </row>
        <row r="741">
          <cell r="D741" t="str">
            <v>4005</v>
          </cell>
        </row>
        <row r="742">
          <cell r="D742" t="str">
            <v>4006</v>
          </cell>
        </row>
        <row r="743">
          <cell r="D743" t="str">
            <v>4007</v>
          </cell>
        </row>
        <row r="744">
          <cell r="D744" t="str">
            <v>4010</v>
          </cell>
        </row>
        <row r="745">
          <cell r="D745" t="str">
            <v>4011</v>
          </cell>
        </row>
        <row r="746">
          <cell r="D746" t="str">
            <v>4012</v>
          </cell>
        </row>
        <row r="747">
          <cell r="D747" t="str">
            <v>4013</v>
          </cell>
        </row>
        <row r="748">
          <cell r="D748" t="str">
            <v>4014</v>
          </cell>
        </row>
        <row r="749">
          <cell r="D749" t="str">
            <v>4015</v>
          </cell>
        </row>
        <row r="750">
          <cell r="D750" t="str">
            <v>4016</v>
          </cell>
        </row>
        <row r="751">
          <cell r="D751" t="str">
            <v>4017</v>
          </cell>
        </row>
        <row r="752">
          <cell r="D752" t="str">
            <v>4018</v>
          </cell>
        </row>
        <row r="753">
          <cell r="D753" t="str">
            <v>4019</v>
          </cell>
        </row>
        <row r="754">
          <cell r="D754" t="str">
            <v>4020</v>
          </cell>
        </row>
        <row r="755">
          <cell r="D755" t="str">
            <v>4021</v>
          </cell>
        </row>
        <row r="756">
          <cell r="D756" t="str">
            <v>4022</v>
          </cell>
        </row>
        <row r="757">
          <cell r="D757" t="str">
            <v>4023</v>
          </cell>
        </row>
        <row r="758">
          <cell r="D758" t="str">
            <v>4024</v>
          </cell>
        </row>
        <row r="759">
          <cell r="D759" t="str">
            <v>4025</v>
          </cell>
        </row>
        <row r="760">
          <cell r="D760" t="str">
            <v>4026</v>
          </cell>
        </row>
        <row r="761">
          <cell r="D761" t="str">
            <v>4027</v>
          </cell>
        </row>
        <row r="762">
          <cell r="D762" t="str">
            <v>4029</v>
          </cell>
        </row>
        <row r="763">
          <cell r="D763" t="str">
            <v>4030</v>
          </cell>
        </row>
        <row r="764">
          <cell r="D764" t="str">
            <v>4031</v>
          </cell>
        </row>
        <row r="765">
          <cell r="D765" t="str">
            <v>4032</v>
          </cell>
        </row>
        <row r="766">
          <cell r="D766" t="str">
            <v>4033</v>
          </cell>
        </row>
        <row r="767">
          <cell r="D767" t="str">
            <v>4034</v>
          </cell>
        </row>
        <row r="768">
          <cell r="D768" t="str">
            <v>4035</v>
          </cell>
        </row>
        <row r="769">
          <cell r="D769" t="str">
            <v>4036</v>
          </cell>
        </row>
        <row r="770">
          <cell r="D770" t="str">
            <v>4040</v>
          </cell>
        </row>
        <row r="771">
          <cell r="D771" t="str">
            <v>4041</v>
          </cell>
        </row>
        <row r="772">
          <cell r="D772" t="str">
            <v>4042</v>
          </cell>
        </row>
        <row r="773">
          <cell r="D773" t="str">
            <v>4043</v>
          </cell>
        </row>
        <row r="774">
          <cell r="D774" t="str">
            <v>4044</v>
          </cell>
        </row>
        <row r="775">
          <cell r="D775" t="str">
            <v>4045</v>
          </cell>
        </row>
        <row r="776">
          <cell r="D776" t="str">
            <v>4046</v>
          </cell>
        </row>
        <row r="777">
          <cell r="D777" t="str">
            <v>4047</v>
          </cell>
        </row>
        <row r="778">
          <cell r="D778" t="str">
            <v>4050</v>
          </cell>
        </row>
        <row r="779">
          <cell r="D779" t="str">
            <v>4051</v>
          </cell>
        </row>
        <row r="780">
          <cell r="D780" t="str">
            <v>4052</v>
          </cell>
        </row>
        <row r="781">
          <cell r="D781" t="str">
            <v>4053</v>
          </cell>
        </row>
        <row r="782">
          <cell r="D782" t="str">
            <v>4054</v>
          </cell>
        </row>
        <row r="783">
          <cell r="D783" t="str">
            <v>4055</v>
          </cell>
        </row>
        <row r="784">
          <cell r="D784" t="str">
            <v>4056</v>
          </cell>
        </row>
        <row r="785">
          <cell r="D785" t="str">
            <v>4057</v>
          </cell>
        </row>
        <row r="786">
          <cell r="D786" t="str">
            <v>4058</v>
          </cell>
        </row>
        <row r="787">
          <cell r="D787" t="str">
            <v>4060</v>
          </cell>
        </row>
        <row r="788">
          <cell r="D788" t="str">
            <v>4061</v>
          </cell>
        </row>
        <row r="789">
          <cell r="D789" t="str">
            <v>4062</v>
          </cell>
        </row>
        <row r="790">
          <cell r="D790" t="str">
            <v>4064</v>
          </cell>
        </row>
        <row r="791">
          <cell r="D791" t="str">
            <v>4065</v>
          </cell>
        </row>
        <row r="792">
          <cell r="D792" t="str">
            <v>4066</v>
          </cell>
        </row>
        <row r="793">
          <cell r="D793" t="str">
            <v>4067</v>
          </cell>
        </row>
        <row r="794">
          <cell r="D794" t="str">
            <v>4068</v>
          </cell>
        </row>
        <row r="795">
          <cell r="D795" t="str">
            <v>4069</v>
          </cell>
        </row>
        <row r="796">
          <cell r="D796" t="str">
            <v>4070</v>
          </cell>
        </row>
        <row r="797">
          <cell r="D797" t="str">
            <v>4080</v>
          </cell>
        </row>
        <row r="798">
          <cell r="D798" t="str">
            <v>4081</v>
          </cell>
        </row>
        <row r="799">
          <cell r="D799" t="str">
            <v>4082</v>
          </cell>
        </row>
        <row r="800">
          <cell r="D800" t="str">
            <v>4090</v>
          </cell>
        </row>
        <row r="801">
          <cell r="D801" t="str">
            <v>4100</v>
          </cell>
        </row>
        <row r="802">
          <cell r="D802" t="str">
            <v>4110</v>
          </cell>
        </row>
        <row r="803">
          <cell r="D803" t="str">
            <v>4111</v>
          </cell>
        </row>
        <row r="804">
          <cell r="D804" t="str">
            <v>4112</v>
          </cell>
        </row>
        <row r="805">
          <cell r="D805" t="str">
            <v>4113</v>
          </cell>
        </row>
        <row r="806">
          <cell r="D806" t="str">
            <v>4114</v>
          </cell>
        </row>
        <row r="807">
          <cell r="D807" t="str">
            <v>4115</v>
          </cell>
        </row>
        <row r="808">
          <cell r="D808" t="str">
            <v>4116</v>
          </cell>
        </row>
        <row r="809">
          <cell r="D809" t="str">
            <v>4117</v>
          </cell>
        </row>
        <row r="810">
          <cell r="D810" t="str">
            <v>4118</v>
          </cell>
        </row>
        <row r="811">
          <cell r="D811" t="str">
            <v>4119</v>
          </cell>
        </row>
        <row r="812">
          <cell r="D812" t="str">
            <v>4120</v>
          </cell>
        </row>
        <row r="813">
          <cell r="D813" t="str">
            <v>4121</v>
          </cell>
        </row>
        <row r="814">
          <cell r="D814" t="str">
            <v>4122</v>
          </cell>
        </row>
        <row r="815">
          <cell r="D815" t="str">
            <v>4123</v>
          </cell>
        </row>
        <row r="816">
          <cell r="D816" t="str">
            <v>4130</v>
          </cell>
        </row>
        <row r="817">
          <cell r="D817" t="str">
            <v>4140</v>
          </cell>
        </row>
        <row r="818">
          <cell r="D818" t="str">
            <v>4150</v>
          </cell>
        </row>
        <row r="819">
          <cell r="D819" t="str">
            <v>4151</v>
          </cell>
        </row>
        <row r="820">
          <cell r="D820" t="str">
            <v>4152</v>
          </cell>
        </row>
        <row r="821">
          <cell r="D821" t="str">
            <v>4153</v>
          </cell>
        </row>
        <row r="822">
          <cell r="D822" t="str">
            <v>4170</v>
          </cell>
        </row>
        <row r="823">
          <cell r="D823" t="str">
            <v>4171</v>
          </cell>
        </row>
        <row r="824">
          <cell r="D824" t="str">
            <v>4172</v>
          </cell>
        </row>
        <row r="825">
          <cell r="D825" t="str">
            <v>4173</v>
          </cell>
        </row>
        <row r="826">
          <cell r="D826" t="str">
            <v>4174</v>
          </cell>
        </row>
        <row r="827">
          <cell r="D827" t="str">
            <v>4175</v>
          </cell>
        </row>
        <row r="828">
          <cell r="D828" t="str">
            <v>4176</v>
          </cell>
        </row>
        <row r="829">
          <cell r="D829" t="str">
            <v>4180</v>
          </cell>
        </row>
        <row r="830">
          <cell r="D830" t="str">
            <v>4190</v>
          </cell>
        </row>
        <row r="831">
          <cell r="D831" t="str">
            <v>4200</v>
          </cell>
        </row>
        <row r="832">
          <cell r="D832" t="str">
            <v>4210</v>
          </cell>
        </row>
        <row r="833">
          <cell r="D833" t="str">
            <v>4211</v>
          </cell>
        </row>
        <row r="834">
          <cell r="D834" t="str">
            <v>4212</v>
          </cell>
        </row>
        <row r="835">
          <cell r="D835" t="str">
            <v>4213</v>
          </cell>
        </row>
        <row r="836">
          <cell r="D836" t="str">
            <v>4214</v>
          </cell>
        </row>
        <row r="837">
          <cell r="D837" t="str">
            <v>4220</v>
          </cell>
        </row>
        <row r="838">
          <cell r="D838" t="str">
            <v>4221</v>
          </cell>
        </row>
        <row r="839">
          <cell r="D839" t="str">
            <v>4222</v>
          </cell>
        </row>
        <row r="840">
          <cell r="D840" t="str">
            <v>4223</v>
          </cell>
        </row>
        <row r="841">
          <cell r="D841" t="str">
            <v>4230</v>
          </cell>
        </row>
        <row r="842">
          <cell r="D842" t="str">
            <v>4240</v>
          </cell>
        </row>
        <row r="843">
          <cell r="D843" t="str">
            <v>4241</v>
          </cell>
        </row>
        <row r="844">
          <cell r="D844" t="str">
            <v>4242</v>
          </cell>
        </row>
        <row r="845">
          <cell r="D845" t="str">
            <v>4243</v>
          </cell>
        </row>
        <row r="846">
          <cell r="D846" t="str">
            <v>4244</v>
          </cell>
        </row>
        <row r="847">
          <cell r="D847" t="str">
            <v>4245</v>
          </cell>
        </row>
        <row r="848">
          <cell r="D848" t="str">
            <v>4250</v>
          </cell>
        </row>
        <row r="849">
          <cell r="D849" t="str">
            <v>4251</v>
          </cell>
        </row>
        <row r="850">
          <cell r="D850" t="str">
            <v>4252</v>
          </cell>
        </row>
        <row r="851">
          <cell r="D851" t="str">
            <v>4253</v>
          </cell>
        </row>
        <row r="852">
          <cell r="D852" t="str">
            <v>4254</v>
          </cell>
        </row>
        <row r="853">
          <cell r="D853" t="str">
            <v>4255</v>
          </cell>
        </row>
        <row r="854">
          <cell r="D854" t="str">
            <v>4256</v>
          </cell>
        </row>
        <row r="855">
          <cell r="D855" t="str">
            <v>4257</v>
          </cell>
        </row>
        <row r="856">
          <cell r="D856" t="str">
            <v>4258</v>
          </cell>
        </row>
        <row r="857">
          <cell r="D857" t="str">
            <v>4260</v>
          </cell>
        </row>
        <row r="858">
          <cell r="D858" t="str">
            <v>4261</v>
          </cell>
        </row>
        <row r="859">
          <cell r="D859" t="str">
            <v>4262</v>
          </cell>
        </row>
        <row r="860">
          <cell r="D860" t="str">
            <v>4263</v>
          </cell>
        </row>
        <row r="861">
          <cell r="D861" t="str">
            <v>4264</v>
          </cell>
        </row>
        <row r="862">
          <cell r="D862" t="str">
            <v>4300</v>
          </cell>
        </row>
        <row r="863">
          <cell r="D863" t="str">
            <v>4310</v>
          </cell>
        </row>
        <row r="864">
          <cell r="D864" t="str">
            <v>4311</v>
          </cell>
        </row>
        <row r="865">
          <cell r="D865" t="str">
            <v>4312</v>
          </cell>
        </row>
        <row r="866">
          <cell r="D866" t="str">
            <v>4313</v>
          </cell>
        </row>
        <row r="867">
          <cell r="D867" t="str">
            <v>4314</v>
          </cell>
        </row>
        <row r="868">
          <cell r="D868" t="str">
            <v>4315</v>
          </cell>
        </row>
        <row r="869">
          <cell r="D869" t="str">
            <v>4316</v>
          </cell>
        </row>
        <row r="870">
          <cell r="D870" t="str">
            <v>4317</v>
          </cell>
        </row>
        <row r="871">
          <cell r="D871" t="str">
            <v>4318</v>
          </cell>
        </row>
        <row r="872">
          <cell r="D872" t="str">
            <v>4319</v>
          </cell>
        </row>
        <row r="873">
          <cell r="D873" t="str">
            <v>4320</v>
          </cell>
        </row>
        <row r="874">
          <cell r="D874" t="str">
            <v>4330</v>
          </cell>
        </row>
        <row r="875">
          <cell r="D875" t="str">
            <v>4340</v>
          </cell>
        </row>
        <row r="876">
          <cell r="D876" t="str">
            <v>4350</v>
          </cell>
        </row>
        <row r="877">
          <cell r="D877" t="str">
            <v>4351</v>
          </cell>
        </row>
        <row r="878">
          <cell r="D878" t="str">
            <v>4352</v>
          </cell>
        </row>
        <row r="879">
          <cell r="D879" t="str">
            <v>4501</v>
          </cell>
        </row>
        <row r="880">
          <cell r="D880" t="str">
            <v>5000</v>
          </cell>
        </row>
        <row r="881">
          <cell r="D881" t="str">
            <v>5001</v>
          </cell>
        </row>
        <row r="882">
          <cell r="D882" t="str">
            <v>5002</v>
          </cell>
        </row>
        <row r="883">
          <cell r="D883" t="str">
            <v>5003</v>
          </cell>
        </row>
        <row r="884">
          <cell r="D884" t="str">
            <v>5004</v>
          </cell>
        </row>
        <row r="885">
          <cell r="D885" t="str">
            <v>5005</v>
          </cell>
        </row>
        <row r="886">
          <cell r="D886" t="str">
            <v>5201</v>
          </cell>
        </row>
        <row r="887">
          <cell r="D887" t="str">
            <v>6000</v>
          </cell>
        </row>
        <row r="888">
          <cell r="D888" t="str">
            <v>6001</v>
          </cell>
        </row>
        <row r="889">
          <cell r="D889" t="str">
            <v>6002</v>
          </cell>
        </row>
        <row r="890">
          <cell r="D890" t="str">
            <v>6003</v>
          </cell>
        </row>
        <row r="891">
          <cell r="D891" t="str">
            <v>6004</v>
          </cell>
        </row>
        <row r="892">
          <cell r="D892" t="str">
            <v>6005</v>
          </cell>
        </row>
        <row r="893">
          <cell r="D893" t="str">
            <v>6006</v>
          </cell>
        </row>
        <row r="894">
          <cell r="D894" t="str">
            <v>6007</v>
          </cell>
        </row>
        <row r="895">
          <cell r="D895" t="str">
            <v>6008</v>
          </cell>
        </row>
        <row r="896">
          <cell r="D896" t="str">
            <v>6009</v>
          </cell>
        </row>
        <row r="897">
          <cell r="D897" t="str">
            <v>6010</v>
          </cell>
        </row>
        <row r="898">
          <cell r="D898" t="str">
            <v>6011</v>
          </cell>
        </row>
        <row r="899">
          <cell r="D899" t="str">
            <v>6100</v>
          </cell>
        </row>
        <row r="900">
          <cell r="D900" t="str">
            <v>6200</v>
          </cell>
        </row>
        <row r="901">
          <cell r="D901" t="str">
            <v>6201</v>
          </cell>
        </row>
        <row r="902">
          <cell r="D902" t="str">
            <v>6251</v>
          </cell>
        </row>
        <row r="903">
          <cell r="D903" t="str">
            <v>6300</v>
          </cell>
        </row>
        <row r="904">
          <cell r="D904" t="str">
            <v>6311</v>
          </cell>
        </row>
        <row r="905">
          <cell r="D905" t="str">
            <v>6312</v>
          </cell>
        </row>
        <row r="906">
          <cell r="D906" t="str">
            <v>6313</v>
          </cell>
        </row>
        <row r="907">
          <cell r="D907" t="str">
            <v>6320</v>
          </cell>
        </row>
        <row r="908">
          <cell r="D908" t="str">
            <v>6321</v>
          </cell>
        </row>
        <row r="909">
          <cell r="D909" t="str">
            <v>6322</v>
          </cell>
        </row>
        <row r="910">
          <cell r="D910" t="str">
            <v>6323</v>
          </cell>
        </row>
        <row r="911">
          <cell r="D911" t="str">
            <v>6324</v>
          </cell>
        </row>
        <row r="912">
          <cell r="D912" t="str">
            <v>6330</v>
          </cell>
        </row>
        <row r="913">
          <cell r="D913" t="str">
            <v>6340</v>
          </cell>
        </row>
        <row r="914">
          <cell r="D914" t="str">
            <v>6700</v>
          </cell>
        </row>
        <row r="915">
          <cell r="D915" t="str">
            <v>6710</v>
          </cell>
        </row>
        <row r="916">
          <cell r="D916" t="str">
            <v>6720</v>
          </cell>
        </row>
        <row r="917">
          <cell r="D917" t="str">
            <v>6730</v>
          </cell>
        </row>
        <row r="918">
          <cell r="D918" t="str">
            <v>6800</v>
          </cell>
        </row>
        <row r="919">
          <cell r="D919" t="str">
            <v>6820</v>
          </cell>
        </row>
        <row r="920">
          <cell r="D920" t="str">
            <v>6830</v>
          </cell>
        </row>
        <row r="921">
          <cell r="D921" t="str">
            <v>6834</v>
          </cell>
        </row>
        <row r="922">
          <cell r="D922" t="str">
            <v>6835</v>
          </cell>
        </row>
        <row r="923">
          <cell r="D923" t="str">
            <v>6840</v>
          </cell>
        </row>
        <row r="924">
          <cell r="D924" t="str">
            <v>6850</v>
          </cell>
        </row>
        <row r="925">
          <cell r="D925" t="str">
            <v>6870</v>
          </cell>
        </row>
        <row r="926">
          <cell r="D926" t="str">
            <v>7001</v>
          </cell>
        </row>
        <row r="927">
          <cell r="D927" t="str">
            <v>7501</v>
          </cell>
        </row>
        <row r="928">
          <cell r="D928" t="str">
            <v>7502</v>
          </cell>
        </row>
        <row r="929">
          <cell r="D929" t="str">
            <v>7503</v>
          </cell>
        </row>
        <row r="930">
          <cell r="D930" t="str">
            <v>7800</v>
          </cell>
        </row>
        <row r="931">
          <cell r="D931" t="str">
            <v>7801</v>
          </cell>
        </row>
        <row r="932">
          <cell r="D932" t="str">
            <v>7802</v>
          </cell>
        </row>
        <row r="933">
          <cell r="D933" t="str">
            <v>7803</v>
          </cell>
        </row>
        <row r="934">
          <cell r="D934" t="str">
            <v>7804</v>
          </cell>
        </row>
        <row r="935">
          <cell r="D935" t="str">
            <v>7805</v>
          </cell>
        </row>
        <row r="936">
          <cell r="D936" t="str">
            <v>7806</v>
          </cell>
        </row>
        <row r="937">
          <cell r="D937" t="str">
            <v>7807</v>
          </cell>
        </row>
        <row r="938">
          <cell r="D938" t="str">
            <v>7808</v>
          </cell>
        </row>
        <row r="939">
          <cell r="D939" t="str">
            <v>7809</v>
          </cell>
        </row>
        <row r="940">
          <cell r="D940" t="str">
            <v>7810</v>
          </cell>
        </row>
        <row r="941">
          <cell r="D941" t="str">
            <v>7811</v>
          </cell>
        </row>
        <row r="942">
          <cell r="D942" t="str">
            <v>7812</v>
          </cell>
        </row>
        <row r="943">
          <cell r="D943" t="str">
            <v>7813</v>
          </cell>
        </row>
        <row r="944">
          <cell r="D944" t="str">
            <v>7814</v>
          </cell>
        </row>
        <row r="945">
          <cell r="D945" t="str">
            <v>8000</v>
          </cell>
        </row>
        <row r="946">
          <cell r="D946" t="str">
            <v>8001</v>
          </cell>
        </row>
        <row r="947">
          <cell r="D947" t="str">
            <v>8010</v>
          </cell>
        </row>
        <row r="948">
          <cell r="D948" t="str">
            <v>8100</v>
          </cell>
        </row>
        <row r="949">
          <cell r="D949" t="str">
            <v>8110</v>
          </cell>
        </row>
        <row r="950">
          <cell r="D950" t="str">
            <v>8200</v>
          </cell>
        </row>
        <row r="951">
          <cell r="D951" t="str">
            <v>8210</v>
          </cell>
        </row>
        <row r="952">
          <cell r="D952" t="str">
            <v>9000</v>
          </cell>
        </row>
        <row r="953">
          <cell r="D953" t="str">
            <v>9140</v>
          </cell>
        </row>
        <row r="954">
          <cell r="D954" t="str">
            <v>9141</v>
          </cell>
        </row>
        <row r="955">
          <cell r="D955" t="str">
            <v>9142</v>
          </cell>
        </row>
        <row r="956">
          <cell r="D956" t="str">
            <v>9143</v>
          </cell>
        </row>
        <row r="957">
          <cell r="D957" t="str">
            <v>9144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C date"/>
      <sheetName val="ENI MC Required dates"/>
      <sheetName val="Sheet1"/>
      <sheetName val="Sheet2"/>
    </sheetNames>
    <sheetDataSet>
      <sheetData sheetId="0"/>
      <sheetData sheetId="1">
        <row r="1">
          <cell r="C1" t="str">
            <v>Sub-System / Comm Pkg</v>
          </cell>
          <cell r="D1" t="str">
            <v>Activity Name</v>
          </cell>
          <cell r="E1" t="str">
            <v>Main Area</v>
          </cell>
          <cell r="F1" t="str">
            <v>Priority</v>
          </cell>
          <cell r="G1" t="str">
            <v>Calendar</v>
          </cell>
          <cell r="H1" t="str">
            <v>Remaining Duration</v>
          </cell>
          <cell r="I1" t="str">
            <v>Original Duration</v>
          </cell>
          <cell r="J1" t="str">
            <v>Schedule % Complete</v>
          </cell>
          <cell r="K1" t="str">
            <v>Primary Constraint</v>
          </cell>
          <cell r="L1" t="str">
            <v>Start</v>
          </cell>
          <cell r="M1" t="str">
            <v>Finish</v>
          </cell>
        </row>
        <row r="2">
          <cell r="F2">
            <v>0</v>
          </cell>
          <cell r="G2" t="str">
            <v>7-Day Workweek (10 hours)</v>
          </cell>
          <cell r="H2" t="str">
            <v>1d</v>
          </cell>
          <cell r="I2" t="str">
            <v>1d</v>
          </cell>
          <cell r="J2">
            <v>0</v>
          </cell>
          <cell r="L2">
            <v>41516</v>
          </cell>
          <cell r="M2">
            <v>41516</v>
          </cell>
        </row>
        <row r="3">
          <cell r="C3" t="str">
            <v>0401-C02</v>
          </cell>
          <cell r="D3" t="str">
            <v>Mechanical Completion Commission 0401-C02 Laboratory Equipment</v>
          </cell>
          <cell r="E3" t="str">
            <v>T.L10</v>
          </cell>
          <cell r="G3" t="str">
            <v>7-Day Workweek (10 hours)</v>
          </cell>
          <cell r="H3" t="str">
            <v>0d</v>
          </cell>
          <cell r="I3" t="str">
            <v>0d</v>
          </cell>
          <cell r="J3">
            <v>0</v>
          </cell>
          <cell r="K3" t="str">
            <v>Finish On</v>
          </cell>
          <cell r="M3" t="str">
            <v>30-Aug-13*</v>
          </cell>
        </row>
        <row r="4">
          <cell r="C4" t="str">
            <v>0401-C01</v>
          </cell>
          <cell r="D4" t="str">
            <v>Mechanical Completion Commission 0401-C01 Workshop Equipment</v>
          </cell>
          <cell r="E4" t="str">
            <v>T.L10</v>
          </cell>
          <cell r="G4" t="str">
            <v>7-Day Workweek (10 hours)</v>
          </cell>
          <cell r="H4" t="str">
            <v>0d</v>
          </cell>
          <cell r="I4" t="str">
            <v>0d</v>
          </cell>
          <cell r="J4">
            <v>0</v>
          </cell>
          <cell r="K4" t="str">
            <v>Finish On</v>
          </cell>
          <cell r="M4" t="str">
            <v>30-Aug-13*</v>
          </cell>
        </row>
        <row r="5">
          <cell r="F5">
            <v>0</v>
          </cell>
          <cell r="G5" t="str">
            <v>7-Day Workweek (10 hours)</v>
          </cell>
          <cell r="H5" t="str">
            <v>14d</v>
          </cell>
          <cell r="I5" t="str">
            <v>14d</v>
          </cell>
          <cell r="J5">
            <v>0</v>
          </cell>
          <cell r="L5">
            <v>41505</v>
          </cell>
          <cell r="M5">
            <v>41516</v>
          </cell>
        </row>
        <row r="6">
          <cell r="C6" t="str">
            <v>1301-C02</v>
          </cell>
          <cell r="D6" t="str">
            <v>Mechanical Completion 1301-C02 Annulus Vent, Flowline 1</v>
          </cell>
          <cell r="E6" t="str">
            <v>T.Z10</v>
          </cell>
          <cell r="G6" t="str">
            <v>7-Day Workweek (10 hours)</v>
          </cell>
          <cell r="H6" t="str">
            <v>0d</v>
          </cell>
          <cell r="I6" t="str">
            <v>0d</v>
          </cell>
          <cell r="J6">
            <v>0</v>
          </cell>
          <cell r="K6" t="str">
            <v>Finish On</v>
          </cell>
          <cell r="M6" t="str">
            <v>19-Aug-13*</v>
          </cell>
        </row>
        <row r="7">
          <cell r="C7" t="str">
            <v>1301-C04</v>
          </cell>
          <cell r="D7" t="str">
            <v>Mechanical Completion 1301-C04 Annulus Vent Gas Injection</v>
          </cell>
          <cell r="E7" t="str">
            <v>T.Z10</v>
          </cell>
          <cell r="G7" t="str">
            <v>7-Day Workweek (10 hours)</v>
          </cell>
          <cell r="H7" t="str">
            <v>0d</v>
          </cell>
          <cell r="I7" t="str">
            <v>0d</v>
          </cell>
          <cell r="J7">
            <v>0</v>
          </cell>
          <cell r="K7" t="str">
            <v>As Late As Possible</v>
          </cell>
          <cell r="M7">
            <v>41514</v>
          </cell>
        </row>
        <row r="8">
          <cell r="C8" t="str">
            <v>1301-C01</v>
          </cell>
          <cell r="D8" t="str">
            <v>Mechanical Completion 1301-C01 Riaser Pull in Winch 13MK001 and euqipment. P10 EL: 60,000</v>
          </cell>
          <cell r="E8" t="str">
            <v>T.Z10</v>
          </cell>
          <cell r="G8" t="str">
            <v>7-Day Workweek (10 hours)</v>
          </cell>
          <cell r="H8" t="str">
            <v>0d</v>
          </cell>
          <cell r="I8" t="str">
            <v>0d</v>
          </cell>
          <cell r="J8">
            <v>0</v>
          </cell>
          <cell r="K8" t="str">
            <v>Finish On</v>
          </cell>
          <cell r="M8" t="str">
            <v>30-Aug-13*</v>
          </cell>
        </row>
        <row r="9">
          <cell r="C9" t="str">
            <v>1301-C03</v>
          </cell>
          <cell r="D9" t="str">
            <v>Mechanical Completion 1301-C03 Annulus Vent, Flowline 2</v>
          </cell>
          <cell r="E9" t="str">
            <v>T.Z10</v>
          </cell>
          <cell r="G9" t="str">
            <v>7-Day Workweek (10 hours)</v>
          </cell>
          <cell r="H9" t="str">
            <v>0d</v>
          </cell>
          <cell r="I9" t="str">
            <v>0d</v>
          </cell>
          <cell r="J9">
            <v>0</v>
          </cell>
          <cell r="K9" t="str">
            <v>As Late As Possible</v>
          </cell>
          <cell r="M9">
            <v>41516</v>
          </cell>
        </row>
        <row r="10">
          <cell r="C10" t="str">
            <v>1301-C05</v>
          </cell>
          <cell r="D10" t="str">
            <v>Mechanical Completion 1301-C05 Annulus Vent Gas Lift</v>
          </cell>
          <cell r="E10" t="str">
            <v>T.Z10</v>
          </cell>
          <cell r="G10" t="str">
            <v>7-Day Workweek (10 hours)</v>
          </cell>
          <cell r="H10" t="str">
            <v>0d</v>
          </cell>
          <cell r="I10" t="str">
            <v>0d</v>
          </cell>
          <cell r="J10">
            <v>0</v>
          </cell>
          <cell r="K10" t="str">
            <v>Finish On</v>
          </cell>
          <cell r="M10" t="str">
            <v>30-Aug-13*</v>
          </cell>
        </row>
        <row r="11">
          <cell r="F11">
            <v>0</v>
          </cell>
          <cell r="G11" t="str">
            <v>7-Day Workweek (10 hours)</v>
          </cell>
          <cell r="H11" t="str">
            <v>24d</v>
          </cell>
          <cell r="I11" t="str">
            <v>24d</v>
          </cell>
          <cell r="J11">
            <v>0</v>
          </cell>
          <cell r="L11">
            <v>41431</v>
          </cell>
          <cell r="M11">
            <v>41450</v>
          </cell>
        </row>
        <row r="12">
          <cell r="C12" t="str">
            <v>1601-C01</v>
          </cell>
          <cell r="D12" t="str">
            <v>Mechanical Completion 1601-C01 Flowline 1, Production Manifold</v>
          </cell>
          <cell r="E12" t="str">
            <v>T.P10</v>
          </cell>
          <cell r="G12" t="str">
            <v>7-Day Workweek (10 hours)</v>
          </cell>
          <cell r="H12" t="str">
            <v>0d</v>
          </cell>
          <cell r="I12" t="str">
            <v>0d</v>
          </cell>
          <cell r="J12">
            <v>0</v>
          </cell>
          <cell r="K12" t="str">
            <v>As Late As Possible</v>
          </cell>
          <cell r="M12">
            <v>41431</v>
          </cell>
        </row>
        <row r="13">
          <cell r="C13" t="str">
            <v>1601-C02</v>
          </cell>
          <cell r="D13" t="str">
            <v>Mechanical Completion 1601-C02 Flowline 2, Test manifold</v>
          </cell>
          <cell r="E13" t="str">
            <v>T.P10</v>
          </cell>
          <cell r="G13" t="str">
            <v>7-Day Workweek (10 hours)</v>
          </cell>
          <cell r="H13" t="str">
            <v>0d</v>
          </cell>
          <cell r="I13" t="str">
            <v>0d</v>
          </cell>
          <cell r="J13">
            <v>0</v>
          </cell>
          <cell r="K13" t="str">
            <v>As Late As Possible</v>
          </cell>
          <cell r="M13">
            <v>41431</v>
          </cell>
        </row>
        <row r="14">
          <cell r="C14" t="str">
            <v>1601-C03</v>
          </cell>
          <cell r="D14" t="str">
            <v>Mechanical Completion 1601-C03 PIG Launcher/Receiver, 16LE001, Flowline 1</v>
          </cell>
          <cell r="E14" t="str">
            <v>T.P10</v>
          </cell>
          <cell r="G14" t="str">
            <v>7-Day Workweek (10 hours)</v>
          </cell>
          <cell r="H14" t="str">
            <v>0d</v>
          </cell>
          <cell r="I14" t="str">
            <v>0d</v>
          </cell>
          <cell r="J14">
            <v>0</v>
          </cell>
          <cell r="K14" t="str">
            <v>As Late As Possible</v>
          </cell>
          <cell r="M14">
            <v>41445</v>
          </cell>
        </row>
        <row r="15">
          <cell r="C15" t="str">
            <v>1601-C04</v>
          </cell>
          <cell r="D15" t="str">
            <v>Mechanical Completion 1601-C04 PIG Launcher/Receiver, 16LE002, Flowline 2</v>
          </cell>
          <cell r="E15" t="str">
            <v>T.P10</v>
          </cell>
          <cell r="G15" t="str">
            <v>7-Day Workweek (10 hours)</v>
          </cell>
          <cell r="H15" t="str">
            <v>0d</v>
          </cell>
          <cell r="I15" t="str">
            <v>0d</v>
          </cell>
          <cell r="J15">
            <v>0</v>
          </cell>
          <cell r="K15" t="str">
            <v>As Late As Possible</v>
          </cell>
          <cell r="M15">
            <v>41445</v>
          </cell>
        </row>
        <row r="16">
          <cell r="C16" t="str">
            <v>1601-C07</v>
          </cell>
          <cell r="D16" t="str">
            <v>Mechanical Completion 1601-C07 OFFSHORE HOOK-UP Scope, Flowline 1</v>
          </cell>
          <cell r="E16" t="str">
            <v>H.M20</v>
          </cell>
          <cell r="G16" t="str">
            <v>7-Day Workweek (10 hours)</v>
          </cell>
          <cell r="H16" t="str">
            <v>0d</v>
          </cell>
          <cell r="I16" t="str">
            <v>0d</v>
          </cell>
          <cell r="J16">
            <v>0</v>
          </cell>
          <cell r="K16" t="str">
            <v>As Late As Possible</v>
          </cell>
          <cell r="M16">
            <v>41447</v>
          </cell>
        </row>
        <row r="17">
          <cell r="C17" t="str">
            <v>1601-C08</v>
          </cell>
          <cell r="D17" t="str">
            <v>Mechanical Completion 1601-C08 OFFSHORE HOOK-UP Scope, Flowline 2</v>
          </cell>
          <cell r="E17" t="str">
            <v>H.M20</v>
          </cell>
          <cell r="G17" t="str">
            <v>7-Day Workweek (10 hours)</v>
          </cell>
          <cell r="H17" t="str">
            <v>0d</v>
          </cell>
          <cell r="I17" t="str">
            <v>0d</v>
          </cell>
          <cell r="J17">
            <v>0</v>
          </cell>
          <cell r="K17" t="str">
            <v>As Late As Possible</v>
          </cell>
          <cell r="M17">
            <v>41447</v>
          </cell>
        </row>
        <row r="18">
          <cell r="C18" t="str">
            <v>1601-C09</v>
          </cell>
          <cell r="D18" t="str">
            <v>Mechanical Completion 1601-C09 Flowline heating container 16FE001 (incl. 16ET001)</v>
          </cell>
          <cell r="E18" t="str">
            <v>H.M20</v>
          </cell>
          <cell r="G18" t="str">
            <v>7-Day Workweek (10 hours)</v>
          </cell>
          <cell r="H18" t="str">
            <v>0d</v>
          </cell>
          <cell r="I18" t="str">
            <v>0d</v>
          </cell>
          <cell r="J18">
            <v>0</v>
          </cell>
          <cell r="K18" t="str">
            <v>As Late As Possible</v>
          </cell>
          <cell r="M18">
            <v>41450</v>
          </cell>
        </row>
        <row r="19">
          <cell r="C19" t="str">
            <v>1601-C10</v>
          </cell>
          <cell r="D19" t="str">
            <v>Mechanical Completion 1601-C10 Flowline heating container 16FE002 (incl. 16ET002)</v>
          </cell>
          <cell r="E19" t="str">
            <v>H.M20</v>
          </cell>
          <cell r="G19" t="str">
            <v>7-Day Workweek (10 hours)</v>
          </cell>
          <cell r="H19" t="str">
            <v>0d</v>
          </cell>
          <cell r="I19" t="str">
            <v>0d</v>
          </cell>
          <cell r="J19">
            <v>0</v>
          </cell>
          <cell r="K19" t="str">
            <v>As Late As Possible</v>
          </cell>
          <cell r="M19">
            <v>41450</v>
          </cell>
        </row>
        <row r="20">
          <cell r="F20">
            <v>0</v>
          </cell>
          <cell r="G20" t="str">
            <v>7-Day Workweek (10 hours)</v>
          </cell>
          <cell r="H20" t="str">
            <v>139d</v>
          </cell>
          <cell r="I20" t="str">
            <v>139d</v>
          </cell>
          <cell r="J20">
            <v>0</v>
          </cell>
          <cell r="L20">
            <v>41405</v>
          </cell>
          <cell r="M20">
            <v>41516</v>
          </cell>
        </row>
        <row r="21">
          <cell r="C21" t="str">
            <v>1840-C11</v>
          </cell>
          <cell r="D21" t="str">
            <v>Mechanical Completion 1840-C11 18JC202 (Subsea) - Node S90 - Subsea HPU (LER)</v>
          </cell>
          <cell r="G21" t="str">
            <v>7-Day Workweek (10 hours)</v>
          </cell>
          <cell r="H21" t="str">
            <v>0d</v>
          </cell>
          <cell r="I21" t="str">
            <v>0d</v>
          </cell>
          <cell r="J21">
            <v>0</v>
          </cell>
          <cell r="K21" t="str">
            <v>As Late As Possible</v>
          </cell>
          <cell r="M21">
            <v>41405</v>
          </cell>
        </row>
        <row r="22">
          <cell r="C22" t="str">
            <v>1840-C10</v>
          </cell>
          <cell r="D22" t="str">
            <v>Mechanical Completion 1840-C10 18JC201 (Subsea) - Node S91/92/93/94 - Well Templates (EPUMU) (LER)</v>
          </cell>
          <cell r="G22" t="str">
            <v>7-Day Workweek (10 hours)</v>
          </cell>
          <cell r="H22" t="str">
            <v>0d</v>
          </cell>
          <cell r="I22" t="str">
            <v>0d</v>
          </cell>
          <cell r="J22">
            <v>0</v>
          </cell>
          <cell r="K22" t="str">
            <v>As Late As Possible</v>
          </cell>
          <cell r="M22">
            <v>41408</v>
          </cell>
        </row>
        <row r="23">
          <cell r="C23" t="str">
            <v>1840-C04</v>
          </cell>
          <cell r="D23" t="str">
            <v>Mechanical Completion 1840-C04 SSIV, Hydraulic and Chemical Injection J-tube Junction Boxes</v>
          </cell>
          <cell r="G23" t="str">
            <v>7-Day Workweek (10 hours)</v>
          </cell>
          <cell r="H23" t="str">
            <v>0d</v>
          </cell>
          <cell r="I23" t="str">
            <v>0d</v>
          </cell>
          <cell r="J23">
            <v>0</v>
          </cell>
          <cell r="K23" t="str">
            <v>Finish On</v>
          </cell>
          <cell r="M23" t="str">
            <v>30-Aug-13*</v>
          </cell>
        </row>
        <row r="24">
          <cell r="C24" t="str">
            <v>1840-C02</v>
          </cell>
          <cell r="D24" t="str">
            <v>Mechanical Completion 1840-C02 Subsea Hydraulic Power Unit</v>
          </cell>
          <cell r="G24" t="str">
            <v>7-Day Workweek (10 hours)</v>
          </cell>
          <cell r="H24" t="str">
            <v>0d</v>
          </cell>
          <cell r="I24" t="str">
            <v>0d</v>
          </cell>
          <cell r="J24">
            <v>0</v>
          </cell>
          <cell r="K24" t="str">
            <v>Finish On</v>
          </cell>
          <cell r="M24" t="str">
            <v>30-Aug-13*</v>
          </cell>
        </row>
        <row r="25">
          <cell r="C25" t="str">
            <v>1840-C01</v>
          </cell>
          <cell r="D25" t="str">
            <v>Mechanical Completion 1840-C01 Subsea Junction Box Production</v>
          </cell>
          <cell r="G25" t="str">
            <v>7-Day Workweek (10 hours)</v>
          </cell>
          <cell r="H25" t="str">
            <v>0d</v>
          </cell>
          <cell r="I25" t="str">
            <v>0d</v>
          </cell>
          <cell r="J25">
            <v>0</v>
          </cell>
          <cell r="K25" t="str">
            <v>Finish On</v>
          </cell>
          <cell r="M25" t="str">
            <v>30-Aug-13*</v>
          </cell>
        </row>
        <row r="26">
          <cell r="C26" t="str">
            <v>1840-C03</v>
          </cell>
          <cell r="D26" t="str">
            <v>Mechanical Completion 1840-C03 MEG Injection J-tube Junction Box</v>
          </cell>
          <cell r="G26" t="str">
            <v>7-Day Workweek (10 hours)</v>
          </cell>
          <cell r="H26" t="str">
            <v>0d</v>
          </cell>
          <cell r="I26" t="str">
            <v>0d</v>
          </cell>
          <cell r="J26">
            <v>0</v>
          </cell>
          <cell r="K26" t="str">
            <v>Finish On</v>
          </cell>
          <cell r="M26" t="str">
            <v>30-Aug-13*</v>
          </cell>
        </row>
        <row r="27">
          <cell r="C27" t="str">
            <v>1840-C05</v>
          </cell>
          <cell r="D27" t="str">
            <v>Mechanical Completion 1840-C05 Electrical Power Umbilical Monitoring &amp; Umbillical Termination Units</v>
          </cell>
          <cell r="G27" t="str">
            <v>7-Day Workweek (10 hours)</v>
          </cell>
          <cell r="H27" t="str">
            <v>0d</v>
          </cell>
          <cell r="I27" t="str">
            <v>0d</v>
          </cell>
          <cell r="J27">
            <v>0</v>
          </cell>
          <cell r="K27" t="str">
            <v>Finish On</v>
          </cell>
          <cell r="M27" t="str">
            <v>30-Aug-13*</v>
          </cell>
        </row>
        <row r="28">
          <cell r="F28">
            <v>0</v>
          </cell>
          <cell r="G28" t="str">
            <v>7-Day Workweek (10 hours)</v>
          </cell>
          <cell r="H28" t="str">
            <v>68d</v>
          </cell>
          <cell r="I28" t="str">
            <v>68d</v>
          </cell>
          <cell r="J28">
            <v>0</v>
          </cell>
          <cell r="L28">
            <v>41452</v>
          </cell>
          <cell r="M28">
            <v>41507</v>
          </cell>
        </row>
        <row r="29">
          <cell r="C29" t="str">
            <v>2001-C01</v>
          </cell>
          <cell r="D29" t="str">
            <v>Mechanical Completion 2001-C01 Inlet Heater 20HA001 &amp; Inlet Separator 20VA001</v>
          </cell>
          <cell r="E29" t="str">
            <v>T.P20</v>
          </cell>
          <cell r="G29" t="str">
            <v>7-Day Workweek (10 hours)</v>
          </cell>
          <cell r="H29" t="str">
            <v>0d</v>
          </cell>
          <cell r="I29" t="str">
            <v>0d</v>
          </cell>
          <cell r="J29">
            <v>0</v>
          </cell>
          <cell r="K29" t="str">
            <v>As Late As Possible</v>
          </cell>
          <cell r="M29">
            <v>41452</v>
          </cell>
        </row>
        <row r="30">
          <cell r="C30" t="str">
            <v>2001-C02</v>
          </cell>
          <cell r="D30" t="str">
            <v>Mechanical Completion 2001-C02 Test Heater 20HA003 &amp; Test Separator 20VA003</v>
          </cell>
          <cell r="E30" t="str">
            <v>T.P20</v>
          </cell>
          <cell r="G30" t="str">
            <v>7-Day Workweek (10 hours)</v>
          </cell>
          <cell r="H30" t="str">
            <v>0d</v>
          </cell>
          <cell r="I30" t="str">
            <v>0d</v>
          </cell>
          <cell r="J30">
            <v>0</v>
          </cell>
          <cell r="K30" t="str">
            <v>As Late As Possible</v>
          </cell>
          <cell r="M30">
            <v>41466</v>
          </cell>
        </row>
        <row r="31">
          <cell r="C31" t="str">
            <v>2001-C03</v>
          </cell>
          <cell r="D31" t="str">
            <v>Mechanical Completion 2001-C03 Inter Stage Heater, 20HA002</v>
          </cell>
          <cell r="E31" t="str">
            <v>T.P20</v>
          </cell>
          <cell r="G31" t="str">
            <v>7-Day Workweek (10 hours)</v>
          </cell>
          <cell r="H31" t="str">
            <v>0d</v>
          </cell>
          <cell r="I31" t="str">
            <v>0d</v>
          </cell>
          <cell r="J31">
            <v>0</v>
          </cell>
          <cell r="K31" t="str">
            <v>As Late As Possible</v>
          </cell>
          <cell r="M31">
            <v>41480</v>
          </cell>
        </row>
        <row r="32">
          <cell r="C32" t="str">
            <v>2001-C07</v>
          </cell>
          <cell r="D32" t="str">
            <v>Mechanical Completion 2001-C07 Gas Meetering 20JX001, &amp; Liquid Metering 20JX002 from Test Separator</v>
          </cell>
          <cell r="E32" t="str">
            <v>T.P20</v>
          </cell>
          <cell r="G32" t="str">
            <v>7-Day Workweek (10 hours)</v>
          </cell>
          <cell r="H32" t="str">
            <v>0d</v>
          </cell>
          <cell r="I32" t="str">
            <v>0d</v>
          </cell>
          <cell r="J32">
            <v>0</v>
          </cell>
          <cell r="K32" t="str">
            <v>As Late As Possible</v>
          </cell>
          <cell r="M32">
            <v>41480</v>
          </cell>
        </row>
        <row r="33">
          <cell r="C33" t="str">
            <v>2001-C04</v>
          </cell>
          <cell r="D33" t="str">
            <v>Mechanical Completion 2001-C04 LP Separator, 20VA002</v>
          </cell>
          <cell r="E33" t="str">
            <v>T.P20</v>
          </cell>
          <cell r="G33" t="str">
            <v>7-Day Workweek (10 hours)</v>
          </cell>
          <cell r="H33" t="str">
            <v>0d</v>
          </cell>
          <cell r="I33" t="str">
            <v>0d</v>
          </cell>
          <cell r="J33">
            <v>0</v>
          </cell>
          <cell r="K33" t="str">
            <v>As Late As Possible</v>
          </cell>
          <cell r="M33">
            <v>41489</v>
          </cell>
        </row>
        <row r="34">
          <cell r="C34" t="str">
            <v>2001-C05</v>
          </cell>
          <cell r="D34" t="str">
            <v>Mechanical Completion 2001-C05 Suction &amp; Discharge of Crude Oil Transfer Pumps 20PA001A/B</v>
          </cell>
          <cell r="E34" t="str">
            <v>T.P20</v>
          </cell>
          <cell r="G34" t="str">
            <v>7-Day Workweek (10 hours)</v>
          </cell>
          <cell r="H34" t="str">
            <v>0d</v>
          </cell>
          <cell r="I34" t="str">
            <v>0d</v>
          </cell>
          <cell r="J34">
            <v>0</v>
          </cell>
          <cell r="K34" t="str">
            <v>As Late As Possible</v>
          </cell>
          <cell r="M34">
            <v>41498</v>
          </cell>
        </row>
        <row r="35">
          <cell r="C35" t="str">
            <v>2001-C08</v>
          </cell>
          <cell r="D35" t="str">
            <v>Mechanical Completion 2001-C08 Topside Ringline, Crude Oil</v>
          </cell>
          <cell r="E35" t="str">
            <v>H.M10</v>
          </cell>
          <cell r="G35" t="str">
            <v>7-Day Workweek (10 hours)</v>
          </cell>
          <cell r="H35" t="str">
            <v>0d</v>
          </cell>
          <cell r="I35" t="str">
            <v>0d</v>
          </cell>
          <cell r="J35">
            <v>0</v>
          </cell>
          <cell r="K35" t="str">
            <v>As Late As Possible</v>
          </cell>
          <cell r="M35">
            <v>41498</v>
          </cell>
        </row>
        <row r="36">
          <cell r="C36" t="str">
            <v>2001-C09</v>
          </cell>
          <cell r="D36" t="str">
            <v>Mechanical Completion 2001-C09 Crude Oil Transfer Pump 20PA001A</v>
          </cell>
          <cell r="E36" t="str">
            <v>T.P20</v>
          </cell>
          <cell r="G36" t="str">
            <v>7-Day Workweek (10 hours)</v>
          </cell>
          <cell r="H36" t="str">
            <v>0d</v>
          </cell>
          <cell r="I36" t="str">
            <v>0d</v>
          </cell>
          <cell r="J36">
            <v>0</v>
          </cell>
          <cell r="K36" t="str">
            <v>As Late As Possible</v>
          </cell>
          <cell r="M36">
            <v>41498</v>
          </cell>
        </row>
        <row r="37">
          <cell r="C37" t="str">
            <v>2001-C10</v>
          </cell>
          <cell r="D37" t="str">
            <v>Mechanical Completion 2001-C10 Crude Oil Transfer Pump 20PA001B</v>
          </cell>
          <cell r="E37" t="str">
            <v>T.P20</v>
          </cell>
          <cell r="G37" t="str">
            <v>7-Day Workweek (10 hours)</v>
          </cell>
          <cell r="H37" t="str">
            <v>0d</v>
          </cell>
          <cell r="I37" t="str">
            <v>0d</v>
          </cell>
          <cell r="J37">
            <v>0</v>
          </cell>
          <cell r="K37" t="str">
            <v>As Late As Possible</v>
          </cell>
          <cell r="M37">
            <v>41498</v>
          </cell>
        </row>
        <row r="38">
          <cell r="C38" t="str">
            <v>2001-C06</v>
          </cell>
          <cell r="D38" t="str">
            <v>Mechanical Completion 2001-C06 Electrostatic Coalescer 20VJ001 &amp; Crude Oil Coolers 20HB004A/B</v>
          </cell>
          <cell r="E38" t="str">
            <v>T.P20</v>
          </cell>
          <cell r="G38" t="str">
            <v>7-Day Workweek (10 hours)</v>
          </cell>
          <cell r="H38" t="str">
            <v>0d</v>
          </cell>
          <cell r="I38" t="str">
            <v>0d</v>
          </cell>
          <cell r="J38">
            <v>0</v>
          </cell>
          <cell r="K38" t="str">
            <v>As Late As Possible</v>
          </cell>
          <cell r="M38">
            <v>41507</v>
          </cell>
        </row>
        <row r="39">
          <cell r="F39">
            <v>0</v>
          </cell>
          <cell r="G39" t="str">
            <v>7-Day Workweek (10 hours)</v>
          </cell>
          <cell r="H39" t="str">
            <v>48d</v>
          </cell>
          <cell r="I39" t="str">
            <v>48d</v>
          </cell>
          <cell r="J39">
            <v>0</v>
          </cell>
          <cell r="L39">
            <v>41339</v>
          </cell>
          <cell r="M39">
            <v>41377</v>
          </cell>
        </row>
        <row r="40">
          <cell r="C40" t="str">
            <v>2301-C02</v>
          </cell>
          <cell r="D40" t="str">
            <v>Mechanical Completion 2301-C02 1 st Stage Recomp Recycle Pumps, 23PA001A/B</v>
          </cell>
          <cell r="E40" t="str">
            <v>H.M20</v>
          </cell>
          <cell r="G40" t="str">
            <v>7-Day Workweek (10 hours)</v>
          </cell>
          <cell r="H40" t="str">
            <v>0d</v>
          </cell>
          <cell r="I40" t="str">
            <v>0d</v>
          </cell>
          <cell r="J40">
            <v>0</v>
          </cell>
          <cell r="K40" t="str">
            <v>As Late As Possible</v>
          </cell>
          <cell r="M40">
            <v>41339</v>
          </cell>
        </row>
        <row r="41">
          <cell r="C41" t="str">
            <v>2301-C06</v>
          </cell>
          <cell r="D41" t="str">
            <v>Mechanical Completion 2301-C06 Panel 23-JC-001 - Node 40/44 LP Comp(23KA001/23KA002) UCP + Anti-Surge</v>
          </cell>
          <cell r="E41" t="str">
            <v>T.Q30.Q32</v>
          </cell>
          <cell r="G41" t="str">
            <v>7-Day Workweek (10 hours)</v>
          </cell>
          <cell r="H41" t="str">
            <v>0d</v>
          </cell>
          <cell r="I41" t="str">
            <v>0d</v>
          </cell>
          <cell r="J41">
            <v>0</v>
          </cell>
          <cell r="K41" t="str">
            <v>As Late As Possible</v>
          </cell>
          <cell r="M41">
            <v>41347</v>
          </cell>
        </row>
        <row r="42">
          <cell r="C42" t="str">
            <v>2301-C07</v>
          </cell>
          <cell r="D42" t="str">
            <v>Mechanical Completion 2301-C06 Panel 23-JC-002 - Vibration Monitoring</v>
          </cell>
          <cell r="E42" t="str">
            <v>T.Q30.Q32</v>
          </cell>
          <cell r="G42" t="str">
            <v>7-Day Workweek (10 hours)</v>
          </cell>
          <cell r="H42" t="str">
            <v>0d</v>
          </cell>
          <cell r="I42" t="str">
            <v>0d</v>
          </cell>
          <cell r="J42">
            <v>0</v>
          </cell>
          <cell r="K42" t="str">
            <v>As Late As Possible</v>
          </cell>
          <cell r="M42">
            <v>41351</v>
          </cell>
        </row>
        <row r="43">
          <cell r="C43" t="str">
            <v>2301-C05</v>
          </cell>
          <cell r="D43" t="str">
            <v>Mechanical Completion 2301-C05, Lube Oil System Recompressor 23KA001/002</v>
          </cell>
          <cell r="E43" t="str">
            <v>T.P40</v>
          </cell>
          <cell r="G43" t="str">
            <v>7-Day Workweek (10 hours)</v>
          </cell>
          <cell r="H43" t="str">
            <v>0d</v>
          </cell>
          <cell r="I43" t="str">
            <v>0d</v>
          </cell>
          <cell r="J43">
            <v>0</v>
          </cell>
          <cell r="K43" t="str">
            <v>As Late As Possible</v>
          </cell>
          <cell r="M43">
            <v>41351</v>
          </cell>
        </row>
        <row r="44">
          <cell r="C44" t="str">
            <v>2301-C01</v>
          </cell>
          <cell r="D44" t="str">
            <v>Mechanical Completion 2301-C01 1 st Stage Recomp Coolers, 23HJ001, 23HJ002 &amp; Scrubbers 23VG00, 23VG002</v>
          </cell>
          <cell r="E44" t="str">
            <v>T.P40</v>
          </cell>
          <cell r="G44" t="str">
            <v>7-Day Workweek (10 hours)</v>
          </cell>
          <cell r="H44" t="str">
            <v>0d</v>
          </cell>
          <cell r="I44" t="str">
            <v>0d</v>
          </cell>
          <cell r="J44">
            <v>0</v>
          </cell>
          <cell r="K44" t="str">
            <v>As Late As Possible</v>
          </cell>
          <cell r="M44">
            <v>41354</v>
          </cell>
        </row>
        <row r="45">
          <cell r="C45" t="str">
            <v>2301-C03</v>
          </cell>
          <cell r="D45" t="str">
            <v>Mechanical Completion 2301-C03 1st/2nd Stage Recompressor, 23KA001</v>
          </cell>
          <cell r="E45" t="str">
            <v>T.P40</v>
          </cell>
          <cell r="G45" t="str">
            <v>7-Day Workweek (10 hours)</v>
          </cell>
          <cell r="H45" t="str">
            <v>0d</v>
          </cell>
          <cell r="I45" t="str">
            <v>0d</v>
          </cell>
          <cell r="J45">
            <v>0</v>
          </cell>
          <cell r="K45" t="str">
            <v>As Late As Possible</v>
          </cell>
          <cell r="M45">
            <v>41377</v>
          </cell>
        </row>
        <row r="46">
          <cell r="F46">
            <v>0</v>
          </cell>
          <cell r="G46" t="str">
            <v>7-Day Workweek (10 hours)</v>
          </cell>
          <cell r="H46" t="str">
            <v>121d</v>
          </cell>
          <cell r="I46" t="str">
            <v>121d</v>
          </cell>
          <cell r="J46">
            <v>0</v>
          </cell>
          <cell r="L46">
            <v>41354</v>
          </cell>
          <cell r="M46">
            <v>41451</v>
          </cell>
        </row>
        <row r="47">
          <cell r="C47" t="str">
            <v>2701-C18</v>
          </cell>
          <cell r="D47" t="str">
            <v>Mechanical Completion 2701-C18 Panel 27JC007 - UCP Antisurge Node 43/47 (PCS)(LER)</v>
          </cell>
          <cell r="E47" t="str">
            <v>T.Q30.Q32</v>
          </cell>
          <cell r="G47" t="str">
            <v>7-Day Workweek (10 hours)</v>
          </cell>
          <cell r="H47" t="str">
            <v>0d</v>
          </cell>
          <cell r="I47" t="str">
            <v>0d</v>
          </cell>
          <cell r="J47">
            <v>0</v>
          </cell>
          <cell r="K47" t="str">
            <v>As Late As Possible</v>
          </cell>
          <cell r="M47">
            <v>41354</v>
          </cell>
        </row>
        <row r="48">
          <cell r="C48" t="str">
            <v>2701-C19</v>
          </cell>
          <cell r="D48" t="str">
            <v>Mechanical Completion 2701-C19 Panel 27JC008 - Vibration Monitoring (PCS)(LER)</v>
          </cell>
          <cell r="E48" t="str">
            <v>T.Q30.Q32</v>
          </cell>
          <cell r="G48" t="str">
            <v>7-Day Workweek (10 hours)</v>
          </cell>
          <cell r="H48" t="str">
            <v>0d</v>
          </cell>
          <cell r="I48" t="str">
            <v>0d</v>
          </cell>
          <cell r="J48">
            <v>0</v>
          </cell>
          <cell r="K48" t="str">
            <v>As Late As Possible</v>
          </cell>
          <cell r="M48">
            <v>41359</v>
          </cell>
        </row>
        <row r="49">
          <cell r="C49" t="str">
            <v>2701-C14</v>
          </cell>
          <cell r="D49" t="str">
            <v>Mechanical Completion 2701-C14 Panel 27JC003 - UCP Antisurge Node 41/45 (PCS)(LER)</v>
          </cell>
          <cell r="E49" t="str">
            <v>T.Q30.Q32</v>
          </cell>
          <cell r="G49" t="str">
            <v>7-Day Workweek (10 hours)</v>
          </cell>
          <cell r="H49" t="str">
            <v>0d</v>
          </cell>
          <cell r="I49" t="str">
            <v>0d</v>
          </cell>
          <cell r="J49">
            <v>0</v>
          </cell>
          <cell r="K49" t="str">
            <v>As Late As Possible</v>
          </cell>
          <cell r="M49">
            <v>41362</v>
          </cell>
        </row>
        <row r="50">
          <cell r="C50" t="str">
            <v>2701-C15</v>
          </cell>
          <cell r="D50" t="str">
            <v>Mechanical Completion 2701-C15 Panel 27JC004 - Vibration Monitoring (PCS)(LER)</v>
          </cell>
          <cell r="E50" t="str">
            <v>T.Q30.Q32</v>
          </cell>
          <cell r="G50" t="str">
            <v>7-Day Workweek (10 hours)</v>
          </cell>
          <cell r="H50" t="str">
            <v>0d</v>
          </cell>
          <cell r="I50" t="str">
            <v>0d</v>
          </cell>
          <cell r="J50">
            <v>0</v>
          </cell>
          <cell r="K50" t="str">
            <v>As Late As Possible</v>
          </cell>
          <cell r="M50">
            <v>41366</v>
          </cell>
        </row>
        <row r="51">
          <cell r="C51" t="str">
            <v>2701-C16</v>
          </cell>
          <cell r="D51" t="str">
            <v>Mechanical Completion 2701-C16 Panel 27JC005 - UCP Antisurge Node 42/46 (PCS)(LER)</v>
          </cell>
          <cell r="E51" t="str">
            <v>T.Q30.Q32</v>
          </cell>
          <cell r="G51" t="str">
            <v>7-Day Workweek (10 hours)</v>
          </cell>
          <cell r="H51" t="str">
            <v>0d</v>
          </cell>
          <cell r="I51" t="str">
            <v>0d</v>
          </cell>
          <cell r="J51">
            <v>0</v>
          </cell>
          <cell r="K51" t="str">
            <v>As Late As Possible</v>
          </cell>
          <cell r="M51">
            <v>41369</v>
          </cell>
        </row>
        <row r="52">
          <cell r="C52" t="str">
            <v>2701-C11</v>
          </cell>
          <cell r="D52" t="str">
            <v>Mechanical Completion 2701-C11 Lube oil system HP compressor 27KA003</v>
          </cell>
          <cell r="E52" t="str">
            <v>T.P30</v>
          </cell>
          <cell r="G52" t="str">
            <v>7-Day Workweek (10 hours)</v>
          </cell>
          <cell r="H52" t="str">
            <v>0d</v>
          </cell>
          <cell r="I52" t="str">
            <v>0d</v>
          </cell>
          <cell r="J52">
            <v>0</v>
          </cell>
          <cell r="K52" t="str">
            <v>As Late As Possible</v>
          </cell>
          <cell r="M52">
            <v>41370</v>
          </cell>
        </row>
        <row r="53">
          <cell r="C53" t="str">
            <v>2701-C17</v>
          </cell>
          <cell r="D53" t="str">
            <v>Mechanical Completion 2701-C17 Panel 27JC006 - Vibration Monitoring (PCS)(LER)</v>
          </cell>
          <cell r="E53" t="str">
            <v>T.Q30.Q32</v>
          </cell>
          <cell r="G53" t="str">
            <v>7-Day Workweek (10 hours)</v>
          </cell>
          <cell r="H53" t="str">
            <v>0d</v>
          </cell>
          <cell r="I53" t="str">
            <v>0d</v>
          </cell>
          <cell r="J53">
            <v>0</v>
          </cell>
          <cell r="K53" t="str">
            <v>As Late As Possible</v>
          </cell>
          <cell r="M53">
            <v>41373</v>
          </cell>
        </row>
        <row r="54">
          <cell r="C54" t="str">
            <v>2701-C09</v>
          </cell>
          <cell r="D54" t="str">
            <v>Mechanical Completion 2701-C09 Lube oil system HP compressor 27KA001/2 A</v>
          </cell>
          <cell r="E54" t="str">
            <v>T.P30</v>
          </cell>
          <cell r="G54" t="str">
            <v>7-Day Workweek (10 hours)</v>
          </cell>
          <cell r="H54" t="str">
            <v>0d</v>
          </cell>
          <cell r="I54" t="str">
            <v>0d</v>
          </cell>
          <cell r="J54">
            <v>0</v>
          </cell>
          <cell r="K54" t="str">
            <v>As Late As Possible</v>
          </cell>
          <cell r="M54">
            <v>41390</v>
          </cell>
        </row>
        <row r="55">
          <cell r="C55" t="str">
            <v>2701-C07</v>
          </cell>
          <cell r="D55" t="str">
            <v>Mechanical Completion 2701-C07 Gas injection metering 27JX002</v>
          </cell>
          <cell r="E55" t="str">
            <v>T.P10</v>
          </cell>
          <cell r="G55" t="str">
            <v>7-Day Workweek (10 hours)</v>
          </cell>
          <cell r="H55" t="str">
            <v>0d</v>
          </cell>
          <cell r="I55" t="str">
            <v>0d</v>
          </cell>
          <cell r="J55">
            <v>0</v>
          </cell>
          <cell r="K55" t="str">
            <v>As Late As Possible</v>
          </cell>
          <cell r="M55">
            <v>41391</v>
          </cell>
        </row>
        <row r="56">
          <cell r="C56" t="str">
            <v>2701-C05</v>
          </cell>
          <cell r="D56" t="str">
            <v>Mechanical Completion 2701-C05 3rd stage piping, scrubber and cooler for HP compressor 27KA003</v>
          </cell>
          <cell r="E56" t="str">
            <v>T.P30</v>
          </cell>
          <cell r="G56" t="str">
            <v>7-Day Workweek (10 hours)</v>
          </cell>
          <cell r="H56" t="str">
            <v>0d</v>
          </cell>
          <cell r="I56" t="str">
            <v>0d</v>
          </cell>
          <cell r="J56">
            <v>0</v>
          </cell>
          <cell r="K56" t="str">
            <v>As Late As Possible</v>
          </cell>
          <cell r="M56">
            <v>41395</v>
          </cell>
        </row>
        <row r="57">
          <cell r="C57" t="str">
            <v>2701-C20</v>
          </cell>
          <cell r="D57" t="str">
            <v>Mechanical Completion 2701-C20 Gas Lift Metering 27JX003</v>
          </cell>
          <cell r="E57" t="str">
            <v>T.P10</v>
          </cell>
          <cell r="G57" t="str">
            <v>7-Day Workweek (10 hours)</v>
          </cell>
          <cell r="H57" t="str">
            <v>0d</v>
          </cell>
          <cell r="I57" t="str">
            <v>0d</v>
          </cell>
          <cell r="J57">
            <v>0</v>
          </cell>
          <cell r="K57" t="str">
            <v>As Late As Possible</v>
          </cell>
          <cell r="M57">
            <v>41397</v>
          </cell>
        </row>
        <row r="58">
          <cell r="C58" t="str">
            <v>2701-C08</v>
          </cell>
          <cell r="D58" t="str">
            <v>Mechanical Completion 2701-C08 Temporary pig launcher, gas lift 27LE001/002</v>
          </cell>
          <cell r="E58" t="str">
            <v>T.P30.P32</v>
          </cell>
          <cell r="G58" t="str">
            <v>7-Day Workweek (10 hours)</v>
          </cell>
          <cell r="H58" t="str">
            <v>0d</v>
          </cell>
          <cell r="I58" t="str">
            <v>0d</v>
          </cell>
          <cell r="J58">
            <v>0</v>
          </cell>
          <cell r="K58" t="str">
            <v>As Late As Possible</v>
          </cell>
          <cell r="M58">
            <v>41401</v>
          </cell>
        </row>
        <row r="59">
          <cell r="C59" t="str">
            <v>2701-C10</v>
          </cell>
          <cell r="D59" t="str">
            <v>Mechanical Completion 2701-C10 Lube oil system HP compressor 27KA001/2 B</v>
          </cell>
          <cell r="E59" t="str">
            <v>T.P30</v>
          </cell>
          <cell r="G59" t="str">
            <v>7-Day Workweek (10 hours)</v>
          </cell>
          <cell r="H59" t="str">
            <v>0d</v>
          </cell>
          <cell r="I59" t="str">
            <v>0d</v>
          </cell>
          <cell r="J59">
            <v>0</v>
          </cell>
          <cell r="K59" t="str">
            <v>As Late As Possible</v>
          </cell>
          <cell r="M59">
            <v>41410</v>
          </cell>
        </row>
        <row r="60">
          <cell r="C60" t="str">
            <v>2701-C01</v>
          </cell>
          <cell r="D60" t="str">
            <v>Mechanical Completion 2701-C01 1st and 2nd stage piping, scrubber and cooler for HP comp A</v>
          </cell>
          <cell r="E60" t="str">
            <v>T.P30</v>
          </cell>
          <cell r="G60" t="str">
            <v>7-Day Workweek (10 hours)</v>
          </cell>
          <cell r="H60" t="str">
            <v>0d</v>
          </cell>
          <cell r="I60" t="str">
            <v>0d</v>
          </cell>
          <cell r="J60">
            <v>0</v>
          </cell>
          <cell r="K60" t="str">
            <v>As Late As Possible</v>
          </cell>
          <cell r="M60">
            <v>41414</v>
          </cell>
        </row>
        <row r="61">
          <cell r="C61" t="str">
            <v>2701-C06</v>
          </cell>
          <cell r="D61" t="str">
            <v>Mechanical Completion 2701-C06 3rd stage hp compressor 27KA003</v>
          </cell>
          <cell r="E61" t="str">
            <v>T.P30</v>
          </cell>
          <cell r="G61" t="str">
            <v>7-Day Workweek (10 hours)</v>
          </cell>
          <cell r="H61" t="str">
            <v>0d</v>
          </cell>
          <cell r="I61" t="str">
            <v>0d</v>
          </cell>
          <cell r="J61">
            <v>0</v>
          </cell>
          <cell r="K61" t="str">
            <v>As Late As Possible</v>
          </cell>
          <cell r="M61">
            <v>41414</v>
          </cell>
        </row>
        <row r="62">
          <cell r="C62" t="str">
            <v>2701-C12</v>
          </cell>
          <cell r="D62" t="str">
            <v>Mechanical Completion 2701-C12 Offshore Hook-up spool to gas injection</v>
          </cell>
          <cell r="E62" t="str">
            <v>T.P10</v>
          </cell>
          <cell r="G62" t="str">
            <v>7-Day Workweek (10 hours)</v>
          </cell>
          <cell r="H62" t="str">
            <v>0d</v>
          </cell>
          <cell r="I62" t="str">
            <v>0d</v>
          </cell>
          <cell r="J62">
            <v>0</v>
          </cell>
          <cell r="K62" t="str">
            <v>As Late As Possible</v>
          </cell>
          <cell r="M62">
            <v>41414</v>
          </cell>
        </row>
        <row r="63">
          <cell r="C63" t="str">
            <v>2701-C13</v>
          </cell>
          <cell r="D63" t="str">
            <v>Mechanical Completion 2701-C13 Offshore Hook-up spool to gas lift</v>
          </cell>
          <cell r="E63" t="str">
            <v>T.P10</v>
          </cell>
          <cell r="G63" t="str">
            <v>7-Day Workweek (10 hours)</v>
          </cell>
          <cell r="H63" t="str">
            <v>0d</v>
          </cell>
          <cell r="I63" t="str">
            <v>0d</v>
          </cell>
          <cell r="J63">
            <v>0</v>
          </cell>
          <cell r="K63" t="str">
            <v>As Late As Possible</v>
          </cell>
          <cell r="M63">
            <v>41415</v>
          </cell>
        </row>
        <row r="64">
          <cell r="C64" t="str">
            <v>2701-C02</v>
          </cell>
          <cell r="D64" t="str">
            <v>Mechanical Completion 2701-C02 HP compressor 27KA001/2 A</v>
          </cell>
          <cell r="E64" t="str">
            <v>T.P30</v>
          </cell>
          <cell r="G64" t="str">
            <v>7-Day Workweek (10 hours)</v>
          </cell>
          <cell r="H64" t="str">
            <v>0d</v>
          </cell>
          <cell r="I64" t="str">
            <v>0d</v>
          </cell>
          <cell r="J64">
            <v>0</v>
          </cell>
          <cell r="K64" t="str">
            <v>As Late As Possible</v>
          </cell>
          <cell r="M64">
            <v>41432</v>
          </cell>
        </row>
        <row r="65">
          <cell r="C65" t="str">
            <v>2701-C03</v>
          </cell>
          <cell r="D65" t="str">
            <v>Mechanical Completion 2701-C03 1st and 2nd stage piping, scrubber and cooler for HP comp B</v>
          </cell>
          <cell r="E65" t="str">
            <v>T.P30</v>
          </cell>
          <cell r="G65" t="str">
            <v>7-Day Workweek (10 hours)</v>
          </cell>
          <cell r="H65" t="str">
            <v>0d</v>
          </cell>
          <cell r="I65" t="str">
            <v>0d</v>
          </cell>
          <cell r="J65">
            <v>0</v>
          </cell>
          <cell r="K65" t="str">
            <v>As Late As Possible</v>
          </cell>
          <cell r="M65">
            <v>41432</v>
          </cell>
        </row>
        <row r="66">
          <cell r="C66" t="str">
            <v>2701-C04</v>
          </cell>
          <cell r="D66" t="str">
            <v>Mechanical Completion 2701-C04 HP compressor 27KA001/2 B</v>
          </cell>
          <cell r="E66" t="str">
            <v>T.P30</v>
          </cell>
          <cell r="G66" t="str">
            <v>7-Day Workweek (10 hours)</v>
          </cell>
          <cell r="H66" t="str">
            <v>0d</v>
          </cell>
          <cell r="I66" t="str">
            <v>0d</v>
          </cell>
          <cell r="J66">
            <v>0</v>
          </cell>
          <cell r="K66" t="str">
            <v>As Late As Possible</v>
          </cell>
          <cell r="M66">
            <v>41451</v>
          </cell>
        </row>
        <row r="67">
          <cell r="F67">
            <v>0</v>
          </cell>
          <cell r="G67" t="str">
            <v>7-Day Workweek (10 hours)</v>
          </cell>
          <cell r="H67" t="str">
            <v>54d</v>
          </cell>
          <cell r="I67" t="str">
            <v>54d</v>
          </cell>
          <cell r="J67">
            <v>0</v>
          </cell>
          <cell r="L67">
            <v>41411</v>
          </cell>
          <cell r="M67">
            <v>41454</v>
          </cell>
        </row>
        <row r="68">
          <cell r="C68" t="str">
            <v>2901-C01</v>
          </cell>
          <cell r="D68" t="str">
            <v>Mechanical Completion 2901-C01 Water Injection discharge header and flowlines</v>
          </cell>
          <cell r="E68" t="str">
            <v>T.P10</v>
          </cell>
          <cell r="G68" t="str">
            <v>7-Day Workweek (10 hours)</v>
          </cell>
          <cell r="H68" t="str">
            <v>0d</v>
          </cell>
          <cell r="I68" t="str">
            <v>0d</v>
          </cell>
          <cell r="J68">
            <v>0</v>
          </cell>
          <cell r="K68" t="str">
            <v>As Late As Possible</v>
          </cell>
          <cell r="M68">
            <v>41411</v>
          </cell>
        </row>
        <row r="69">
          <cell r="C69" t="str">
            <v>2901-C02</v>
          </cell>
          <cell r="D69" t="str">
            <v>Mechanical Completion 2901-C02 Water Injection Pump 29XX001A</v>
          </cell>
          <cell r="E69" t="str">
            <v>T.P50</v>
          </cell>
          <cell r="G69" t="str">
            <v>7-Day Workweek (10 hours)</v>
          </cell>
          <cell r="H69" t="str">
            <v>0d</v>
          </cell>
          <cell r="I69" t="str">
            <v>0d</v>
          </cell>
          <cell r="J69">
            <v>0</v>
          </cell>
          <cell r="K69" t="str">
            <v>As Late As Possible</v>
          </cell>
          <cell r="M69">
            <v>41435</v>
          </cell>
        </row>
        <row r="70">
          <cell r="C70" t="str">
            <v>2901-C09</v>
          </cell>
          <cell r="D70" t="str">
            <v>Mechanical Completion 2901-C09 Water Injection Pump Seal Barrier Fluid Tank</v>
          </cell>
          <cell r="E70" t="str">
            <v>T.P50</v>
          </cell>
          <cell r="G70" t="str">
            <v>7-Day Workweek (10 hours)</v>
          </cell>
          <cell r="H70" t="str">
            <v>0d</v>
          </cell>
          <cell r="I70" t="str">
            <v>0d</v>
          </cell>
          <cell r="J70">
            <v>0</v>
          </cell>
          <cell r="K70" t="str">
            <v>As Late As Possible</v>
          </cell>
          <cell r="M70">
            <v>41435</v>
          </cell>
        </row>
        <row r="71">
          <cell r="C71" t="str">
            <v>2901-C06</v>
          </cell>
          <cell r="D71" t="str">
            <v>Mechanical Completion 2901-C06 Water Injection Pump 29XX001B</v>
          </cell>
          <cell r="E71" t="str">
            <v>T.P50</v>
          </cell>
          <cell r="G71" t="str">
            <v>7-Day Workweek (10 hours)</v>
          </cell>
          <cell r="H71" t="str">
            <v>0d</v>
          </cell>
          <cell r="I71" t="str">
            <v>0d</v>
          </cell>
          <cell r="J71">
            <v>0</v>
          </cell>
          <cell r="K71" t="str">
            <v>As Late As Possible</v>
          </cell>
          <cell r="M71">
            <v>41439</v>
          </cell>
        </row>
        <row r="72">
          <cell r="C72" t="str">
            <v>2901-C07</v>
          </cell>
          <cell r="D72" t="str">
            <v>Mechanical Completion 2901-C07 Water Injection Pump 29XX001C</v>
          </cell>
          <cell r="E72" t="str">
            <v>T.P50</v>
          </cell>
          <cell r="G72" t="str">
            <v>7-Day Workweek (10 hours)</v>
          </cell>
          <cell r="H72" t="str">
            <v>0d</v>
          </cell>
          <cell r="I72" t="str">
            <v>0d</v>
          </cell>
          <cell r="J72">
            <v>0</v>
          </cell>
          <cell r="K72" t="str">
            <v>As Late As Possible</v>
          </cell>
          <cell r="M72">
            <v>41444</v>
          </cell>
        </row>
        <row r="73">
          <cell r="C73" t="str">
            <v>2901-C08</v>
          </cell>
          <cell r="D73" t="str">
            <v>Mechanical Completion 2901-C08 Water Injection Pump 29XX001D</v>
          </cell>
          <cell r="E73" t="str">
            <v>T.P50</v>
          </cell>
          <cell r="G73" t="str">
            <v>7-Day Workweek (10 hours)</v>
          </cell>
          <cell r="H73" t="str">
            <v>0d</v>
          </cell>
          <cell r="I73" t="str">
            <v>0d</v>
          </cell>
          <cell r="J73">
            <v>0</v>
          </cell>
          <cell r="K73" t="str">
            <v>As Late As Possible</v>
          </cell>
          <cell r="M73">
            <v>41449</v>
          </cell>
        </row>
        <row r="74">
          <cell r="C74" t="str">
            <v>2901-C03</v>
          </cell>
          <cell r="D74" t="str">
            <v>Mechanical Completion 2901-C03 Temporary pig launcher water injection 29LE001</v>
          </cell>
          <cell r="E74" t="str">
            <v>T.P10</v>
          </cell>
          <cell r="G74" t="str">
            <v>7-Day Workweek (10 hours)</v>
          </cell>
          <cell r="H74" t="str">
            <v>0d</v>
          </cell>
          <cell r="I74" t="str">
            <v>0d</v>
          </cell>
          <cell r="J74">
            <v>0</v>
          </cell>
          <cell r="K74" t="str">
            <v>As Late As Possible</v>
          </cell>
          <cell r="M74">
            <v>41453</v>
          </cell>
        </row>
        <row r="75">
          <cell r="C75" t="str">
            <v>2901-C04</v>
          </cell>
          <cell r="D75" t="str">
            <v>Mechanical Completion 2901-C04 Offshore Hook-up Spool to prod water injection well</v>
          </cell>
          <cell r="E75" t="str">
            <v>T.P10</v>
          </cell>
          <cell r="G75" t="str">
            <v>7-Day Workweek (10 hours)</v>
          </cell>
          <cell r="H75" t="str">
            <v>0d</v>
          </cell>
          <cell r="I75" t="str">
            <v>0d</v>
          </cell>
          <cell r="J75">
            <v>0</v>
          </cell>
          <cell r="K75" t="str">
            <v>As Late As Possible</v>
          </cell>
          <cell r="M75">
            <v>41453</v>
          </cell>
        </row>
        <row r="76">
          <cell r="C76" t="str">
            <v>2901-C05</v>
          </cell>
          <cell r="D76" t="str">
            <v>Mechanical Completion 2901-C05 Offshore Hook-up Spool to sea water injection well</v>
          </cell>
          <cell r="E76" t="str">
            <v>T.P10</v>
          </cell>
          <cell r="G76" t="str">
            <v>7-Day Workweek (10 hours)</v>
          </cell>
          <cell r="H76" t="str">
            <v>0d</v>
          </cell>
          <cell r="I76" t="str">
            <v>0d</v>
          </cell>
          <cell r="J76">
            <v>0</v>
          </cell>
          <cell r="K76" t="str">
            <v>As Late As Possible</v>
          </cell>
          <cell r="M76">
            <v>41454</v>
          </cell>
        </row>
        <row r="77">
          <cell r="F77">
            <v>0</v>
          </cell>
          <cell r="G77" t="str">
            <v>7-Day Workweek (10 hours)</v>
          </cell>
          <cell r="H77" t="str">
            <v>164d</v>
          </cell>
          <cell r="I77" t="str">
            <v>164d</v>
          </cell>
          <cell r="J77">
            <v>0</v>
          </cell>
          <cell r="L77">
            <v>41334</v>
          </cell>
          <cell r="M77">
            <v>41465</v>
          </cell>
        </row>
        <row r="78">
          <cell r="C78" t="str">
            <v>3301-C01</v>
          </cell>
          <cell r="D78" t="str">
            <v>Mechanical Completion 3301-C01 Cargo ringmain</v>
          </cell>
          <cell r="E78" t="str">
            <v>H.M10</v>
          </cell>
          <cell r="G78" t="str">
            <v>7-Day Workweek (10 hours)</v>
          </cell>
          <cell r="H78" t="str">
            <v>0d</v>
          </cell>
          <cell r="I78" t="str">
            <v>0d</v>
          </cell>
          <cell r="J78">
            <v>0</v>
          </cell>
          <cell r="K78" t="str">
            <v>Finish On</v>
          </cell>
          <cell r="M78" t="str">
            <v>01-Mar-13*</v>
          </cell>
        </row>
        <row r="79">
          <cell r="C79" t="str">
            <v>3301-C02</v>
          </cell>
          <cell r="D79" t="str">
            <v>Mechanical Completion 3301-C02 Cargo pumps 33PA001A/B/C</v>
          </cell>
          <cell r="E79" t="str">
            <v>H.G20</v>
          </cell>
          <cell r="G79" t="str">
            <v>7-Day Workweek (10 hours)</v>
          </cell>
          <cell r="H79" t="str">
            <v>0d</v>
          </cell>
          <cell r="I79" t="str">
            <v>0d</v>
          </cell>
          <cell r="J79">
            <v>0</v>
          </cell>
          <cell r="K79" t="str">
            <v>As Late As Possible</v>
          </cell>
          <cell r="M79">
            <v>41363</v>
          </cell>
        </row>
        <row r="80">
          <cell r="C80" t="str">
            <v>3301-C17</v>
          </cell>
          <cell r="D80" t="str">
            <v>Mechanical Completion 3301-C17 Cargo pump 33PA001B</v>
          </cell>
          <cell r="E80" t="str">
            <v>H.G20</v>
          </cell>
          <cell r="G80" t="str">
            <v>7-Day Workweek (10 hours)</v>
          </cell>
          <cell r="H80" t="str">
            <v>0d</v>
          </cell>
          <cell r="I80" t="str">
            <v>0d</v>
          </cell>
          <cell r="J80">
            <v>0</v>
          </cell>
          <cell r="K80" t="str">
            <v>As Late As Possible</v>
          </cell>
          <cell r="M80">
            <v>41368</v>
          </cell>
        </row>
        <row r="81">
          <cell r="C81" t="str">
            <v>3301-C18</v>
          </cell>
          <cell r="D81" t="str">
            <v>Mechanical Completion 3301-C18 Cargo pump 33PA001C</v>
          </cell>
          <cell r="E81" t="str">
            <v>H.G20</v>
          </cell>
          <cell r="G81" t="str">
            <v>7-Day Workweek (10 hours)</v>
          </cell>
          <cell r="H81" t="str">
            <v>0d</v>
          </cell>
          <cell r="I81" t="str">
            <v>0d</v>
          </cell>
          <cell r="J81">
            <v>0</v>
          </cell>
          <cell r="K81" t="str">
            <v>As Late As Possible</v>
          </cell>
          <cell r="M81">
            <v>41373</v>
          </cell>
        </row>
        <row r="82">
          <cell r="C82" t="str">
            <v>3301-C03</v>
          </cell>
          <cell r="D82" t="str">
            <v>Mechanical Completion 3301-C03 Cow ringmain and heaters 33HB001/2</v>
          </cell>
          <cell r="E82" t="str">
            <v>H.M10</v>
          </cell>
          <cell r="G82" t="str">
            <v>7-Day Workweek (10 hours)</v>
          </cell>
          <cell r="H82" t="str">
            <v>0d</v>
          </cell>
          <cell r="I82" t="str">
            <v>0d</v>
          </cell>
          <cell r="J82">
            <v>0</v>
          </cell>
          <cell r="K82" t="str">
            <v>As Late As Possible</v>
          </cell>
          <cell r="M82">
            <v>41377</v>
          </cell>
        </row>
        <row r="83">
          <cell r="C83" t="str">
            <v>3301-C04</v>
          </cell>
          <cell r="D83" t="str">
            <v>Mechanical Completion 3301-C04 Stripping/Crow/Pigging pumps 33PA002A/B</v>
          </cell>
          <cell r="E83" t="str">
            <v>H.G20</v>
          </cell>
          <cell r="G83" t="str">
            <v>7-Day Workweek (10 hours)</v>
          </cell>
          <cell r="H83" t="str">
            <v>0d</v>
          </cell>
          <cell r="I83" t="str">
            <v>0d</v>
          </cell>
          <cell r="J83">
            <v>0</v>
          </cell>
          <cell r="K83" t="str">
            <v>As Late As Possible</v>
          </cell>
          <cell r="M83">
            <v>41396</v>
          </cell>
        </row>
        <row r="84">
          <cell r="C84" t="str">
            <v>3301-C05</v>
          </cell>
          <cell r="D84" t="str">
            <v>Mechanical Completion 3301-C05 Crude oil offloading fiscal metering package 33JX001</v>
          </cell>
          <cell r="E84" t="str">
            <v>T.P30</v>
          </cell>
          <cell r="G84" t="str">
            <v>7-Day Workweek (10 hours)</v>
          </cell>
          <cell r="H84" t="str">
            <v>0d</v>
          </cell>
          <cell r="I84" t="str">
            <v>0d</v>
          </cell>
          <cell r="J84">
            <v>0</v>
          </cell>
          <cell r="K84" t="str">
            <v>As Late As Possible</v>
          </cell>
          <cell r="M84">
            <v>41405</v>
          </cell>
        </row>
        <row r="85">
          <cell r="C85" t="str">
            <v>3301-C06</v>
          </cell>
          <cell r="D85" t="str">
            <v>Mechanical Completion 3301-C06 Offloading hose reel 33LX001</v>
          </cell>
          <cell r="E85" t="str">
            <v>T.D10</v>
          </cell>
          <cell r="G85" t="str">
            <v>7-Day Workweek (10 hours)</v>
          </cell>
          <cell r="H85" t="str">
            <v>0d</v>
          </cell>
          <cell r="I85" t="str">
            <v>0d</v>
          </cell>
          <cell r="J85">
            <v>0</v>
          </cell>
          <cell r="K85" t="str">
            <v>As Late As Possible</v>
          </cell>
          <cell r="M85">
            <v>41426</v>
          </cell>
        </row>
        <row r="86">
          <cell r="C86" t="str">
            <v>3301-C07</v>
          </cell>
          <cell r="D86" t="str">
            <v>Mechanical Completion 3301-C07 Cargo tank 33TX001</v>
          </cell>
          <cell r="E86" t="str">
            <v>H.C10</v>
          </cell>
          <cell r="G86" t="str">
            <v>7-Day Workweek (10 hours)</v>
          </cell>
          <cell r="H86" t="str">
            <v>0d</v>
          </cell>
          <cell r="I86" t="str">
            <v>0d</v>
          </cell>
          <cell r="J86">
            <v>0</v>
          </cell>
          <cell r="K86" t="str">
            <v>As Late As Possible</v>
          </cell>
          <cell r="M86">
            <v>41439</v>
          </cell>
        </row>
        <row r="87">
          <cell r="C87" t="str">
            <v>3301-C08</v>
          </cell>
          <cell r="D87" t="str">
            <v>Mechanical Completion 3301-C08 Cargo tank 33TX002</v>
          </cell>
          <cell r="E87" t="str">
            <v>H.C10</v>
          </cell>
          <cell r="G87" t="str">
            <v>7-Day Workweek (10 hours)</v>
          </cell>
          <cell r="H87" t="str">
            <v>0d</v>
          </cell>
          <cell r="I87" t="str">
            <v>0d</v>
          </cell>
          <cell r="J87">
            <v>0</v>
          </cell>
          <cell r="K87" t="str">
            <v>As Late As Possible</v>
          </cell>
          <cell r="M87">
            <v>41443</v>
          </cell>
        </row>
        <row r="88">
          <cell r="C88" t="str">
            <v>3301-C09</v>
          </cell>
          <cell r="D88" t="str">
            <v>Mechanical Completion 3301-C09 Cargo tank 33TX003</v>
          </cell>
          <cell r="E88" t="str">
            <v>H.C10</v>
          </cell>
          <cell r="G88" t="str">
            <v>7-Day Workweek (10 hours)</v>
          </cell>
          <cell r="H88" t="str">
            <v>0d</v>
          </cell>
          <cell r="I88" t="str">
            <v>0d</v>
          </cell>
          <cell r="J88">
            <v>0</v>
          </cell>
          <cell r="K88" t="str">
            <v>As Late As Possible</v>
          </cell>
          <cell r="M88">
            <v>41445</v>
          </cell>
        </row>
        <row r="89">
          <cell r="C89" t="str">
            <v>3301-C10</v>
          </cell>
          <cell r="D89" t="str">
            <v>Mechanical Completion 3301-C10 Cargo tank 33TX004</v>
          </cell>
          <cell r="E89" t="str">
            <v>H.C20</v>
          </cell>
          <cell r="G89" t="str">
            <v>7-Day Workweek (10 hours)</v>
          </cell>
          <cell r="H89" t="str">
            <v>0d</v>
          </cell>
          <cell r="I89" t="str">
            <v>0d</v>
          </cell>
          <cell r="J89">
            <v>0</v>
          </cell>
          <cell r="K89" t="str">
            <v>As Late As Possible</v>
          </cell>
          <cell r="M89">
            <v>41447</v>
          </cell>
        </row>
        <row r="90">
          <cell r="C90" t="str">
            <v>3301-C11</v>
          </cell>
          <cell r="D90" t="str">
            <v>Mechanical Completion 3301-C11 Cargo tank 33TX005</v>
          </cell>
          <cell r="E90" t="str">
            <v>H.C20</v>
          </cell>
          <cell r="G90" t="str">
            <v>7-Day Workweek (10 hours)</v>
          </cell>
          <cell r="H90" t="str">
            <v>0d</v>
          </cell>
          <cell r="I90" t="str">
            <v>0d</v>
          </cell>
          <cell r="J90">
            <v>0</v>
          </cell>
          <cell r="K90" t="str">
            <v>As Late As Possible</v>
          </cell>
          <cell r="M90">
            <v>41451</v>
          </cell>
        </row>
        <row r="91">
          <cell r="C91" t="str">
            <v>3301-C12</v>
          </cell>
          <cell r="D91" t="str">
            <v>Mechanical Completion 3301-C12 Cargo tank 33TX010</v>
          </cell>
          <cell r="E91" t="str">
            <v>H.C10</v>
          </cell>
          <cell r="G91" t="str">
            <v>7-Day Workweek (10 hours)</v>
          </cell>
          <cell r="H91" t="str">
            <v>0d</v>
          </cell>
          <cell r="I91" t="str">
            <v>0d</v>
          </cell>
          <cell r="J91">
            <v>0</v>
          </cell>
          <cell r="K91" t="str">
            <v>As Late As Possible</v>
          </cell>
          <cell r="M91">
            <v>41453</v>
          </cell>
        </row>
        <row r="92">
          <cell r="C92" t="str">
            <v>3301-C13</v>
          </cell>
          <cell r="D92" t="str">
            <v>Mechanical Completion 3301-C13 Cargo tank 33TX009</v>
          </cell>
          <cell r="E92" t="str">
            <v>H.C10</v>
          </cell>
          <cell r="G92" t="str">
            <v>7-Day Workweek (10 hours)</v>
          </cell>
          <cell r="H92" t="str">
            <v>0d</v>
          </cell>
          <cell r="I92" t="str">
            <v>0d</v>
          </cell>
          <cell r="J92">
            <v>0</v>
          </cell>
          <cell r="K92" t="str">
            <v>As Late As Possible</v>
          </cell>
          <cell r="M92">
            <v>41457</v>
          </cell>
        </row>
        <row r="93">
          <cell r="C93" t="str">
            <v>3301-C14</v>
          </cell>
          <cell r="D93" t="str">
            <v>Mechanical Completion 3301-C14 Cargo tank 33TX008</v>
          </cell>
          <cell r="E93" t="str">
            <v>H.C20</v>
          </cell>
          <cell r="G93" t="str">
            <v>7-Day Workweek (10 hours)</v>
          </cell>
          <cell r="H93" t="str">
            <v>0d</v>
          </cell>
          <cell r="I93" t="str">
            <v>0d</v>
          </cell>
          <cell r="J93">
            <v>0</v>
          </cell>
          <cell r="K93" t="str">
            <v>As Late As Possible</v>
          </cell>
          <cell r="M93">
            <v>41459</v>
          </cell>
        </row>
        <row r="94">
          <cell r="C94" t="str">
            <v>3301-C15</v>
          </cell>
          <cell r="D94" t="str">
            <v>Mechanical Completion 3301-C15 Cargo tank 33TX007</v>
          </cell>
          <cell r="E94" t="str">
            <v>H.C20</v>
          </cell>
          <cell r="G94" t="str">
            <v>7-Day Workweek (10 hours)</v>
          </cell>
          <cell r="H94" t="str">
            <v>0d</v>
          </cell>
          <cell r="I94" t="str">
            <v>0d</v>
          </cell>
          <cell r="J94">
            <v>0</v>
          </cell>
          <cell r="K94" t="str">
            <v>As Late As Possible</v>
          </cell>
          <cell r="M94">
            <v>41461</v>
          </cell>
        </row>
        <row r="95">
          <cell r="C95" t="str">
            <v>3301-C16</v>
          </cell>
          <cell r="D95" t="str">
            <v>Mechanical Completion 3301-C16 Cargo tank 33TX006</v>
          </cell>
          <cell r="E95" t="str">
            <v>H.C20</v>
          </cell>
          <cell r="G95" t="str">
            <v>7-Day Workweek (10 hours)</v>
          </cell>
          <cell r="H95" t="str">
            <v>0d</v>
          </cell>
          <cell r="I95" t="str">
            <v>0d</v>
          </cell>
          <cell r="J95">
            <v>0</v>
          </cell>
          <cell r="K95" t="str">
            <v>As Late As Possible</v>
          </cell>
          <cell r="M95">
            <v>41465</v>
          </cell>
        </row>
        <row r="96">
          <cell r="F96">
            <v>0</v>
          </cell>
          <cell r="G96" t="str">
            <v>7-Day Workweek (10 hours)</v>
          </cell>
          <cell r="H96" t="str">
            <v>6d</v>
          </cell>
          <cell r="I96" t="str">
            <v>6d</v>
          </cell>
          <cell r="J96">
            <v>0</v>
          </cell>
          <cell r="L96">
            <v>41470</v>
          </cell>
          <cell r="M96">
            <v>41474</v>
          </cell>
        </row>
        <row r="97">
          <cell r="C97" t="str">
            <v>3901-C01</v>
          </cell>
          <cell r="D97" t="str">
            <v>Mechanical Completion 3901-C01 Praimary Bunkering Station 39XX001A</v>
          </cell>
          <cell r="E97" t="str">
            <v>T.Q30</v>
          </cell>
          <cell r="G97" t="str">
            <v>7-Day Workweek (10 hours)</v>
          </cell>
          <cell r="H97" t="str">
            <v>0d</v>
          </cell>
          <cell r="I97" t="str">
            <v>0d</v>
          </cell>
          <cell r="J97">
            <v>0</v>
          </cell>
          <cell r="K97" t="str">
            <v>Finish On</v>
          </cell>
          <cell r="M97" t="str">
            <v>15-Jul-13*</v>
          </cell>
        </row>
        <row r="98">
          <cell r="C98" t="str">
            <v>3901-C02</v>
          </cell>
          <cell r="D98" t="str">
            <v>Mechanical Completion 3901-C02 Secendary Bunkering Station 39XX001B</v>
          </cell>
          <cell r="E98" t="str">
            <v>T.Q20</v>
          </cell>
          <cell r="G98" t="str">
            <v>7-Day Workweek (10 hours)</v>
          </cell>
          <cell r="H98" t="str">
            <v>0d</v>
          </cell>
          <cell r="I98" t="str">
            <v>0d</v>
          </cell>
          <cell r="J98">
            <v>0</v>
          </cell>
          <cell r="K98" t="str">
            <v>As Late As Possible</v>
          </cell>
          <cell r="M98">
            <v>41474</v>
          </cell>
        </row>
        <row r="99">
          <cell r="F99">
            <v>0</v>
          </cell>
          <cell r="G99" t="str">
            <v>7-Day Workweek (10 hours)</v>
          </cell>
          <cell r="H99" t="str">
            <v>75d</v>
          </cell>
          <cell r="I99" t="str">
            <v>75d</v>
          </cell>
          <cell r="J99">
            <v>0</v>
          </cell>
          <cell r="L99">
            <v>41306</v>
          </cell>
          <cell r="M99">
            <v>41365</v>
          </cell>
        </row>
        <row r="100">
          <cell r="C100" t="str">
            <v>4001-C01</v>
          </cell>
          <cell r="D100" t="str">
            <v>Mechanical Completion 4001-C01 Cooling Medium Expansion Vessel, 40VL001 &amp; Coolers 40HB001A/B &amp; Distribution</v>
          </cell>
          <cell r="E100" t="str">
            <v>H.M20</v>
          </cell>
          <cell r="G100" t="str">
            <v>7-Day Workweek (10 hours)</v>
          </cell>
          <cell r="H100" t="str">
            <v>0d</v>
          </cell>
          <cell r="I100" t="str">
            <v>0d</v>
          </cell>
          <cell r="J100">
            <v>0</v>
          </cell>
          <cell r="K100" t="str">
            <v>Finish On</v>
          </cell>
          <cell r="M100" t="str">
            <v>01-Feb-13*</v>
          </cell>
        </row>
        <row r="101">
          <cell r="C101" t="str">
            <v>4001-C02</v>
          </cell>
          <cell r="D101" t="str">
            <v>Mechanical Completion 4001-C02 Cooling Medium Make-Up Pump 40PA002 and Tank 40TA001</v>
          </cell>
          <cell r="E101" t="str">
            <v>H.G20</v>
          </cell>
          <cell r="G101" t="str">
            <v>7-Day Workweek (10 hours)</v>
          </cell>
          <cell r="H101" t="str">
            <v>0d</v>
          </cell>
          <cell r="I101" t="str">
            <v>0d</v>
          </cell>
          <cell r="J101">
            <v>0</v>
          </cell>
          <cell r="K101" t="str">
            <v>As Late As Possible</v>
          </cell>
          <cell r="M101">
            <v>41331</v>
          </cell>
        </row>
        <row r="102">
          <cell r="C102" t="str">
            <v>4001-C04</v>
          </cell>
          <cell r="D102" t="str">
            <v>Mechanical Completion 4001-C04 Cooling Medium Cirkulation Pump 40PA001A</v>
          </cell>
          <cell r="E102" t="str">
            <v>H.M10</v>
          </cell>
          <cell r="G102" t="str">
            <v>7-Day Workweek (10 hours)</v>
          </cell>
          <cell r="H102" t="str">
            <v>0d</v>
          </cell>
          <cell r="I102" t="str">
            <v>0d</v>
          </cell>
          <cell r="J102">
            <v>0</v>
          </cell>
          <cell r="K102" t="str">
            <v>As Late As Possible</v>
          </cell>
          <cell r="M102">
            <v>41334</v>
          </cell>
        </row>
        <row r="103">
          <cell r="C103" t="str">
            <v>4001-C06</v>
          </cell>
          <cell r="D103" t="str">
            <v>Mechanical Completion 4001-C06 Cooling Medium Cirkulation Pump 40PA001B</v>
          </cell>
          <cell r="E103" t="str">
            <v>H.M20</v>
          </cell>
          <cell r="G103" t="str">
            <v>7-Day Workweek (10 hours)</v>
          </cell>
          <cell r="H103" t="str">
            <v>0d</v>
          </cell>
          <cell r="I103" t="str">
            <v>0d</v>
          </cell>
          <cell r="J103">
            <v>0</v>
          </cell>
          <cell r="K103" t="str">
            <v>As Late As Possible</v>
          </cell>
          <cell r="M103">
            <v>41339</v>
          </cell>
        </row>
        <row r="104">
          <cell r="C104" t="str">
            <v>4001-C07</v>
          </cell>
          <cell r="D104" t="str">
            <v>Mechanical Completion 4001-C07 Cooling Medium Cirkulation Pump 40PA001C</v>
          </cell>
          <cell r="E104" t="str">
            <v>H.M20</v>
          </cell>
          <cell r="G104" t="str">
            <v>7-Day Workweek (10 hours)</v>
          </cell>
          <cell r="H104" t="str">
            <v>0d</v>
          </cell>
          <cell r="I104" t="str">
            <v>0d</v>
          </cell>
          <cell r="J104">
            <v>0</v>
          </cell>
          <cell r="K104" t="str">
            <v>As Late As Possible</v>
          </cell>
          <cell r="M104">
            <v>41344</v>
          </cell>
        </row>
        <row r="105">
          <cell r="C105" t="str">
            <v>4001-C03</v>
          </cell>
          <cell r="D105" t="str">
            <v>Mechanical Completion 4001-C03 Cooling Medium Drain System</v>
          </cell>
          <cell r="E105" t="str">
            <v>T.P10</v>
          </cell>
          <cell r="G105" t="str">
            <v>7-Day Workweek (10 hours)</v>
          </cell>
          <cell r="H105" t="str">
            <v>0d</v>
          </cell>
          <cell r="I105" t="str">
            <v>0d</v>
          </cell>
          <cell r="J105">
            <v>0</v>
          </cell>
          <cell r="K105" t="str">
            <v>As Late As Possible</v>
          </cell>
          <cell r="M105">
            <v>41365</v>
          </cell>
        </row>
        <row r="106">
          <cell r="F106">
            <v>0</v>
          </cell>
          <cell r="G106" t="str">
            <v>7-Day Workweek (10 hours)</v>
          </cell>
          <cell r="H106" t="str">
            <v>92d</v>
          </cell>
          <cell r="I106" t="str">
            <v>92d</v>
          </cell>
          <cell r="J106">
            <v>0</v>
          </cell>
          <cell r="L106">
            <v>41377</v>
          </cell>
          <cell r="M106">
            <v>41450</v>
          </cell>
        </row>
        <row r="107">
          <cell r="C107" t="str">
            <v>4101-C01</v>
          </cell>
          <cell r="D107" t="str">
            <v>Mechanical Completion 4101-C01 Heating medium distribution &amp; expansion tank 41VL001</v>
          </cell>
          <cell r="E107" t="str">
            <v>T.P30</v>
          </cell>
          <cell r="G107" t="str">
            <v>7-Day Workweek (10 hours)</v>
          </cell>
          <cell r="H107" t="str">
            <v>0d</v>
          </cell>
          <cell r="I107" t="str">
            <v>0d</v>
          </cell>
          <cell r="J107">
            <v>0</v>
          </cell>
          <cell r="K107" t="str">
            <v>As Late As Possible</v>
          </cell>
          <cell r="M107">
            <v>41377</v>
          </cell>
        </row>
        <row r="108">
          <cell r="C108" t="str">
            <v>4101-C02</v>
          </cell>
          <cell r="D108" t="str">
            <v>Mechanical Completion 4101-C02 Waste heat recovery unit 41HW001</v>
          </cell>
          <cell r="E108" t="str">
            <v>T.Q20</v>
          </cell>
          <cell r="G108" t="str">
            <v>7-Day Workweek (10 hours)</v>
          </cell>
          <cell r="H108" t="str">
            <v>0d</v>
          </cell>
          <cell r="I108" t="str">
            <v>0d</v>
          </cell>
          <cell r="J108">
            <v>0</v>
          </cell>
          <cell r="K108" t="str">
            <v>As Late As Possible</v>
          </cell>
          <cell r="M108">
            <v>41401</v>
          </cell>
        </row>
        <row r="109">
          <cell r="C109" t="str">
            <v>4101-C03</v>
          </cell>
          <cell r="D109" t="str">
            <v>Mechanical Completion 4101-C03 Heating medium make-up tank 41TA001 and pump 41PA002</v>
          </cell>
          <cell r="E109" t="str">
            <v>H.G20</v>
          </cell>
          <cell r="G109" t="str">
            <v>7-Day Workweek (10 hours)</v>
          </cell>
          <cell r="H109" t="str">
            <v>0d</v>
          </cell>
          <cell r="I109" t="str">
            <v>0d</v>
          </cell>
          <cell r="J109">
            <v>0</v>
          </cell>
          <cell r="K109" t="str">
            <v>As Late As Possible</v>
          </cell>
          <cell r="M109">
            <v>41407</v>
          </cell>
        </row>
        <row r="110">
          <cell r="C110" t="str">
            <v>4101-C10</v>
          </cell>
          <cell r="D110" t="str">
            <v>Mechanical Completion 4101-C10 Heating Medium Circulation Pumps 41PA001A</v>
          </cell>
          <cell r="E110" t="str">
            <v>H.M10</v>
          </cell>
          <cell r="G110" t="str">
            <v>7-Day Workweek (10 hours)</v>
          </cell>
          <cell r="H110" t="str">
            <v>0d</v>
          </cell>
          <cell r="I110" t="str">
            <v>0d</v>
          </cell>
          <cell r="J110">
            <v>0</v>
          </cell>
          <cell r="K110" t="str">
            <v>As Late As Possible</v>
          </cell>
          <cell r="M110">
            <v>41411</v>
          </cell>
        </row>
        <row r="111">
          <cell r="C111" t="str">
            <v>4101-C11</v>
          </cell>
          <cell r="D111" t="str">
            <v>Mechanical Completion 4101-C11 Heating Medium Circulation Pumps 41PA001B</v>
          </cell>
          <cell r="E111" t="str">
            <v>H.M10</v>
          </cell>
          <cell r="G111" t="str">
            <v>7-Day Workweek (10 hours)</v>
          </cell>
          <cell r="H111" t="str">
            <v>0d</v>
          </cell>
          <cell r="I111" t="str">
            <v>0d</v>
          </cell>
          <cell r="J111">
            <v>0</v>
          </cell>
          <cell r="K111" t="str">
            <v>As Late As Possible</v>
          </cell>
          <cell r="M111">
            <v>41418</v>
          </cell>
        </row>
        <row r="112">
          <cell r="C112" t="str">
            <v>4101-C12</v>
          </cell>
          <cell r="D112" t="str">
            <v>Mechanical Completion 4101-C12 Heating Medium Circulation Pumps 41PA001C</v>
          </cell>
          <cell r="E112" t="str">
            <v>H.M10</v>
          </cell>
          <cell r="G112" t="str">
            <v>7-Day Workweek (10 hours)</v>
          </cell>
          <cell r="H112" t="str">
            <v>0d</v>
          </cell>
          <cell r="I112" t="str">
            <v>0d</v>
          </cell>
          <cell r="J112">
            <v>0</v>
          </cell>
          <cell r="K112" t="str">
            <v>As Late As Possible</v>
          </cell>
          <cell r="M112">
            <v>41424</v>
          </cell>
        </row>
        <row r="113">
          <cell r="C113" t="str">
            <v>4101-C04</v>
          </cell>
          <cell r="D113" t="str">
            <v>Mechanical Completion 4101-C04 41EC001A Electric heater switchboard (incl. transformer 41ET001A)</v>
          </cell>
          <cell r="E113" t="str">
            <v>T.Q20</v>
          </cell>
          <cell r="G113" t="str">
            <v>7-Day Workweek (10 hours)</v>
          </cell>
          <cell r="H113" t="str">
            <v>0d</v>
          </cell>
          <cell r="I113" t="str">
            <v>0d</v>
          </cell>
          <cell r="J113">
            <v>0</v>
          </cell>
          <cell r="K113" t="str">
            <v>As Late As Possible</v>
          </cell>
          <cell r="M113">
            <v>41431</v>
          </cell>
        </row>
        <row r="114">
          <cell r="C114" t="str">
            <v>4101-C05</v>
          </cell>
          <cell r="D114" t="str">
            <v>Mechanical Completion 4101-C05 41EC001B Electric heater switchboard (incl. transformer 41ET001B)</v>
          </cell>
          <cell r="E114" t="str">
            <v>T.Q20</v>
          </cell>
          <cell r="G114" t="str">
            <v>7-Day Workweek (10 hours)</v>
          </cell>
          <cell r="H114" t="str">
            <v>0d</v>
          </cell>
          <cell r="I114" t="str">
            <v>0d</v>
          </cell>
          <cell r="J114">
            <v>0</v>
          </cell>
          <cell r="K114" t="str">
            <v>As Late As Possible</v>
          </cell>
          <cell r="M114">
            <v>41436</v>
          </cell>
        </row>
        <row r="115">
          <cell r="C115" t="str">
            <v>4101-C06</v>
          </cell>
          <cell r="D115" t="str">
            <v>Mechanical Completion 4101-C06 41EC001C Electric heater switchboard (incl. transformer 41ET001C)</v>
          </cell>
          <cell r="E115" t="str">
            <v>T.Q20</v>
          </cell>
          <cell r="G115" t="str">
            <v>7-Day Workweek (10 hours)</v>
          </cell>
          <cell r="H115" t="str">
            <v>0d</v>
          </cell>
          <cell r="I115" t="str">
            <v>0d</v>
          </cell>
          <cell r="J115">
            <v>0</v>
          </cell>
          <cell r="K115" t="str">
            <v>As Late As Possible</v>
          </cell>
          <cell r="M115">
            <v>41440</v>
          </cell>
        </row>
        <row r="116">
          <cell r="C116" t="str">
            <v>4101-C07</v>
          </cell>
          <cell r="D116" t="str">
            <v>Mechanical Completion 4101-C07 41EC001D Electric heater switchboard (incl. transformer 41ET001D)</v>
          </cell>
          <cell r="E116" t="str">
            <v>T.Q20</v>
          </cell>
          <cell r="G116" t="str">
            <v>7-Day Workweek (10 hours)</v>
          </cell>
          <cell r="H116" t="str">
            <v>0d</v>
          </cell>
          <cell r="I116" t="str">
            <v>0d</v>
          </cell>
          <cell r="J116">
            <v>0</v>
          </cell>
          <cell r="K116" t="str">
            <v>As Late As Possible</v>
          </cell>
          <cell r="M116">
            <v>41445</v>
          </cell>
        </row>
        <row r="117">
          <cell r="C117" t="str">
            <v>4101-C08</v>
          </cell>
          <cell r="D117" t="str">
            <v>Mechanical Completion 4101-C08 41EC001E Electric heater switchboard (incl. transformer 41ET001E)</v>
          </cell>
          <cell r="E117" t="str">
            <v>T.Q20</v>
          </cell>
          <cell r="G117" t="str">
            <v>7-Day Workweek (10 hours)</v>
          </cell>
          <cell r="H117" t="str">
            <v>0d</v>
          </cell>
          <cell r="I117" t="str">
            <v>0d</v>
          </cell>
          <cell r="J117">
            <v>0</v>
          </cell>
          <cell r="K117" t="str">
            <v>As Late As Possible</v>
          </cell>
          <cell r="M117">
            <v>41450</v>
          </cell>
        </row>
        <row r="118">
          <cell r="F118">
            <v>0</v>
          </cell>
          <cell r="G118" t="str">
            <v>7-Day Workweek (10 hours)</v>
          </cell>
          <cell r="H118" t="str">
            <v>1d</v>
          </cell>
          <cell r="I118" t="str">
            <v>1d</v>
          </cell>
          <cell r="J118">
            <v>0</v>
          </cell>
          <cell r="L118">
            <v>41516</v>
          </cell>
          <cell r="M118">
            <v>41517</v>
          </cell>
        </row>
        <row r="119">
          <cell r="C119" t="str">
            <v>4201-C02</v>
          </cell>
          <cell r="D119" t="str">
            <v>Mechanical Completion 4201-C02 Chemical distribution system</v>
          </cell>
          <cell r="E119" t="str">
            <v>H.M20</v>
          </cell>
          <cell r="G119" t="str">
            <v>7-Day Workweek (10 hours)</v>
          </cell>
          <cell r="H119" t="str">
            <v>0d</v>
          </cell>
          <cell r="I119" t="str">
            <v>0d</v>
          </cell>
          <cell r="J119">
            <v>0</v>
          </cell>
          <cell r="K119" t="str">
            <v>Finish On</v>
          </cell>
          <cell r="M119" t="str">
            <v>30-Aug-13*</v>
          </cell>
        </row>
        <row r="120">
          <cell r="C120" t="str">
            <v>4201-C04</v>
          </cell>
          <cell r="D120" t="str">
            <v>Mechanical Completion 4201-C04 Scale squeeze mixing system</v>
          </cell>
          <cell r="E120" t="str">
            <v>H.M20</v>
          </cell>
          <cell r="G120" t="str">
            <v>7-Day Workweek (10 hours)</v>
          </cell>
          <cell r="H120" t="str">
            <v>0d</v>
          </cell>
          <cell r="I120" t="str">
            <v>0d</v>
          </cell>
          <cell r="J120">
            <v>0</v>
          </cell>
          <cell r="K120" t="str">
            <v>Finish On</v>
          </cell>
          <cell r="M120" t="str">
            <v>30-Aug-13*</v>
          </cell>
        </row>
        <row r="121">
          <cell r="C121" t="str">
            <v>4201-C01</v>
          </cell>
          <cell r="D121" t="str">
            <v>Mechanical Completion 4201-C01 Chemical injection package 42XR001</v>
          </cell>
          <cell r="E121" t="str">
            <v>T.P50</v>
          </cell>
          <cell r="G121" t="str">
            <v>7-Day Workweek (10 hours)</v>
          </cell>
          <cell r="H121" t="str">
            <v>0d</v>
          </cell>
          <cell r="I121" t="str">
            <v>0d</v>
          </cell>
          <cell r="J121">
            <v>0</v>
          </cell>
          <cell r="K121" t="str">
            <v>As Late As Possible</v>
          </cell>
          <cell r="M121">
            <v>41517</v>
          </cell>
        </row>
        <row r="122">
          <cell r="F122">
            <v>0</v>
          </cell>
          <cell r="H122" t="str">
            <v>222d</v>
          </cell>
          <cell r="I122" t="str">
            <v>222d</v>
          </cell>
          <cell r="J122">
            <v>0</v>
          </cell>
          <cell r="L122">
            <v>41328</v>
          </cell>
          <cell r="M122">
            <v>41546</v>
          </cell>
        </row>
        <row r="123">
          <cell r="C123" t="str">
            <v>4301-C01</v>
          </cell>
          <cell r="D123" t="str">
            <v>Mechanical Completion 4301-C01 HP flare header</v>
          </cell>
          <cell r="E123" t="str">
            <v>T.F10</v>
          </cell>
          <cell r="G123" t="str">
            <v>7-Day Workweek (10 hours)</v>
          </cell>
          <cell r="H123" t="str">
            <v>0d</v>
          </cell>
          <cell r="I123" t="str">
            <v>0d</v>
          </cell>
          <cell r="J123">
            <v>0</v>
          </cell>
          <cell r="K123" t="str">
            <v>As Late As Possible</v>
          </cell>
          <cell r="M123">
            <v>41328</v>
          </cell>
        </row>
        <row r="124">
          <cell r="C124" t="str">
            <v>4301-C03</v>
          </cell>
          <cell r="D124" t="str">
            <v>Mechanical Completion 4301-C03 HP Flare Knockout drum 43VD001 &amp; flare tip 43FC001</v>
          </cell>
          <cell r="E124" t="str">
            <v>T.F10</v>
          </cell>
          <cell r="G124" t="str">
            <v>7-Day Workweek (10 hours)</v>
          </cell>
          <cell r="H124" t="str">
            <v>0d</v>
          </cell>
          <cell r="I124" t="str">
            <v>0d</v>
          </cell>
          <cell r="J124">
            <v>0</v>
          </cell>
          <cell r="K124" t="str">
            <v>As Late As Possible</v>
          </cell>
          <cell r="M124">
            <v>41341</v>
          </cell>
        </row>
        <row r="125">
          <cell r="C125" t="str">
            <v>4301-C02</v>
          </cell>
          <cell r="D125" t="str">
            <v>Mechanical Completion 4301-C02 LP flare header</v>
          </cell>
          <cell r="E125" t="str">
            <v>T.F10</v>
          </cell>
          <cell r="G125" t="str">
            <v>7-Day Workweek (10 hours)</v>
          </cell>
          <cell r="H125" t="str">
            <v>0d</v>
          </cell>
          <cell r="I125" t="str">
            <v>0d</v>
          </cell>
          <cell r="J125">
            <v>0</v>
          </cell>
          <cell r="K125" t="str">
            <v>As Late As Possible</v>
          </cell>
          <cell r="M125">
            <v>41351</v>
          </cell>
        </row>
        <row r="126">
          <cell r="C126" t="str">
            <v>4301-C04</v>
          </cell>
          <cell r="D126" t="str">
            <v>Piping Completed for 4301-C04 HP flare metering, 43JX001</v>
          </cell>
          <cell r="G126" t="str">
            <v>6-Day Workweek (10 hrs)</v>
          </cell>
          <cell r="H126" t="str">
            <v>0d</v>
          </cell>
          <cell r="I126" t="str">
            <v>0d</v>
          </cell>
          <cell r="J126">
            <v>0</v>
          </cell>
          <cell r="K126" t="str">
            <v>As Late As Possible</v>
          </cell>
          <cell r="M126">
            <v>41351</v>
          </cell>
        </row>
        <row r="127">
          <cell r="C127" t="str">
            <v>4301-C05</v>
          </cell>
          <cell r="D127" t="str">
            <v>Mechanical Completion 4301-C05 LP Flare Knockout drum 43VD002 &amp; flare tip 43FC002</v>
          </cell>
          <cell r="E127" t="str">
            <v>T.F10</v>
          </cell>
          <cell r="G127" t="str">
            <v>7-Day Workweek (10 hours)</v>
          </cell>
          <cell r="H127" t="str">
            <v>0d</v>
          </cell>
          <cell r="I127" t="str">
            <v>0d</v>
          </cell>
          <cell r="J127">
            <v>0</v>
          </cell>
          <cell r="K127" t="str">
            <v>As Late As Possible</v>
          </cell>
          <cell r="M127">
            <v>41363</v>
          </cell>
        </row>
        <row r="128">
          <cell r="C128" t="str">
            <v>4301-C08</v>
          </cell>
          <cell r="D128" t="str">
            <v>Mechanical Completion 4301-C08 Atmospheric vent header</v>
          </cell>
          <cell r="E128" t="str">
            <v>T.F10</v>
          </cell>
          <cell r="G128" t="str">
            <v>7-Day Workweek (10 hours)</v>
          </cell>
          <cell r="H128" t="str">
            <v>0d</v>
          </cell>
          <cell r="I128" t="str">
            <v>0d</v>
          </cell>
          <cell r="J128">
            <v>0</v>
          </cell>
          <cell r="K128" t="str">
            <v>As Late As Possible</v>
          </cell>
          <cell r="M128">
            <v>41373</v>
          </cell>
        </row>
        <row r="129">
          <cell r="C129" t="str">
            <v>4301-C06</v>
          </cell>
          <cell r="D129" t="str">
            <v>Piping Completed for 4301-C06 LP flare metering, 43JX002</v>
          </cell>
          <cell r="G129" t="str">
            <v>6-Day Workweek (10 hrs)</v>
          </cell>
          <cell r="H129" t="str">
            <v>0d</v>
          </cell>
          <cell r="I129" t="str">
            <v>0d</v>
          </cell>
          <cell r="J129">
            <v>0</v>
          </cell>
          <cell r="K129" t="str">
            <v>As Late As Possible</v>
          </cell>
          <cell r="M129">
            <v>41373</v>
          </cell>
        </row>
        <row r="130">
          <cell r="C130" t="str">
            <v>4301-C04</v>
          </cell>
          <cell r="D130" t="str">
            <v>Mechanical Completion 4301-C04 HP flare metering, 43JX001</v>
          </cell>
          <cell r="E130" t="str">
            <v>T.F10</v>
          </cell>
          <cell r="G130" t="str">
            <v>7-Day Workweek (10 hours)</v>
          </cell>
          <cell r="H130" t="str">
            <v>0d</v>
          </cell>
          <cell r="I130" t="str">
            <v>0d</v>
          </cell>
          <cell r="J130">
            <v>0</v>
          </cell>
          <cell r="K130" t="str">
            <v>As Late As Possible</v>
          </cell>
          <cell r="M130">
            <v>41395</v>
          </cell>
        </row>
        <row r="131">
          <cell r="C131" t="str">
            <v>4301-C06</v>
          </cell>
          <cell r="D131" t="str">
            <v>Mechanical Completion 4301-C06 LP flare metering, 43JX002</v>
          </cell>
          <cell r="E131" t="str">
            <v>T.F10</v>
          </cell>
          <cell r="G131" t="str">
            <v>7-Day Workweek (10 hours)</v>
          </cell>
          <cell r="H131" t="str">
            <v>0d</v>
          </cell>
          <cell r="I131" t="str">
            <v>0d</v>
          </cell>
          <cell r="J131">
            <v>0</v>
          </cell>
          <cell r="K131" t="str">
            <v>As Late As Possible</v>
          </cell>
          <cell r="M131">
            <v>41401</v>
          </cell>
        </row>
        <row r="132">
          <cell r="C132" t="str">
            <v>4301-C07</v>
          </cell>
          <cell r="D132" t="str">
            <v>Mechanical Completion 4301-C07 Vapour Recovery Package, 43XX002</v>
          </cell>
          <cell r="E132" t="str">
            <v>T.F10</v>
          </cell>
          <cell r="G132" t="str">
            <v>7-Day Workweek (10 hours)</v>
          </cell>
          <cell r="H132" t="str">
            <v>0d</v>
          </cell>
          <cell r="I132" t="str">
            <v>0d</v>
          </cell>
          <cell r="J132">
            <v>0</v>
          </cell>
          <cell r="K132" t="str">
            <v>As Late As Possible</v>
          </cell>
          <cell r="M132">
            <v>41408</v>
          </cell>
        </row>
        <row r="133">
          <cell r="C133" t="str">
            <v>4301-C09</v>
          </cell>
          <cell r="D133" t="str">
            <v>Mechanical Completion 4301-C09 Flare Ignition system 43XX001</v>
          </cell>
          <cell r="E133" t="str">
            <v>T.F10</v>
          </cell>
          <cell r="G133" t="str">
            <v>7-Day Workweek (10 hours)</v>
          </cell>
          <cell r="H133" t="str">
            <v>0d</v>
          </cell>
          <cell r="I133" t="str">
            <v>0d</v>
          </cell>
          <cell r="J133">
            <v>0</v>
          </cell>
          <cell r="K133" t="str">
            <v>As Late As Possible</v>
          </cell>
          <cell r="M133">
            <v>41546</v>
          </cell>
        </row>
        <row r="134">
          <cell r="F134">
            <v>0</v>
          </cell>
          <cell r="G134" t="str">
            <v>7-Day Workweek (10 hours)</v>
          </cell>
          <cell r="H134" t="str">
            <v>132d</v>
          </cell>
          <cell r="I134" t="str">
            <v>132d</v>
          </cell>
          <cell r="J134">
            <v>0</v>
          </cell>
          <cell r="L134">
            <v>41410</v>
          </cell>
          <cell r="M134">
            <v>41516</v>
          </cell>
        </row>
        <row r="135">
          <cell r="C135" t="str">
            <v>4401-C05</v>
          </cell>
          <cell r="D135" t="str">
            <v>Mechanical Completion 4401-C05 Production &amp; Test Hydrocyclones, 44CE001A/B/C</v>
          </cell>
          <cell r="E135" t="str">
            <v>T.P20</v>
          </cell>
          <cell r="G135" t="str">
            <v>7-Day Workweek (10 hours)</v>
          </cell>
          <cell r="H135" t="str">
            <v>0d</v>
          </cell>
          <cell r="I135" t="str">
            <v>0d</v>
          </cell>
          <cell r="J135">
            <v>0</v>
          </cell>
          <cell r="K135" t="str">
            <v>As Late As Possible</v>
          </cell>
          <cell r="M135">
            <v>41410</v>
          </cell>
        </row>
        <row r="136">
          <cell r="C136" t="str">
            <v>4401-C01</v>
          </cell>
          <cell r="D136" t="str">
            <v>Mechanical Completion 4401-C01 From Inlet &amp; Test Separator to Hydrocyclones</v>
          </cell>
          <cell r="E136" t="str">
            <v>T.P20</v>
          </cell>
          <cell r="G136" t="str">
            <v>7-Day Workweek (10 hours)</v>
          </cell>
          <cell r="H136" t="str">
            <v>0d</v>
          </cell>
          <cell r="I136" t="str">
            <v>0d</v>
          </cell>
          <cell r="J136">
            <v>0</v>
          </cell>
          <cell r="K136" t="str">
            <v>Finish On</v>
          </cell>
          <cell r="M136" t="str">
            <v>17-May-13*</v>
          </cell>
        </row>
        <row r="137">
          <cell r="C137" t="str">
            <v>4401-C02</v>
          </cell>
          <cell r="D137" t="str">
            <v>Mechanical Completion 4401-C02 Jet Water To/From Sand Cleaning Unit, 44XX003</v>
          </cell>
          <cell r="E137" t="str">
            <v>T.P20</v>
          </cell>
          <cell r="G137" t="str">
            <v>7-Day Workweek (10 hours)</v>
          </cell>
          <cell r="H137" t="str">
            <v>0d</v>
          </cell>
          <cell r="I137" t="str">
            <v>0d</v>
          </cell>
          <cell r="J137">
            <v>0</v>
          </cell>
          <cell r="K137" t="str">
            <v>As Late As Possible</v>
          </cell>
          <cell r="M137">
            <v>41498</v>
          </cell>
        </row>
        <row r="138">
          <cell r="C138" t="str">
            <v>4401-C04</v>
          </cell>
          <cell r="D138" t="str">
            <v>Mechanical Completion 4401-C04 Sand Cleaning Unit, 44XX003</v>
          </cell>
          <cell r="E138" t="str">
            <v>T.P20</v>
          </cell>
          <cell r="G138" t="str">
            <v>7-Day Workweek (10 hours)</v>
          </cell>
          <cell r="H138" t="str">
            <v>0d</v>
          </cell>
          <cell r="I138" t="str">
            <v>0d</v>
          </cell>
          <cell r="J138">
            <v>0</v>
          </cell>
          <cell r="K138" t="str">
            <v>As Late As Possible</v>
          </cell>
          <cell r="M138">
            <v>41498</v>
          </cell>
        </row>
        <row r="139">
          <cell r="C139" t="str">
            <v>4401-C10</v>
          </cell>
          <cell r="D139" t="str">
            <v>Mechanical Completion 4401-C10 Sand Cleaning Flush Water Pump, 44PA008 to Sand Cleaning Unit, 44PA008</v>
          </cell>
          <cell r="E139" t="str">
            <v>T.P30</v>
          </cell>
          <cell r="G139" t="str">
            <v>7-Day Workweek (10 hours)</v>
          </cell>
          <cell r="H139" t="str">
            <v>0d</v>
          </cell>
          <cell r="I139" t="str">
            <v>0d</v>
          </cell>
          <cell r="J139">
            <v>0</v>
          </cell>
          <cell r="K139" t="str">
            <v>As Late As Possible</v>
          </cell>
          <cell r="M139">
            <v>41498</v>
          </cell>
        </row>
        <row r="140">
          <cell r="C140" t="str">
            <v>4401-C03</v>
          </cell>
          <cell r="D140" t="str">
            <v>Mechanical Completion 4401-C03 Produced Water Recycle Pumps, 44PG004A/B from Electrostatic Coalescer</v>
          </cell>
          <cell r="E140" t="str">
            <v>T.P20</v>
          </cell>
          <cell r="G140" t="str">
            <v>7-Day Workweek (10 hours)</v>
          </cell>
          <cell r="H140" t="str">
            <v>0d</v>
          </cell>
          <cell r="I140" t="str">
            <v>0d</v>
          </cell>
          <cell r="J140">
            <v>0</v>
          </cell>
          <cell r="K140" t="str">
            <v>As Late As Possible</v>
          </cell>
          <cell r="M140">
            <v>41502</v>
          </cell>
        </row>
        <row r="141">
          <cell r="C141" t="str">
            <v>4401-C12</v>
          </cell>
          <cell r="D141" t="str">
            <v>Mechanical Completion 4401-C12 Produced Water Booster Pumps, 44PG002A/B</v>
          </cell>
          <cell r="E141" t="str">
            <v>T.P20</v>
          </cell>
          <cell r="G141" t="str">
            <v>7-Day Workweek (10 hours)</v>
          </cell>
          <cell r="H141" t="str">
            <v>0d</v>
          </cell>
          <cell r="I141" t="str">
            <v>0d</v>
          </cell>
          <cell r="J141">
            <v>0</v>
          </cell>
          <cell r="K141" t="str">
            <v>As Late As Possible</v>
          </cell>
          <cell r="M141">
            <v>41508</v>
          </cell>
        </row>
        <row r="142">
          <cell r="C142" t="str">
            <v>4401-C09</v>
          </cell>
          <cell r="D142" t="str">
            <v>Mechanical Completion 4401-C09 Wash Water Interchanger, 44HB001</v>
          </cell>
          <cell r="E142" t="str">
            <v>T.P20</v>
          </cell>
          <cell r="G142" t="str">
            <v>7-Day Workweek (10 hours)</v>
          </cell>
          <cell r="H142" t="str">
            <v>0d</v>
          </cell>
          <cell r="I142" t="str">
            <v>0d</v>
          </cell>
          <cell r="J142">
            <v>0</v>
          </cell>
          <cell r="K142" t="str">
            <v>As Late As Possible</v>
          </cell>
          <cell r="M142">
            <v>41513</v>
          </cell>
        </row>
        <row r="143">
          <cell r="C143" t="str">
            <v>4401-C11</v>
          </cell>
          <cell r="D143" t="str">
            <v>Mechanical Completion 4401-C11 Produced Water Skimming Pumps, 44PA007A/B</v>
          </cell>
          <cell r="E143" t="str">
            <v>T.P30</v>
          </cell>
          <cell r="G143" t="str">
            <v>7-Day Workweek (10 hours)</v>
          </cell>
          <cell r="H143" t="str">
            <v>0d</v>
          </cell>
          <cell r="I143" t="str">
            <v>0d</v>
          </cell>
          <cell r="J143">
            <v>0</v>
          </cell>
          <cell r="K143" t="str">
            <v>As Late As Possible</v>
          </cell>
          <cell r="M143">
            <v>41516</v>
          </cell>
        </row>
        <row r="144">
          <cell r="C144" t="str">
            <v>4401-C08</v>
          </cell>
          <cell r="D144" t="str">
            <v>Mechanical Completion 4401-C08 Produced water Degassing Drum, 44VD003</v>
          </cell>
          <cell r="E144" t="str">
            <v>T.P20</v>
          </cell>
          <cell r="G144" t="str">
            <v>7-Day Workweek (10 hours)</v>
          </cell>
          <cell r="H144" t="str">
            <v>0d</v>
          </cell>
          <cell r="I144" t="str">
            <v>0d</v>
          </cell>
          <cell r="J144">
            <v>0</v>
          </cell>
          <cell r="K144" t="str">
            <v>Finish On</v>
          </cell>
          <cell r="M144" t="str">
            <v>30-Aug-13*</v>
          </cell>
        </row>
        <row r="145">
          <cell r="C145" t="str">
            <v>4401-C06</v>
          </cell>
          <cell r="D145" t="str">
            <v>Mechanical Completion 4401-C06 LP &amp; Coalescer Hydrocyclones, 44CE002A/B</v>
          </cell>
          <cell r="E145" t="str">
            <v>T.P20</v>
          </cell>
          <cell r="G145" t="str">
            <v>7-Day Workweek (10 hours)</v>
          </cell>
          <cell r="H145" t="str">
            <v>0d</v>
          </cell>
          <cell r="I145" t="str">
            <v>0d</v>
          </cell>
          <cell r="J145">
            <v>0</v>
          </cell>
          <cell r="K145" t="str">
            <v>Finish On</v>
          </cell>
          <cell r="M145" t="str">
            <v>30-Aug-13*</v>
          </cell>
        </row>
        <row r="146">
          <cell r="C146" t="str">
            <v>4401-C07</v>
          </cell>
          <cell r="D146" t="str">
            <v>Mechanical Completion 4401-C07 Produced Water Flotation Unit, 44VD001/44VD002</v>
          </cell>
          <cell r="E146" t="str">
            <v>T.P20</v>
          </cell>
          <cell r="G146" t="str">
            <v>7-Day Workweek (10 hours)</v>
          </cell>
          <cell r="H146" t="str">
            <v>0d</v>
          </cell>
          <cell r="I146" t="str">
            <v>0d</v>
          </cell>
          <cell r="J146">
            <v>0</v>
          </cell>
          <cell r="K146" t="str">
            <v>Finish On</v>
          </cell>
          <cell r="M146" t="str">
            <v>30-Aug-13*</v>
          </cell>
        </row>
        <row r="147">
          <cell r="F147">
            <v>0</v>
          </cell>
          <cell r="G147" t="str">
            <v>7-Day Workweek (10 hours)</v>
          </cell>
          <cell r="H147" t="str">
            <v>0d</v>
          </cell>
          <cell r="I147" t="str">
            <v>0d</v>
          </cell>
          <cell r="J147">
            <v>0</v>
          </cell>
          <cell r="L147">
            <v>41467</v>
          </cell>
          <cell r="M147">
            <v>41467</v>
          </cell>
        </row>
        <row r="148">
          <cell r="C148" t="str">
            <v>4501-C01</v>
          </cell>
          <cell r="D148" t="str">
            <v>Mechanical Completion 4501-C01 Fuel gas Cooler 45HJ001, Heaters 45FE001A/B &amp; Scrubber 45VG001</v>
          </cell>
          <cell r="E148" t="str">
            <v>T.P30</v>
          </cell>
          <cell r="G148" t="str">
            <v>7-Day Workweek (10 hours)</v>
          </cell>
          <cell r="H148" t="str">
            <v>0d</v>
          </cell>
          <cell r="I148" t="str">
            <v>0d</v>
          </cell>
          <cell r="J148">
            <v>0</v>
          </cell>
          <cell r="K148" t="str">
            <v>Finish On</v>
          </cell>
          <cell r="M148" t="str">
            <v>12-Jul-13*</v>
          </cell>
        </row>
        <row r="149">
          <cell r="C149" t="str">
            <v>4501-C02</v>
          </cell>
          <cell r="D149" t="str">
            <v>Mechanical Completion 4501-C02 Fuel gas Metering 45JX001 &amp; Calorimeter 45JX002</v>
          </cell>
          <cell r="E149" t="str">
            <v>T.P30</v>
          </cell>
          <cell r="G149" t="str">
            <v>7-Day Workweek (10 hours)</v>
          </cell>
          <cell r="H149" t="str">
            <v>0d</v>
          </cell>
          <cell r="I149" t="str">
            <v>0d</v>
          </cell>
          <cell r="J149">
            <v>0</v>
          </cell>
          <cell r="K149" t="str">
            <v>As Late As Possible</v>
          </cell>
          <cell r="M149">
            <v>41467</v>
          </cell>
        </row>
        <row r="150">
          <cell r="F150">
            <v>0</v>
          </cell>
          <cell r="G150" t="str">
            <v>7-Day Workweek (10 hours)</v>
          </cell>
          <cell r="H150" t="str">
            <v>30d</v>
          </cell>
          <cell r="I150" t="str">
            <v>30d</v>
          </cell>
          <cell r="J150">
            <v>0</v>
          </cell>
          <cell r="L150">
            <v>41415</v>
          </cell>
          <cell r="M150">
            <v>41438</v>
          </cell>
        </row>
        <row r="151">
          <cell r="C151" t="str">
            <v>4601-C01</v>
          </cell>
          <cell r="D151" t="str">
            <v>Mechanical Completion 4601-C01 Meg storage tank 46TA001</v>
          </cell>
          <cell r="E151" t="str">
            <v>H.M20</v>
          </cell>
          <cell r="G151" t="str">
            <v>7-Day Workweek (10 hours)</v>
          </cell>
          <cell r="H151" t="str">
            <v>0d</v>
          </cell>
          <cell r="I151" t="str">
            <v>0d</v>
          </cell>
          <cell r="J151">
            <v>0</v>
          </cell>
          <cell r="K151" t="str">
            <v>As Late As Possible</v>
          </cell>
          <cell r="M151">
            <v>41415</v>
          </cell>
        </row>
        <row r="152">
          <cell r="C152" t="str">
            <v>4601-C04</v>
          </cell>
          <cell r="D152" t="str">
            <v>Mechanical Completion 4601-C04 Meg subsea injection pumps 46PF001A/B and return to tank 46TA001</v>
          </cell>
          <cell r="E152" t="str">
            <v>H.M20</v>
          </cell>
          <cell r="G152" t="str">
            <v>7-Day Workweek (10 hours)</v>
          </cell>
          <cell r="H152" t="str">
            <v>0d</v>
          </cell>
          <cell r="I152" t="str">
            <v>0d</v>
          </cell>
          <cell r="J152">
            <v>0</v>
          </cell>
          <cell r="K152" t="str">
            <v>As Late As Possible</v>
          </cell>
          <cell r="M152">
            <v>41419</v>
          </cell>
        </row>
        <row r="153">
          <cell r="C153" t="str">
            <v>4601-C02</v>
          </cell>
          <cell r="D153" t="str">
            <v>Mechanical Completion 4601-C02 Meg topside hp injection pumps 46PF002A/B</v>
          </cell>
          <cell r="E153" t="str">
            <v>H.M20</v>
          </cell>
          <cell r="G153" t="str">
            <v>7-Day Workweek (10 hours)</v>
          </cell>
          <cell r="H153" t="str">
            <v>0d</v>
          </cell>
          <cell r="I153" t="str">
            <v>0d</v>
          </cell>
          <cell r="J153">
            <v>0</v>
          </cell>
          <cell r="K153" t="str">
            <v>As Late As Possible</v>
          </cell>
          <cell r="M153">
            <v>41425</v>
          </cell>
        </row>
        <row r="154">
          <cell r="C154" t="str">
            <v>4601-C03</v>
          </cell>
          <cell r="D154" t="str">
            <v>Mechanical Completion 4601-C03 Meg gas injection pumps 46PF003A/B</v>
          </cell>
          <cell r="E154" t="str">
            <v>H.M20</v>
          </cell>
          <cell r="G154" t="str">
            <v>7-Day Workweek (10 hours)</v>
          </cell>
          <cell r="H154" t="str">
            <v>0d</v>
          </cell>
          <cell r="I154" t="str">
            <v>0d</v>
          </cell>
          <cell r="J154">
            <v>0</v>
          </cell>
          <cell r="K154" t="str">
            <v>As Late As Possible</v>
          </cell>
          <cell r="M154">
            <v>41432</v>
          </cell>
        </row>
        <row r="155">
          <cell r="C155" t="str">
            <v>4601-C05</v>
          </cell>
          <cell r="D155" t="str">
            <v>Mechanical Completion 4601-C05 Meg gas injection pumps 46PF004A/B</v>
          </cell>
          <cell r="E155" t="str">
            <v>H.M20</v>
          </cell>
          <cell r="G155" t="str">
            <v>7-Day Workweek (10 hours)</v>
          </cell>
          <cell r="H155" t="str">
            <v>0d</v>
          </cell>
          <cell r="I155" t="str">
            <v>0d</v>
          </cell>
          <cell r="J155">
            <v>0</v>
          </cell>
          <cell r="K155" t="str">
            <v>As Late As Possible</v>
          </cell>
          <cell r="M155">
            <v>41438</v>
          </cell>
        </row>
        <row r="156">
          <cell r="F156">
            <v>0</v>
          </cell>
          <cell r="G156" t="str">
            <v>7-Day Workweek (10 hours)</v>
          </cell>
          <cell r="H156" t="str">
            <v>0d</v>
          </cell>
          <cell r="I156" t="str">
            <v>0d</v>
          </cell>
          <cell r="J156">
            <v>0</v>
          </cell>
          <cell r="L156">
            <v>41516</v>
          </cell>
          <cell r="M156">
            <v>41516</v>
          </cell>
        </row>
        <row r="157">
          <cell r="C157" t="str">
            <v>4701-C01</v>
          </cell>
          <cell r="D157" t="str">
            <v>Mechanical Completion 4701-C01 Chlorination Package 47XX002</v>
          </cell>
          <cell r="E157" t="str">
            <v>H.G20</v>
          </cell>
          <cell r="G157" t="str">
            <v>7-Day Workweek (10 hours)</v>
          </cell>
          <cell r="H157" t="str">
            <v>0d</v>
          </cell>
          <cell r="I157" t="str">
            <v>0d</v>
          </cell>
          <cell r="J157">
            <v>0</v>
          </cell>
          <cell r="K157" t="str">
            <v>Finish On</v>
          </cell>
          <cell r="M157" t="str">
            <v>30-Aug-13*</v>
          </cell>
        </row>
        <row r="158">
          <cell r="C158" t="str">
            <v>4701-C02</v>
          </cell>
          <cell r="D158" t="str">
            <v>Mechanical Completion 4701-C02 Chlorination distribution</v>
          </cell>
          <cell r="E158" t="str">
            <v>H.G20</v>
          </cell>
          <cell r="G158" t="str">
            <v>7-Day Workweek (10 hours)</v>
          </cell>
          <cell r="H158" t="str">
            <v>0d</v>
          </cell>
          <cell r="I158" t="str">
            <v>0d</v>
          </cell>
          <cell r="J158">
            <v>0</v>
          </cell>
          <cell r="K158" t="str">
            <v>Finish On</v>
          </cell>
          <cell r="M158" t="str">
            <v>30-Aug-13*</v>
          </cell>
        </row>
        <row r="159">
          <cell r="F159">
            <v>0</v>
          </cell>
          <cell r="G159" t="str">
            <v>7-Day Workweek (10 hours)</v>
          </cell>
          <cell r="H159" t="str">
            <v>68d</v>
          </cell>
          <cell r="I159" t="str">
            <v>68d</v>
          </cell>
          <cell r="J159">
            <v>0</v>
          </cell>
          <cell r="L159">
            <v>41316</v>
          </cell>
          <cell r="M159">
            <v>41370</v>
          </cell>
        </row>
        <row r="160">
          <cell r="C160" t="str">
            <v>5001-C07</v>
          </cell>
          <cell r="D160" t="str">
            <v>Mechanical Completion 5001-C07 Sea Water Lift Filters (50CA002A/B/C), &amp; Sea Water Headers</v>
          </cell>
          <cell r="E160" t="str">
            <v>H.G20</v>
          </cell>
          <cell r="G160" t="str">
            <v>7-Day Workweek (10 hours)</v>
          </cell>
          <cell r="H160" t="str">
            <v>0d</v>
          </cell>
          <cell r="I160" t="str">
            <v>0d</v>
          </cell>
          <cell r="J160">
            <v>0</v>
          </cell>
          <cell r="K160" t="str">
            <v>Finish On</v>
          </cell>
          <cell r="M160" t="str">
            <v>11-Feb-13*</v>
          </cell>
        </row>
        <row r="161">
          <cell r="C161" t="str">
            <v>5001-C02</v>
          </cell>
          <cell r="D161" t="str">
            <v>Mechanical Completion 5001-C02 Emergency Seawater Cooling Pumps, 50PA005</v>
          </cell>
          <cell r="E161" t="str">
            <v>H.N10</v>
          </cell>
          <cell r="G161" t="str">
            <v>7-Day Workweek (10 hours)</v>
          </cell>
          <cell r="H161" t="str">
            <v>0d</v>
          </cell>
          <cell r="I161" t="str">
            <v>0d</v>
          </cell>
          <cell r="J161">
            <v>0</v>
          </cell>
          <cell r="K161" t="str">
            <v>As Late As Possible</v>
          </cell>
          <cell r="M161">
            <v>41331</v>
          </cell>
        </row>
        <row r="162">
          <cell r="C162" t="str">
            <v>5001-C06</v>
          </cell>
          <cell r="D162" t="str">
            <v>Mechanical Completion 5001-C06 Sea Water Cooling Filters (50CA001A/B), &amp; Sea Water Cooling Headers</v>
          </cell>
          <cell r="E162" t="str">
            <v>H.N10</v>
          </cell>
          <cell r="G162" t="str">
            <v>7-Day Workweek (10 hours)</v>
          </cell>
          <cell r="H162" t="str">
            <v>0d</v>
          </cell>
          <cell r="I162" t="str">
            <v>0d</v>
          </cell>
          <cell r="J162">
            <v>0</v>
          </cell>
          <cell r="K162" t="str">
            <v>As Late As Possible</v>
          </cell>
          <cell r="M162">
            <v>41331</v>
          </cell>
        </row>
        <row r="163">
          <cell r="C163" t="str">
            <v>5001-C04</v>
          </cell>
          <cell r="D163" t="str">
            <v>Mechanical Completion 5001-C04 Emergency Seawater Cooling Pumps, 50PA006</v>
          </cell>
          <cell r="E163" t="str">
            <v>H.G20</v>
          </cell>
          <cell r="G163" t="str">
            <v>7-Day Workweek (10 hours)</v>
          </cell>
          <cell r="H163" t="str">
            <v>0d</v>
          </cell>
          <cell r="I163" t="str">
            <v>0d</v>
          </cell>
          <cell r="J163">
            <v>0</v>
          </cell>
          <cell r="K163" t="str">
            <v>As Late As Possible</v>
          </cell>
          <cell r="M163">
            <v>41335</v>
          </cell>
        </row>
        <row r="164">
          <cell r="C164" t="str">
            <v>5001-C09</v>
          </cell>
          <cell r="D164" t="str">
            <v>Mechanical Completion 5001-C09 Overboard Caissons</v>
          </cell>
          <cell r="E164" t="str">
            <v>H.G10</v>
          </cell>
          <cell r="G164" t="str">
            <v>7-Day Workweek (10 hours)</v>
          </cell>
          <cell r="H164" t="str">
            <v>0d</v>
          </cell>
          <cell r="I164" t="str">
            <v>0d</v>
          </cell>
          <cell r="J164">
            <v>0</v>
          </cell>
          <cell r="K164" t="str">
            <v>As Late As Possible</v>
          </cell>
          <cell r="M164">
            <v>41340</v>
          </cell>
        </row>
        <row r="165">
          <cell r="C165" t="str">
            <v>5001-C03</v>
          </cell>
          <cell r="D165" t="str">
            <v>Mechanical Completion 5001-C03 Suction &amp; Discharge of Seawater Lift Pumps 50PA004A/B/C</v>
          </cell>
          <cell r="E165" t="str">
            <v>H.G20</v>
          </cell>
          <cell r="G165" t="str">
            <v>7-Day Workweek (10 hours)</v>
          </cell>
          <cell r="H165" t="str">
            <v>0d</v>
          </cell>
          <cell r="I165" t="str">
            <v>0d</v>
          </cell>
          <cell r="J165">
            <v>0</v>
          </cell>
          <cell r="K165" t="str">
            <v>As Late As Possible</v>
          </cell>
          <cell r="M165">
            <v>41345</v>
          </cell>
        </row>
        <row r="166">
          <cell r="C166" t="str">
            <v>5001-C12</v>
          </cell>
          <cell r="D166" t="str">
            <v>Mechanical Completion 5001-C12 Seawater Lift Pumps 50PA004A</v>
          </cell>
          <cell r="E166" t="str">
            <v>H.G20</v>
          </cell>
          <cell r="G166" t="str">
            <v>7-Day Workweek (10 hours)</v>
          </cell>
          <cell r="H166" t="str">
            <v>0d</v>
          </cell>
          <cell r="I166" t="str">
            <v>0d</v>
          </cell>
          <cell r="J166">
            <v>0</v>
          </cell>
          <cell r="K166" t="str">
            <v>As Late As Possible</v>
          </cell>
          <cell r="M166">
            <v>41345</v>
          </cell>
        </row>
        <row r="167">
          <cell r="C167" t="str">
            <v>5001-C13</v>
          </cell>
          <cell r="D167" t="str">
            <v>Mechanical Completion 5001-C13 Seawater Lift Pumps 50PA004B</v>
          </cell>
          <cell r="E167" t="str">
            <v>H.G20</v>
          </cell>
          <cell r="G167" t="str">
            <v>7-Day Workweek (10 hours)</v>
          </cell>
          <cell r="H167" t="str">
            <v>0d</v>
          </cell>
          <cell r="I167" t="str">
            <v>0d</v>
          </cell>
          <cell r="J167">
            <v>0</v>
          </cell>
          <cell r="K167" t="str">
            <v>As Late As Possible</v>
          </cell>
          <cell r="M167">
            <v>41349</v>
          </cell>
        </row>
        <row r="168">
          <cell r="C168" t="str">
            <v>5001-C14</v>
          </cell>
          <cell r="D168" t="str">
            <v>Mechanical Completion 5001-C14 Seawater Lift Pumps 50PA004C</v>
          </cell>
          <cell r="E168" t="str">
            <v>H.G20</v>
          </cell>
          <cell r="G168" t="str">
            <v>7-Day Workweek (10 hours)</v>
          </cell>
          <cell r="H168" t="str">
            <v>0d</v>
          </cell>
          <cell r="I168" t="str">
            <v>0d</v>
          </cell>
          <cell r="J168">
            <v>0</v>
          </cell>
          <cell r="K168" t="str">
            <v>As Late As Possible</v>
          </cell>
          <cell r="M168">
            <v>41354</v>
          </cell>
        </row>
        <row r="169">
          <cell r="C169" t="str">
            <v>5001-C01</v>
          </cell>
          <cell r="D169" t="str">
            <v>Mechanical Completion 5001-C01 Suction &amp; Discharge of Seawater Cooling Pumps 50PA001A/B</v>
          </cell>
          <cell r="E169" t="str">
            <v>H.N10</v>
          </cell>
          <cell r="G169" t="str">
            <v>7-Day Workweek (10 hours)</v>
          </cell>
          <cell r="H169" t="str">
            <v>0d</v>
          </cell>
          <cell r="I169" t="str">
            <v>0d</v>
          </cell>
          <cell r="J169">
            <v>0</v>
          </cell>
          <cell r="K169" t="str">
            <v>As Late As Possible</v>
          </cell>
          <cell r="M169">
            <v>41359</v>
          </cell>
        </row>
        <row r="170">
          <cell r="C170" t="str">
            <v>5001-C10</v>
          </cell>
          <cell r="D170" t="str">
            <v>Mechanical Completion 5001-C10 Seawater Cooling Pump 50PA001A</v>
          </cell>
          <cell r="E170" t="str">
            <v>H.N10</v>
          </cell>
          <cell r="G170" t="str">
            <v>7-Day Workweek (10 hours)</v>
          </cell>
          <cell r="H170" t="str">
            <v>0d</v>
          </cell>
          <cell r="I170" t="str">
            <v>0d</v>
          </cell>
          <cell r="J170">
            <v>0</v>
          </cell>
          <cell r="K170" t="str">
            <v>As Late As Possible</v>
          </cell>
          <cell r="M170">
            <v>41359</v>
          </cell>
        </row>
        <row r="171">
          <cell r="C171" t="str">
            <v>5001-C11</v>
          </cell>
          <cell r="D171" t="str">
            <v>Mechanical Completion 5001-C11 Seawater Cooling Pump 50PA001B</v>
          </cell>
          <cell r="E171" t="str">
            <v>H.N10</v>
          </cell>
          <cell r="G171" t="str">
            <v>7-Day Workweek (10 hours)</v>
          </cell>
          <cell r="H171" t="str">
            <v>0d</v>
          </cell>
          <cell r="I171" t="str">
            <v>0d</v>
          </cell>
          <cell r="J171">
            <v>0</v>
          </cell>
          <cell r="K171" t="str">
            <v>As Late As Possible</v>
          </cell>
          <cell r="M171">
            <v>41363</v>
          </cell>
        </row>
        <row r="172">
          <cell r="C172" t="str">
            <v>5001-C08</v>
          </cell>
          <cell r="D172" t="str">
            <v>Mechanical Completion 5001-C08 Sea Water Deck Seal Header</v>
          </cell>
          <cell r="E172" t="str">
            <v>H.M10</v>
          </cell>
          <cell r="G172" t="str">
            <v>7-Day Workweek (10 hours)</v>
          </cell>
          <cell r="H172" t="str">
            <v>0d</v>
          </cell>
          <cell r="I172" t="str">
            <v>0d</v>
          </cell>
          <cell r="J172">
            <v>0</v>
          </cell>
          <cell r="K172" t="str">
            <v>As Late As Possible</v>
          </cell>
          <cell r="M172">
            <v>41368</v>
          </cell>
        </row>
        <row r="173">
          <cell r="C173" t="str">
            <v>5001-C05</v>
          </cell>
          <cell r="D173" t="str">
            <v>Mechanical Completion 5001-C05 Seawater Deck seal Pumps, 50PA003A/B</v>
          </cell>
          <cell r="E173" t="str">
            <v>H.G20</v>
          </cell>
          <cell r="G173" t="str">
            <v>7-Day Workweek (10 hours)</v>
          </cell>
          <cell r="H173" t="str">
            <v>0d</v>
          </cell>
          <cell r="I173" t="str">
            <v>0d</v>
          </cell>
          <cell r="J173">
            <v>0</v>
          </cell>
          <cell r="K173" t="str">
            <v>As Late As Possible</v>
          </cell>
          <cell r="M173">
            <v>41370</v>
          </cell>
        </row>
        <row r="174">
          <cell r="F174">
            <v>0</v>
          </cell>
          <cell r="G174" t="str">
            <v>7-Day Workweek (10 hours)</v>
          </cell>
          <cell r="H174" t="str">
            <v>102d</v>
          </cell>
          <cell r="I174" t="str">
            <v>102d</v>
          </cell>
          <cell r="J174">
            <v>0</v>
          </cell>
          <cell r="L174">
            <v>41403</v>
          </cell>
          <cell r="M174">
            <v>41485</v>
          </cell>
        </row>
        <row r="175">
          <cell r="C175" t="str">
            <v>5201-C01</v>
          </cell>
          <cell r="D175" t="str">
            <v>Mechanical Completion 5201-C01 Ballast Water Emergency Pumps, 52PA001</v>
          </cell>
          <cell r="E175" t="str">
            <v>H.G20</v>
          </cell>
          <cell r="G175" t="str">
            <v>7-Day Workweek (10 hours)</v>
          </cell>
          <cell r="H175" t="str">
            <v>0d</v>
          </cell>
          <cell r="I175" t="str">
            <v>0d</v>
          </cell>
          <cell r="J175">
            <v>0</v>
          </cell>
          <cell r="K175" t="str">
            <v>As Late As Possible</v>
          </cell>
          <cell r="M175">
            <v>41403</v>
          </cell>
        </row>
        <row r="176">
          <cell r="C176" t="str">
            <v>5201-C04</v>
          </cell>
          <cell r="D176" t="str">
            <v>Mechanical Completion 5201-C04 Ballast Ring Line, To From Ballast Tanks</v>
          </cell>
          <cell r="E176" t="str">
            <v>H.G10</v>
          </cell>
          <cell r="G176" t="str">
            <v>7-Day Workweek (10 hours)</v>
          </cell>
          <cell r="H176" t="str">
            <v>0d</v>
          </cell>
          <cell r="I176" t="str">
            <v>0d</v>
          </cell>
          <cell r="J176">
            <v>0</v>
          </cell>
          <cell r="K176" t="str">
            <v>Finish On</v>
          </cell>
          <cell r="M176" t="str">
            <v>10-May-13*</v>
          </cell>
        </row>
        <row r="177">
          <cell r="C177" t="str">
            <v>5201-C02</v>
          </cell>
          <cell r="D177" t="str">
            <v>Mechanical Completion 5201-C02 Ballast Water Duty Pump, 52PA002</v>
          </cell>
          <cell r="E177" t="str">
            <v>H.G20</v>
          </cell>
          <cell r="G177" t="str">
            <v>7-Day Workweek (10 hours)</v>
          </cell>
          <cell r="H177" t="str">
            <v>0d</v>
          </cell>
          <cell r="I177" t="str">
            <v>0d</v>
          </cell>
          <cell r="J177">
            <v>0</v>
          </cell>
          <cell r="K177" t="str">
            <v>As Late As Possible</v>
          </cell>
          <cell r="M177">
            <v>41417</v>
          </cell>
        </row>
        <row r="178">
          <cell r="C178" t="str">
            <v>5201-C03</v>
          </cell>
          <cell r="D178" t="str">
            <v>Mechanical Completion 5201-C03 Ballast To Slop/ &amp; To Overboard Caisson (East)</v>
          </cell>
          <cell r="E178" t="str">
            <v>H.B20</v>
          </cell>
          <cell r="G178" t="str">
            <v>7-Day Workweek (10 hours)</v>
          </cell>
          <cell r="H178" t="str">
            <v>0d</v>
          </cell>
          <cell r="I178" t="str">
            <v>0d</v>
          </cell>
          <cell r="J178">
            <v>0</v>
          </cell>
          <cell r="K178" t="str">
            <v>As Late As Possible</v>
          </cell>
          <cell r="M178">
            <v>41430</v>
          </cell>
        </row>
        <row r="179">
          <cell r="C179" t="str">
            <v>5201-C05</v>
          </cell>
          <cell r="D179" t="str">
            <v>Mechanical Completion 5201-C05 BallastTank No 1, West, 52TC001</v>
          </cell>
          <cell r="E179" t="str">
            <v>H.B10</v>
          </cell>
          <cell r="G179" t="str">
            <v>7-Day Workweek (10 hours)</v>
          </cell>
          <cell r="H179" t="str">
            <v>0d</v>
          </cell>
          <cell r="I179" t="str">
            <v>0d</v>
          </cell>
          <cell r="J179">
            <v>0</v>
          </cell>
          <cell r="K179" t="str">
            <v>As Late As Possible</v>
          </cell>
          <cell r="M179">
            <v>41431</v>
          </cell>
        </row>
        <row r="180">
          <cell r="C180" t="str">
            <v>5201-C06</v>
          </cell>
          <cell r="D180" t="str">
            <v>Mechanical Completion 5201-C06 BallastTank No 2, West, 52TC002</v>
          </cell>
          <cell r="E180" t="str">
            <v>H.B10</v>
          </cell>
          <cell r="G180" t="str">
            <v>7-Day Workweek (10 hours)</v>
          </cell>
          <cell r="H180" t="str">
            <v>0d</v>
          </cell>
          <cell r="I180" t="str">
            <v>0d</v>
          </cell>
          <cell r="J180">
            <v>0</v>
          </cell>
          <cell r="K180" t="str">
            <v>As Late As Possible</v>
          </cell>
          <cell r="M180">
            <v>41435</v>
          </cell>
        </row>
        <row r="181">
          <cell r="C181" t="str">
            <v>5201-C07</v>
          </cell>
          <cell r="D181" t="str">
            <v>Mechanical Completion 5201-C07 BallastTank No 3, West, 52TC003</v>
          </cell>
          <cell r="E181" t="str">
            <v>H.B10</v>
          </cell>
          <cell r="G181" t="str">
            <v>7-Day Workweek (10 hours)</v>
          </cell>
          <cell r="H181" t="str">
            <v>0d</v>
          </cell>
          <cell r="I181" t="str">
            <v>0d</v>
          </cell>
          <cell r="J181">
            <v>0</v>
          </cell>
          <cell r="K181" t="str">
            <v>As Late As Possible</v>
          </cell>
          <cell r="M181">
            <v>41437</v>
          </cell>
        </row>
        <row r="182">
          <cell r="C182" t="str">
            <v>5201-C08</v>
          </cell>
          <cell r="D182" t="str">
            <v>Mechanical Completion 5201-C08 BallastTank No 4, West, 52TC004</v>
          </cell>
          <cell r="E182" t="str">
            <v>H.B10</v>
          </cell>
          <cell r="G182" t="str">
            <v>7-Day Workweek (10 hours)</v>
          </cell>
          <cell r="H182" t="str">
            <v>0d</v>
          </cell>
          <cell r="I182" t="str">
            <v>0d</v>
          </cell>
          <cell r="J182">
            <v>0</v>
          </cell>
          <cell r="K182" t="str">
            <v>As Late As Possible</v>
          </cell>
          <cell r="M182">
            <v>41440</v>
          </cell>
        </row>
        <row r="183">
          <cell r="C183" t="str">
            <v>5201-C09</v>
          </cell>
          <cell r="D183" t="str">
            <v>Mechanical Completion 5201-C09 BallastTank No 5, West, 52TC005</v>
          </cell>
          <cell r="E183" t="str">
            <v>H.B10</v>
          </cell>
          <cell r="G183" t="str">
            <v>7-Day Workweek (10 hours)</v>
          </cell>
          <cell r="H183" t="str">
            <v>0d</v>
          </cell>
          <cell r="I183" t="str">
            <v>0d</v>
          </cell>
          <cell r="J183">
            <v>0</v>
          </cell>
          <cell r="K183" t="str">
            <v>As Late As Possible</v>
          </cell>
          <cell r="M183">
            <v>41443</v>
          </cell>
        </row>
        <row r="184">
          <cell r="C184" t="str">
            <v>5201-C10</v>
          </cell>
          <cell r="D184" t="str">
            <v>Mechanical Completion 5201-C10 BallastTank No 6, West, 52TC006</v>
          </cell>
          <cell r="E184" t="str">
            <v>H.B20</v>
          </cell>
          <cell r="G184" t="str">
            <v>7-Day Workweek (10 hours)</v>
          </cell>
          <cell r="H184" t="str">
            <v>0d</v>
          </cell>
          <cell r="I184" t="str">
            <v>0d</v>
          </cell>
          <cell r="J184">
            <v>0</v>
          </cell>
          <cell r="K184" t="str">
            <v>As Late As Possible</v>
          </cell>
          <cell r="M184">
            <v>41445</v>
          </cell>
        </row>
        <row r="185">
          <cell r="C185" t="str">
            <v>5201-C11</v>
          </cell>
          <cell r="D185" t="str">
            <v>Mechanical Completion 5201-C11 BallastTank No 7, West, 52TC007</v>
          </cell>
          <cell r="E185" t="str">
            <v>H.B20</v>
          </cell>
          <cell r="G185" t="str">
            <v>7-Day Workweek (10 hours)</v>
          </cell>
          <cell r="H185" t="str">
            <v>0d</v>
          </cell>
          <cell r="I185" t="str">
            <v>0d</v>
          </cell>
          <cell r="J185">
            <v>0</v>
          </cell>
          <cell r="K185" t="str">
            <v>As Late As Possible</v>
          </cell>
          <cell r="M185">
            <v>41449</v>
          </cell>
        </row>
        <row r="186">
          <cell r="C186" t="str">
            <v>5201-C12</v>
          </cell>
          <cell r="D186" t="str">
            <v>Mechanical Completion 5201-C12 BallastTank No 8, West, 52TC008</v>
          </cell>
          <cell r="E186" t="str">
            <v>H.B20</v>
          </cell>
          <cell r="G186" t="str">
            <v>7-Day Workweek (10 hours)</v>
          </cell>
          <cell r="H186" t="str">
            <v>0d</v>
          </cell>
          <cell r="I186" t="str">
            <v>0d</v>
          </cell>
          <cell r="J186">
            <v>0</v>
          </cell>
          <cell r="K186" t="str">
            <v>As Late As Possible</v>
          </cell>
          <cell r="M186">
            <v>41451</v>
          </cell>
        </row>
        <row r="187">
          <cell r="C187" t="str">
            <v>5201-C13</v>
          </cell>
          <cell r="D187" t="str">
            <v>Mechanical Completion 5201-C13 BallastTank No 9, West, 52TC009</v>
          </cell>
          <cell r="E187" t="str">
            <v>H.B20</v>
          </cell>
          <cell r="G187" t="str">
            <v>7-Day Workweek (10 hours)</v>
          </cell>
          <cell r="H187" t="str">
            <v>0d</v>
          </cell>
          <cell r="I187" t="str">
            <v>0d</v>
          </cell>
          <cell r="J187">
            <v>0</v>
          </cell>
          <cell r="K187" t="str">
            <v>As Late As Possible</v>
          </cell>
          <cell r="M187">
            <v>41454</v>
          </cell>
        </row>
        <row r="188">
          <cell r="C188" t="str">
            <v>5201-C14</v>
          </cell>
          <cell r="D188" t="str">
            <v>Mechanical Completion 5201-C14 BallastTank No 10, West, 52TC010</v>
          </cell>
          <cell r="E188" t="str">
            <v>H.B20</v>
          </cell>
          <cell r="G188" t="str">
            <v>7-Day Workweek (10 hours)</v>
          </cell>
          <cell r="H188" t="str">
            <v>0d</v>
          </cell>
          <cell r="I188" t="str">
            <v>0d</v>
          </cell>
          <cell r="J188">
            <v>0</v>
          </cell>
          <cell r="K188" t="str">
            <v>As Late As Possible</v>
          </cell>
          <cell r="M188">
            <v>41457</v>
          </cell>
        </row>
        <row r="189">
          <cell r="C189" t="str">
            <v>5201-C15</v>
          </cell>
          <cell r="D189" t="str">
            <v>Mechanical Completion 5201-C15 BallastTank No 1, East, 52TC011</v>
          </cell>
          <cell r="E189" t="str">
            <v>H.B10</v>
          </cell>
          <cell r="G189" t="str">
            <v>7-Day Workweek (10 hours)</v>
          </cell>
          <cell r="H189" t="str">
            <v>0d</v>
          </cell>
          <cell r="I189" t="str">
            <v>0d</v>
          </cell>
          <cell r="J189">
            <v>0</v>
          </cell>
          <cell r="K189" t="str">
            <v>As Late As Possible</v>
          </cell>
          <cell r="M189">
            <v>41459</v>
          </cell>
        </row>
        <row r="190">
          <cell r="C190" t="str">
            <v>5201-C16</v>
          </cell>
          <cell r="D190" t="str">
            <v>Mechanical Completion 5201-C16 BallastTank No 2, East, 52TC012</v>
          </cell>
          <cell r="E190" t="str">
            <v>H.B10</v>
          </cell>
          <cell r="G190" t="str">
            <v>7-Day Workweek (10 hours)</v>
          </cell>
          <cell r="H190" t="str">
            <v>0d</v>
          </cell>
          <cell r="I190" t="str">
            <v>0d</v>
          </cell>
          <cell r="J190">
            <v>0</v>
          </cell>
          <cell r="K190" t="str">
            <v>As Late As Possible</v>
          </cell>
          <cell r="M190">
            <v>41463</v>
          </cell>
        </row>
        <row r="191">
          <cell r="C191" t="str">
            <v>5201-C17</v>
          </cell>
          <cell r="D191" t="str">
            <v>Mechanical Completion 5201-C17 BallastTank No 3, East, 52TC013</v>
          </cell>
          <cell r="E191" t="str">
            <v>H.B10</v>
          </cell>
          <cell r="G191" t="str">
            <v>7-Day Workweek (10 hours)</v>
          </cell>
          <cell r="H191" t="str">
            <v>0d</v>
          </cell>
          <cell r="I191" t="str">
            <v>0d</v>
          </cell>
          <cell r="J191">
            <v>0</v>
          </cell>
          <cell r="K191" t="str">
            <v>As Late As Possible</v>
          </cell>
          <cell r="M191">
            <v>41465</v>
          </cell>
        </row>
        <row r="192">
          <cell r="C192" t="str">
            <v>5201-C18</v>
          </cell>
          <cell r="D192" t="str">
            <v>Mechanical Completion 5201-C18 BallastTank No 4, East, 52TC014</v>
          </cell>
          <cell r="E192" t="str">
            <v>H.B10</v>
          </cell>
          <cell r="G192" t="str">
            <v>7-Day Workweek (10 hours)</v>
          </cell>
          <cell r="H192" t="str">
            <v>0d</v>
          </cell>
          <cell r="I192" t="str">
            <v>0d</v>
          </cell>
          <cell r="J192">
            <v>0</v>
          </cell>
          <cell r="K192" t="str">
            <v>As Late As Possible</v>
          </cell>
          <cell r="M192">
            <v>41468</v>
          </cell>
        </row>
        <row r="193">
          <cell r="C193" t="str">
            <v>5201-C19</v>
          </cell>
          <cell r="D193" t="str">
            <v>Mechanical Completion 5201-C19 BallastTank No 5, East, 52TC015</v>
          </cell>
          <cell r="E193" t="str">
            <v>H.B10</v>
          </cell>
          <cell r="G193" t="str">
            <v>7-Day Workweek (10 hours)</v>
          </cell>
          <cell r="H193" t="str">
            <v>0d</v>
          </cell>
          <cell r="I193" t="str">
            <v>0d</v>
          </cell>
          <cell r="J193">
            <v>0</v>
          </cell>
          <cell r="K193" t="str">
            <v>As Late As Possible</v>
          </cell>
          <cell r="M193">
            <v>41471</v>
          </cell>
        </row>
        <row r="194">
          <cell r="C194" t="str">
            <v>5201-C20</v>
          </cell>
          <cell r="D194" t="str">
            <v>Mechanical Completion 5201-C20 BallastTank No 6, East, 52TC016</v>
          </cell>
          <cell r="E194" t="str">
            <v>H.B20</v>
          </cell>
          <cell r="G194" t="str">
            <v>7-Day Workweek (10 hours)</v>
          </cell>
          <cell r="H194" t="str">
            <v>0d</v>
          </cell>
          <cell r="I194" t="str">
            <v>0d</v>
          </cell>
          <cell r="J194">
            <v>0</v>
          </cell>
          <cell r="K194" t="str">
            <v>As Late As Possible</v>
          </cell>
          <cell r="M194">
            <v>41473</v>
          </cell>
        </row>
        <row r="195">
          <cell r="C195" t="str">
            <v>5201-C21</v>
          </cell>
          <cell r="D195" t="str">
            <v>Mechanical Completion 5201-C21 BallastTank No 7, East, 52TC017</v>
          </cell>
          <cell r="E195" t="str">
            <v>H.B20</v>
          </cell>
          <cell r="G195" t="str">
            <v>7-Day Workweek (10 hours)</v>
          </cell>
          <cell r="H195" t="str">
            <v>0d</v>
          </cell>
          <cell r="I195" t="str">
            <v>0d</v>
          </cell>
          <cell r="J195">
            <v>0</v>
          </cell>
          <cell r="K195" t="str">
            <v>As Late As Possible</v>
          </cell>
          <cell r="M195">
            <v>41477</v>
          </cell>
        </row>
        <row r="196">
          <cell r="C196" t="str">
            <v>5201-C22</v>
          </cell>
          <cell r="D196" t="str">
            <v>Mechanical Completion 5201-C22 BallastTank No 8, East, 52TC018</v>
          </cell>
          <cell r="E196" t="str">
            <v>H.B20</v>
          </cell>
          <cell r="G196" t="str">
            <v>7-Day Workweek (10 hours)</v>
          </cell>
          <cell r="H196" t="str">
            <v>0d</v>
          </cell>
          <cell r="I196" t="str">
            <v>0d</v>
          </cell>
          <cell r="J196">
            <v>0</v>
          </cell>
          <cell r="K196" t="str">
            <v>As Late As Possible</v>
          </cell>
          <cell r="M196">
            <v>41479</v>
          </cell>
        </row>
        <row r="197">
          <cell r="C197" t="str">
            <v>5201-C23</v>
          </cell>
          <cell r="D197" t="str">
            <v>Mechanical Completion 5201-C23 BallastTank No 9, East, 52TC019</v>
          </cell>
          <cell r="E197" t="str">
            <v>H.B20</v>
          </cell>
          <cell r="G197" t="str">
            <v>7-Day Workweek (10 hours)</v>
          </cell>
          <cell r="H197" t="str">
            <v>0d</v>
          </cell>
          <cell r="I197" t="str">
            <v>0d</v>
          </cell>
          <cell r="J197">
            <v>0</v>
          </cell>
          <cell r="K197" t="str">
            <v>As Late As Possible</v>
          </cell>
          <cell r="M197">
            <v>41482</v>
          </cell>
        </row>
        <row r="198">
          <cell r="C198" t="str">
            <v>5201-C24</v>
          </cell>
          <cell r="D198" t="str">
            <v>Mechanical Completion 5201-C24 BallastTank No 10, East, 52TC020</v>
          </cell>
          <cell r="E198" t="str">
            <v>H.B20</v>
          </cell>
          <cell r="G198" t="str">
            <v>7-Day Workweek (10 hours)</v>
          </cell>
          <cell r="H198" t="str">
            <v>0d</v>
          </cell>
          <cell r="I198" t="str">
            <v>0d</v>
          </cell>
          <cell r="J198">
            <v>0</v>
          </cell>
          <cell r="K198" t="str">
            <v>As Late As Possible</v>
          </cell>
          <cell r="M198">
            <v>41485</v>
          </cell>
        </row>
        <row r="199">
          <cell r="F199">
            <v>0</v>
          </cell>
          <cell r="G199" t="str">
            <v>7-Day Workweek (10 hours)</v>
          </cell>
          <cell r="H199" t="str">
            <v>50d</v>
          </cell>
          <cell r="I199" t="str">
            <v>50d</v>
          </cell>
          <cell r="J199">
            <v>0</v>
          </cell>
          <cell r="L199">
            <v>41477</v>
          </cell>
          <cell r="M199">
            <v>41516</v>
          </cell>
        </row>
        <row r="200">
          <cell r="C200" t="str">
            <v>5301-C01</v>
          </cell>
          <cell r="D200" t="str">
            <v>Mechanical Completion 5301-C01 Potable water tanks 53TC001A/B/C</v>
          </cell>
          <cell r="E200" t="str">
            <v>H.N10</v>
          </cell>
          <cell r="G200" t="str">
            <v>7-Day Workweek (10 hours)</v>
          </cell>
          <cell r="H200" t="str">
            <v>0d</v>
          </cell>
          <cell r="I200" t="str">
            <v>0d</v>
          </cell>
          <cell r="J200">
            <v>0</v>
          </cell>
          <cell r="K200" t="str">
            <v>Finish On</v>
          </cell>
          <cell r="M200" t="str">
            <v>22-Jul-13*</v>
          </cell>
        </row>
        <row r="201">
          <cell r="C201" t="str">
            <v>5301-C02</v>
          </cell>
          <cell r="D201" t="str">
            <v>Mechanical Completion 5301-C02 Potable water pumps 53PA001A/B and circulation pump 53PA007 + UV sterilization units</v>
          </cell>
          <cell r="E201" t="str">
            <v>H.N10</v>
          </cell>
          <cell r="G201" t="str">
            <v>7-Day Workweek (10 hours)</v>
          </cell>
          <cell r="H201" t="str">
            <v>0d</v>
          </cell>
          <cell r="I201" t="str">
            <v>0d</v>
          </cell>
          <cell r="J201">
            <v>0</v>
          </cell>
          <cell r="K201" t="str">
            <v>As Late As Possible</v>
          </cell>
          <cell r="M201">
            <v>41487</v>
          </cell>
        </row>
        <row r="202">
          <cell r="C202" t="str">
            <v>5301-C04</v>
          </cell>
          <cell r="D202" t="str">
            <v>Mechanical Completion 5301-C04 Service water distribution and pumps</v>
          </cell>
          <cell r="E202" t="str">
            <v>H.N10</v>
          </cell>
          <cell r="G202" t="str">
            <v>7-Day Workweek (10 hours)</v>
          </cell>
          <cell r="H202" t="str">
            <v>0d</v>
          </cell>
          <cell r="I202" t="str">
            <v>0d</v>
          </cell>
          <cell r="J202">
            <v>0</v>
          </cell>
          <cell r="K202" t="str">
            <v>As Late As Possible</v>
          </cell>
          <cell r="M202">
            <v>41499</v>
          </cell>
        </row>
        <row r="203">
          <cell r="C203" t="str">
            <v>5301-C09</v>
          </cell>
          <cell r="D203" t="str">
            <v>Mechanical Completion 5301-C09 Vacuum pump package 53XJ001</v>
          </cell>
          <cell r="E203" t="str">
            <v>H.N10</v>
          </cell>
          <cell r="G203" t="str">
            <v>7-Day Workweek (10 hours)</v>
          </cell>
          <cell r="H203" t="str">
            <v>0d</v>
          </cell>
          <cell r="I203" t="str">
            <v>0d</v>
          </cell>
          <cell r="J203">
            <v>0</v>
          </cell>
          <cell r="K203" t="str">
            <v>As Late As Possible</v>
          </cell>
          <cell r="M203">
            <v>41516</v>
          </cell>
        </row>
        <row r="204">
          <cell r="C204" t="str">
            <v>5301-C11</v>
          </cell>
          <cell r="D204" t="str">
            <v>Mechanical Completion 5301-C11 Hot water circulation pumps 53PA002A/B and calorifiers</v>
          </cell>
          <cell r="E204" t="str">
            <v>H.N10</v>
          </cell>
          <cell r="G204" t="str">
            <v>7-Day Workweek (10 hours)</v>
          </cell>
          <cell r="H204" t="str">
            <v>0d</v>
          </cell>
          <cell r="I204" t="str">
            <v>0d</v>
          </cell>
          <cell r="J204">
            <v>0</v>
          </cell>
          <cell r="K204" t="str">
            <v>Finish On</v>
          </cell>
          <cell r="M204" t="str">
            <v>30-Aug-13*</v>
          </cell>
        </row>
        <row r="205">
          <cell r="C205" t="str">
            <v>5301-C08</v>
          </cell>
          <cell r="D205" t="str">
            <v>Mechanical Completion 5301-C08 Wash water deaeration system</v>
          </cell>
          <cell r="E205" t="str">
            <v>H.N10</v>
          </cell>
          <cell r="G205" t="str">
            <v>7-Day Workweek (10 hours)</v>
          </cell>
          <cell r="H205" t="str">
            <v>0d</v>
          </cell>
          <cell r="I205" t="str">
            <v>0d</v>
          </cell>
          <cell r="J205">
            <v>0</v>
          </cell>
          <cell r="K205" t="str">
            <v>Finish On</v>
          </cell>
          <cell r="M205" t="str">
            <v>30-Aug-13*</v>
          </cell>
        </row>
        <row r="206">
          <cell r="C206" t="str">
            <v>5301-C06</v>
          </cell>
          <cell r="D206" t="str">
            <v>Mechanical Completion 5301-C06 Pipe to/from fresh water generators</v>
          </cell>
          <cell r="E206" t="str">
            <v>H.N10</v>
          </cell>
          <cell r="G206" t="str">
            <v>7-Day Workweek (10 hours)</v>
          </cell>
          <cell r="H206" t="str">
            <v>0d</v>
          </cell>
          <cell r="I206" t="str">
            <v>0d</v>
          </cell>
          <cell r="J206">
            <v>0</v>
          </cell>
          <cell r="K206" t="str">
            <v>Finish On</v>
          </cell>
          <cell r="M206" t="str">
            <v>30-Aug-13*</v>
          </cell>
        </row>
        <row r="207">
          <cell r="C207" t="str">
            <v>5301-C03</v>
          </cell>
          <cell r="D207" t="str">
            <v>Mechanical Completion 5301-C03 Fresh water generators 53XX001A/B/C/D</v>
          </cell>
          <cell r="E207" t="str">
            <v>H.N10</v>
          </cell>
          <cell r="G207" t="str">
            <v>7-Day Workweek (10 hours)</v>
          </cell>
          <cell r="H207" t="str">
            <v>0d</v>
          </cell>
          <cell r="I207" t="str">
            <v>0d</v>
          </cell>
          <cell r="J207">
            <v>0</v>
          </cell>
          <cell r="K207" t="str">
            <v>Finish On</v>
          </cell>
          <cell r="M207" t="str">
            <v>30-Aug-13*</v>
          </cell>
        </row>
        <row r="208">
          <cell r="C208" t="str">
            <v>5301-C05</v>
          </cell>
          <cell r="D208" t="str">
            <v>Mechanical Completion 5301-C05 Cold and hot water distribution LQ</v>
          </cell>
          <cell r="E208" t="str">
            <v>T.L10</v>
          </cell>
          <cell r="G208" t="str">
            <v>7-Day Workweek (10 hours)</v>
          </cell>
          <cell r="H208" t="str">
            <v>0d</v>
          </cell>
          <cell r="I208" t="str">
            <v>0d</v>
          </cell>
          <cell r="J208">
            <v>0</v>
          </cell>
          <cell r="K208" t="str">
            <v>Finish On</v>
          </cell>
          <cell r="M208" t="str">
            <v>30-Aug-13*</v>
          </cell>
        </row>
        <row r="209">
          <cell r="C209" t="str">
            <v>5301-C07</v>
          </cell>
          <cell r="D209" t="str">
            <v>Mechanical Completion 5301-C07 Fresh water distribution</v>
          </cell>
          <cell r="E209" t="str">
            <v>H.N10</v>
          </cell>
          <cell r="G209" t="str">
            <v>7-Day Workweek (10 hours)</v>
          </cell>
          <cell r="H209" t="str">
            <v>0d</v>
          </cell>
          <cell r="I209" t="str">
            <v>0d</v>
          </cell>
          <cell r="J209">
            <v>0</v>
          </cell>
          <cell r="K209" t="str">
            <v>Finish On</v>
          </cell>
          <cell r="M209" t="str">
            <v>30-Aug-13*</v>
          </cell>
        </row>
        <row r="210">
          <cell r="C210" t="str">
            <v>5301-C10</v>
          </cell>
          <cell r="D210" t="str">
            <v>Mechanical Completion 5301-C10 Fresh water clorination units 53XR001A/B</v>
          </cell>
          <cell r="E210" t="str">
            <v>H.N10</v>
          </cell>
          <cell r="G210" t="str">
            <v>7-Day Workweek (10 hours)</v>
          </cell>
          <cell r="H210" t="str">
            <v>0d</v>
          </cell>
          <cell r="I210" t="str">
            <v>0d</v>
          </cell>
          <cell r="J210">
            <v>0</v>
          </cell>
          <cell r="K210" t="str">
            <v>Finish On</v>
          </cell>
          <cell r="M210" t="str">
            <v>30-Aug-13*</v>
          </cell>
        </row>
        <row r="211">
          <cell r="F211">
            <v>0</v>
          </cell>
          <cell r="G211" t="str">
            <v>7-Day Workweek (10 hours)</v>
          </cell>
          <cell r="H211" t="str">
            <v>1d</v>
          </cell>
          <cell r="I211" t="str">
            <v>1d</v>
          </cell>
          <cell r="J211">
            <v>0</v>
          </cell>
          <cell r="L211">
            <v>41516</v>
          </cell>
          <cell r="M211">
            <v>41516</v>
          </cell>
        </row>
        <row r="212">
          <cell r="C212" t="str">
            <v>5401-C01</v>
          </cell>
          <cell r="D212" t="str">
            <v>Mechanical Completion 5401-C01 Hot water expansion and circulation system to HVAC</v>
          </cell>
          <cell r="E212" t="str">
            <v>H.M10</v>
          </cell>
          <cell r="G212" t="str">
            <v>7-Day Workweek (10 hours)</v>
          </cell>
          <cell r="H212" t="str">
            <v>0d</v>
          </cell>
          <cell r="I212" t="str">
            <v>0d</v>
          </cell>
          <cell r="J212">
            <v>0</v>
          </cell>
          <cell r="K212" t="str">
            <v>Finish On</v>
          </cell>
          <cell r="M212" t="str">
            <v>30-Aug-13*</v>
          </cell>
        </row>
        <row r="213">
          <cell r="C213" t="str">
            <v>5401-C02</v>
          </cell>
          <cell r="D213" t="str">
            <v>Mechanical Completion 5401-C02 High pressure hot water skid and distribution system</v>
          </cell>
          <cell r="E213" t="str">
            <v>H.N10</v>
          </cell>
          <cell r="G213" t="str">
            <v>7-Day Workweek (10 hours)</v>
          </cell>
          <cell r="H213" t="str">
            <v>0d</v>
          </cell>
          <cell r="I213" t="str">
            <v>0d</v>
          </cell>
          <cell r="J213">
            <v>0</v>
          </cell>
          <cell r="K213" t="str">
            <v>Finish On</v>
          </cell>
          <cell r="M213" t="str">
            <v>30-Aug-13*</v>
          </cell>
        </row>
        <row r="214">
          <cell r="F214">
            <v>0</v>
          </cell>
          <cell r="G214" t="str">
            <v>7-Day Workweek (10 hours)</v>
          </cell>
          <cell r="H214" t="str">
            <v>173d</v>
          </cell>
          <cell r="I214" t="str">
            <v>173d</v>
          </cell>
          <cell r="J214">
            <v>0</v>
          </cell>
          <cell r="L214">
            <v>41341</v>
          </cell>
          <cell r="M214">
            <v>41480</v>
          </cell>
        </row>
        <row r="215">
          <cell r="C215" t="str">
            <v>5601-C01</v>
          </cell>
          <cell r="D215" t="str">
            <v>Mechanical Completion 5601-C01 Hazardous open drain header</v>
          </cell>
          <cell r="E215" t="str">
            <v>H.M20</v>
          </cell>
          <cell r="G215" t="str">
            <v>7-Day Workweek (10 hours)</v>
          </cell>
          <cell r="H215" t="str">
            <v>0d</v>
          </cell>
          <cell r="I215" t="str">
            <v>0d</v>
          </cell>
          <cell r="J215">
            <v>0</v>
          </cell>
          <cell r="K215" t="str">
            <v>As Late As Possible</v>
          </cell>
          <cell r="M215">
            <v>41341</v>
          </cell>
        </row>
        <row r="216">
          <cell r="C216" t="str">
            <v>5601-C02</v>
          </cell>
          <cell r="D216" t="str">
            <v>Mechanical Completion 5601-C02 Hazardous open drain tank 56TX003 + pumps 56PA001A/B &amp; 56PA003A/B</v>
          </cell>
          <cell r="E216" t="str">
            <v>H.G20</v>
          </cell>
          <cell r="G216" t="str">
            <v>7-Day Workweek (10 hours)</v>
          </cell>
          <cell r="H216" t="str">
            <v>0d</v>
          </cell>
          <cell r="I216" t="str">
            <v>0d</v>
          </cell>
          <cell r="J216">
            <v>0</v>
          </cell>
          <cell r="K216" t="str">
            <v>As Late As Possible</v>
          </cell>
          <cell r="M216">
            <v>41365</v>
          </cell>
        </row>
        <row r="217">
          <cell r="C217" t="str">
            <v>5601-C03</v>
          </cell>
          <cell r="D217" t="str">
            <v>Mechanical Completion 5601-C03 Non Hazardous open drain header</v>
          </cell>
          <cell r="E217" t="str">
            <v>H.M10</v>
          </cell>
          <cell r="G217" t="str">
            <v>7-Day Workweek (10 hours)</v>
          </cell>
          <cell r="H217" t="str">
            <v>0d</v>
          </cell>
          <cell r="I217" t="str">
            <v>0d</v>
          </cell>
          <cell r="J217">
            <v>0</v>
          </cell>
          <cell r="K217" t="str">
            <v>As Late As Possible</v>
          </cell>
          <cell r="M217">
            <v>41384</v>
          </cell>
        </row>
        <row r="218">
          <cell r="C218" t="str">
            <v>5601-C04</v>
          </cell>
          <cell r="D218" t="str">
            <v>Mechanical Completion 5601-C04 Non Hazardous open drain tank 56TA002 and pumps 56PA004A/B</v>
          </cell>
          <cell r="E218" t="str">
            <v>H.M10</v>
          </cell>
          <cell r="G218" t="str">
            <v>7-Day Workweek (10 hours)</v>
          </cell>
          <cell r="H218" t="str">
            <v>0d</v>
          </cell>
          <cell r="I218" t="str">
            <v>0d</v>
          </cell>
          <cell r="J218">
            <v>0</v>
          </cell>
          <cell r="K218" t="str">
            <v>As Late As Possible</v>
          </cell>
          <cell r="M218">
            <v>41408</v>
          </cell>
        </row>
        <row r="219">
          <cell r="C219" t="str">
            <v>5601-C05</v>
          </cell>
          <cell r="D219" t="str">
            <v>Mechanical Completion 5601-C05 Slop tank west 56TX001 (dirty slop)</v>
          </cell>
          <cell r="E219" t="str">
            <v>H.C20</v>
          </cell>
          <cell r="G219" t="str">
            <v>7-Day Workweek (10 hours)</v>
          </cell>
          <cell r="H219" t="str">
            <v>0d</v>
          </cell>
          <cell r="I219" t="str">
            <v>0d</v>
          </cell>
          <cell r="J219">
            <v>0</v>
          </cell>
          <cell r="K219" t="str">
            <v>As Late As Possible</v>
          </cell>
          <cell r="M219">
            <v>41414</v>
          </cell>
        </row>
        <row r="220">
          <cell r="C220" t="str">
            <v>5601-C07</v>
          </cell>
          <cell r="D220" t="str">
            <v>Mechanical Completion 5601-C07 Slop tank east 56TX002 (clean slop)</v>
          </cell>
          <cell r="E220" t="str">
            <v>H.C20</v>
          </cell>
          <cell r="G220" t="str">
            <v>7-Day Workweek (10 hours)</v>
          </cell>
          <cell r="H220" t="str">
            <v>0d</v>
          </cell>
          <cell r="I220" t="str">
            <v>0d</v>
          </cell>
          <cell r="J220">
            <v>0</v>
          </cell>
          <cell r="K220" t="str">
            <v>As Late As Possible</v>
          </cell>
          <cell r="M220">
            <v>41423</v>
          </cell>
        </row>
        <row r="221">
          <cell r="C221" t="str">
            <v>5601-C06</v>
          </cell>
          <cell r="D221" t="str">
            <v>Mechanical Completion 5601-C06 Slop water inj. pumps 56PA002A/B</v>
          </cell>
          <cell r="E221" t="str">
            <v>H.G20</v>
          </cell>
          <cell r="G221" t="str">
            <v>7-Day Workweek (10 hours)</v>
          </cell>
          <cell r="H221" t="str">
            <v>0d</v>
          </cell>
          <cell r="I221" t="str">
            <v>0d</v>
          </cell>
          <cell r="J221">
            <v>0</v>
          </cell>
          <cell r="K221" t="str">
            <v>As Late As Possible</v>
          </cell>
          <cell r="M221">
            <v>41430</v>
          </cell>
        </row>
        <row r="222">
          <cell r="C222" t="str">
            <v>5601-C08</v>
          </cell>
          <cell r="D222" t="str">
            <v>Mechanical Completion 5601-C08 Bilge system and pumps 56PF001A/B in cargo pump room</v>
          </cell>
          <cell r="E222" t="str">
            <v>H.G20</v>
          </cell>
          <cell r="G222" t="str">
            <v>7-Day Workweek (10 hours)</v>
          </cell>
          <cell r="H222" t="str">
            <v>0d</v>
          </cell>
          <cell r="I222" t="str">
            <v>0d</v>
          </cell>
          <cell r="J222">
            <v>0</v>
          </cell>
          <cell r="K222" t="str">
            <v>As Late As Possible</v>
          </cell>
          <cell r="M222">
            <v>41438</v>
          </cell>
        </row>
        <row r="223">
          <cell r="C223" t="str">
            <v>5601-C10</v>
          </cell>
          <cell r="D223" t="str">
            <v>Mechanical Completion 5601-C10 Bilge system and pumps 56PF002A/B in central shaft sea water lift pump room</v>
          </cell>
          <cell r="E223" t="str">
            <v>H.G20</v>
          </cell>
          <cell r="G223" t="str">
            <v>7-Day Workweek (10 hours)</v>
          </cell>
          <cell r="H223" t="str">
            <v>0d</v>
          </cell>
          <cell r="I223" t="str">
            <v>0d</v>
          </cell>
          <cell r="J223">
            <v>0</v>
          </cell>
          <cell r="K223" t="str">
            <v>As Late As Possible</v>
          </cell>
          <cell r="M223">
            <v>41452</v>
          </cell>
        </row>
        <row r="224">
          <cell r="C224" t="str">
            <v>5601-C09</v>
          </cell>
          <cell r="D224" t="str">
            <v>Mechanical Completion 5601-C09 Bilge system and pumps 56PF003A&amp;B north shaft</v>
          </cell>
          <cell r="E224" t="str">
            <v>H.N10</v>
          </cell>
          <cell r="G224" t="str">
            <v>7-Day Workweek (10 hours)</v>
          </cell>
          <cell r="H224" t="str">
            <v>0d</v>
          </cell>
          <cell r="I224" t="str">
            <v>0d</v>
          </cell>
          <cell r="J224">
            <v>0</v>
          </cell>
          <cell r="K224" t="str">
            <v>As Late As Possible</v>
          </cell>
          <cell r="M224">
            <v>41466</v>
          </cell>
        </row>
        <row r="225">
          <cell r="C225" t="str">
            <v>5601-C11</v>
          </cell>
          <cell r="D225" t="str">
            <v>Mechanical Completion 5601-C11 Chain Locker Drain</v>
          </cell>
          <cell r="E225" t="str">
            <v>H.B20</v>
          </cell>
          <cell r="G225" t="str">
            <v>7-Day Workweek (10 hours)</v>
          </cell>
          <cell r="H225" t="str">
            <v>0d</v>
          </cell>
          <cell r="I225" t="str">
            <v>0d</v>
          </cell>
          <cell r="J225">
            <v>0</v>
          </cell>
          <cell r="K225" t="str">
            <v>As Late As Possible</v>
          </cell>
          <cell r="M225">
            <v>41480</v>
          </cell>
        </row>
        <row r="226">
          <cell r="F226">
            <v>0</v>
          </cell>
          <cell r="G226" t="str">
            <v>7-Day Workweek (10 hours)</v>
          </cell>
          <cell r="H226" t="str">
            <v>48d</v>
          </cell>
          <cell r="I226" t="str">
            <v>48d</v>
          </cell>
          <cell r="J226">
            <v>0</v>
          </cell>
          <cell r="L226">
            <v>41341</v>
          </cell>
          <cell r="M226">
            <v>41379</v>
          </cell>
        </row>
        <row r="227">
          <cell r="C227" t="str">
            <v>5701-C01</v>
          </cell>
          <cell r="D227" t="str">
            <v>Mechanical Completion 5701-C01 Closed Drain Header</v>
          </cell>
          <cell r="E227" t="str">
            <v>H.M20</v>
          </cell>
          <cell r="G227" t="str">
            <v>7-Day Workweek (10 hours)</v>
          </cell>
          <cell r="H227" t="str">
            <v>0d</v>
          </cell>
          <cell r="I227" t="str">
            <v>0d</v>
          </cell>
          <cell r="J227">
            <v>0</v>
          </cell>
          <cell r="K227" t="str">
            <v>As Late As Possible</v>
          </cell>
          <cell r="M227">
            <v>41341</v>
          </cell>
        </row>
        <row r="228">
          <cell r="C228" t="str">
            <v>5701-C02</v>
          </cell>
          <cell r="D228" t="str">
            <v>Mechanical Completion 5701-C02 Closed Drain Drum, 57VD001</v>
          </cell>
          <cell r="E228" t="str">
            <v>H.M20</v>
          </cell>
          <cell r="G228" t="str">
            <v>7-Day Workweek (10 hours)</v>
          </cell>
          <cell r="H228" t="str">
            <v>0d</v>
          </cell>
          <cell r="I228" t="str">
            <v>0d</v>
          </cell>
          <cell r="J228">
            <v>0</v>
          </cell>
          <cell r="K228" t="str">
            <v>As Late As Possible</v>
          </cell>
          <cell r="M228">
            <v>41360</v>
          </cell>
        </row>
        <row r="229">
          <cell r="C229" t="str">
            <v>5701-C03</v>
          </cell>
          <cell r="D229" t="str">
            <v>Mechanical Completion 5701-C03 Closed Drain Transfer Pumps, 57PG001A/B</v>
          </cell>
          <cell r="E229" t="str">
            <v>H.M20</v>
          </cell>
          <cell r="G229" t="str">
            <v>7-Day Workweek (10 hours)</v>
          </cell>
          <cell r="H229" t="str">
            <v>0d</v>
          </cell>
          <cell r="I229" t="str">
            <v>0d</v>
          </cell>
          <cell r="J229">
            <v>0</v>
          </cell>
          <cell r="K229" t="str">
            <v>As Late As Possible</v>
          </cell>
          <cell r="M229">
            <v>41369</v>
          </cell>
        </row>
        <row r="230">
          <cell r="C230" t="str">
            <v>5701-C04</v>
          </cell>
          <cell r="D230" t="str">
            <v>Mechanical Completion 5701-C04 Closed Drain, Pumped Sources Header</v>
          </cell>
          <cell r="E230" t="str">
            <v>H.M20</v>
          </cell>
          <cell r="G230" t="str">
            <v>7-Day Workweek (10 hours)</v>
          </cell>
          <cell r="H230" t="str">
            <v>0d</v>
          </cell>
          <cell r="I230" t="str">
            <v>0d</v>
          </cell>
          <cell r="J230">
            <v>0</v>
          </cell>
          <cell r="K230" t="str">
            <v>As Late As Possible</v>
          </cell>
          <cell r="M230">
            <v>41379</v>
          </cell>
        </row>
        <row r="231">
          <cell r="F231">
            <v>0</v>
          </cell>
          <cell r="G231" t="str">
            <v>7-Day Workweek (10 hours)</v>
          </cell>
          <cell r="H231" t="str">
            <v>151d</v>
          </cell>
          <cell r="I231" t="str">
            <v>151d</v>
          </cell>
          <cell r="J231">
            <v>0</v>
          </cell>
          <cell r="L231">
            <v>41349</v>
          </cell>
          <cell r="M231">
            <v>41470</v>
          </cell>
        </row>
        <row r="232">
          <cell r="C232" t="str">
            <v>6201-C03</v>
          </cell>
          <cell r="D232" t="str">
            <v>Mechanical Completion 6201-C03 Diesel purifier pumps 62PG003A/B &amp; Purifire unit 62XX001 + drain lines</v>
          </cell>
          <cell r="E232" t="str">
            <v>H.N10</v>
          </cell>
          <cell r="G232" t="str">
            <v>7-Day Workweek (10 hours)</v>
          </cell>
          <cell r="H232" t="str">
            <v>0d</v>
          </cell>
          <cell r="I232" t="str">
            <v>0d</v>
          </cell>
          <cell r="J232">
            <v>0</v>
          </cell>
          <cell r="K232" t="str">
            <v>As Late As Possible</v>
          </cell>
          <cell r="M232">
            <v>41349</v>
          </cell>
        </row>
        <row r="233">
          <cell r="C233" t="str">
            <v>6201-C04</v>
          </cell>
          <cell r="D233" t="str">
            <v>Mechanical Completion 6201-C04 Diesel service tanks 62TB003/4 and supply pumps 62PA002A/B</v>
          </cell>
          <cell r="E233" t="str">
            <v>H.N10</v>
          </cell>
          <cell r="G233" t="str">
            <v>7-Day Workweek (10 hours)</v>
          </cell>
          <cell r="H233" t="str">
            <v>0d</v>
          </cell>
          <cell r="I233" t="str">
            <v>0d</v>
          </cell>
          <cell r="J233">
            <v>0</v>
          </cell>
          <cell r="K233" t="str">
            <v>As Late As Possible</v>
          </cell>
          <cell r="M233">
            <v>41363</v>
          </cell>
        </row>
        <row r="234">
          <cell r="C234" t="str">
            <v>6201-C02</v>
          </cell>
          <cell r="D234" t="str">
            <v>Mechanical Completion 6201-C02 Diesel overflow pipe and tank 62TB005</v>
          </cell>
          <cell r="E234" t="str">
            <v>H.N10</v>
          </cell>
          <cell r="G234" t="str">
            <v>7-Day Workweek (10 hours)</v>
          </cell>
          <cell r="H234" t="str">
            <v>0d</v>
          </cell>
          <cell r="I234" t="str">
            <v>0d</v>
          </cell>
          <cell r="J234">
            <v>0</v>
          </cell>
          <cell r="K234" t="str">
            <v>As Late As Possible</v>
          </cell>
          <cell r="M234">
            <v>41377</v>
          </cell>
        </row>
        <row r="235">
          <cell r="C235" t="str">
            <v>6201-C05</v>
          </cell>
          <cell r="D235" t="str">
            <v>Mechanical Completion 6201-C05 Diesel sevice Pumps 62PA004A/B &amp; distribution pipe</v>
          </cell>
          <cell r="E235" t="str">
            <v>H.N10</v>
          </cell>
          <cell r="G235" t="str">
            <v>7-Day Workweek (10 hours)</v>
          </cell>
          <cell r="H235" t="str">
            <v>0d</v>
          </cell>
          <cell r="I235" t="str">
            <v>0d</v>
          </cell>
          <cell r="J235">
            <v>0</v>
          </cell>
          <cell r="K235" t="str">
            <v>As Late As Possible</v>
          </cell>
          <cell r="M235">
            <v>41377</v>
          </cell>
        </row>
        <row r="236">
          <cell r="C236" t="str">
            <v>6201-C06</v>
          </cell>
          <cell r="D236" t="str">
            <v>Mechanical Completion 6201-C06 Diesel drain pipe and pump 62PF005</v>
          </cell>
          <cell r="E236" t="str">
            <v>H.N10</v>
          </cell>
          <cell r="G236" t="str">
            <v>7-Day Workweek (10 hours)</v>
          </cell>
          <cell r="H236" t="str">
            <v>0d</v>
          </cell>
          <cell r="I236" t="str">
            <v>0d</v>
          </cell>
          <cell r="J236">
            <v>0</v>
          </cell>
          <cell r="K236" t="str">
            <v>As Late As Possible</v>
          </cell>
          <cell r="M236">
            <v>41379</v>
          </cell>
        </row>
        <row r="237">
          <cell r="C237" t="str">
            <v>6201-C01</v>
          </cell>
          <cell r="D237" t="str">
            <v>Mechanical Completion 6201-C01 Diesel bunker reels and storage tanks 62TB001/2, &amp; Diesel transfer Pumps 62PG001A/B</v>
          </cell>
          <cell r="E237" t="str">
            <v>H.N10</v>
          </cell>
          <cell r="G237" t="str">
            <v>7-Day Workweek (10 hours)</v>
          </cell>
          <cell r="H237" t="str">
            <v>0d</v>
          </cell>
          <cell r="I237" t="str">
            <v>0d</v>
          </cell>
          <cell r="J237">
            <v>0</v>
          </cell>
          <cell r="K237" t="str">
            <v>As Late As Possible</v>
          </cell>
          <cell r="M237">
            <v>41470</v>
          </cell>
        </row>
        <row r="238">
          <cell r="F238">
            <v>0</v>
          </cell>
          <cell r="G238" t="str">
            <v>7-Day Workweek (10 hours)</v>
          </cell>
          <cell r="H238" t="str">
            <v>53d</v>
          </cell>
          <cell r="I238" t="str">
            <v>53d</v>
          </cell>
          <cell r="J238">
            <v>0</v>
          </cell>
          <cell r="L238">
            <v>41316</v>
          </cell>
          <cell r="M238">
            <v>41359</v>
          </cell>
        </row>
        <row r="239">
          <cell r="C239" t="str">
            <v>6301-C05</v>
          </cell>
          <cell r="D239" t="str">
            <v>Mechanical Completion 6301-C05 Instrument &amp; Service Air receiver &amp; Distribution, Hull</v>
          </cell>
          <cell r="E239" t="str">
            <v>H.G20</v>
          </cell>
          <cell r="G239" t="str">
            <v>7-Day Workweek (10 hours)</v>
          </cell>
          <cell r="H239" t="str">
            <v>0d</v>
          </cell>
          <cell r="I239" t="str">
            <v>0d</v>
          </cell>
          <cell r="J239">
            <v>0</v>
          </cell>
          <cell r="K239" t="str">
            <v>As Late As Possible</v>
          </cell>
          <cell r="M239">
            <v>41316</v>
          </cell>
        </row>
        <row r="240">
          <cell r="C240" t="str">
            <v>6301-C10</v>
          </cell>
          <cell r="D240" t="str">
            <v>Mechanical Completion 6301-C10 Instrument Air Distribution, Topside</v>
          </cell>
          <cell r="E240" t="str">
            <v>T.P10</v>
          </cell>
          <cell r="G240" t="str">
            <v>7-Day Workweek (10 hours)</v>
          </cell>
          <cell r="H240" t="str">
            <v>0d</v>
          </cell>
          <cell r="I240" t="str">
            <v>0d</v>
          </cell>
          <cell r="J240">
            <v>0</v>
          </cell>
          <cell r="K240" t="str">
            <v>As Late As Possible</v>
          </cell>
          <cell r="M240">
            <v>41330</v>
          </cell>
        </row>
        <row r="241">
          <cell r="C241" t="str">
            <v>6301-C01</v>
          </cell>
          <cell r="D241" t="str">
            <v>Mechanical Completion 6301-C01 Air compressors A, 63KC001A</v>
          </cell>
          <cell r="E241" t="str">
            <v>H.G20</v>
          </cell>
          <cell r="G241" t="str">
            <v>7-Day Workweek (10 hours)</v>
          </cell>
          <cell r="H241" t="str">
            <v>0d</v>
          </cell>
          <cell r="I241" t="str">
            <v>0d</v>
          </cell>
          <cell r="J241">
            <v>0</v>
          </cell>
          <cell r="K241" t="str">
            <v>As Late As Possible</v>
          </cell>
          <cell r="M241">
            <v>41331</v>
          </cell>
        </row>
        <row r="242">
          <cell r="C242" t="str">
            <v>6301-C04</v>
          </cell>
          <cell r="D242" t="str">
            <v>Mechanical Completion 6301-C04 Air Dryers, 63XX001</v>
          </cell>
          <cell r="E242" t="str">
            <v>H.G20</v>
          </cell>
          <cell r="G242" t="str">
            <v>7-Day Workweek (10 hours)</v>
          </cell>
          <cell r="H242" t="str">
            <v>0d</v>
          </cell>
          <cell r="I242" t="str">
            <v>0d</v>
          </cell>
          <cell r="J242">
            <v>0</v>
          </cell>
          <cell r="K242" t="str">
            <v>As Late As Possible</v>
          </cell>
          <cell r="M242">
            <v>41331</v>
          </cell>
        </row>
        <row r="243">
          <cell r="C243" t="str">
            <v>6301-C02</v>
          </cell>
          <cell r="D243" t="str">
            <v>Mechanical Completion 6301-C02 Air compressors B, 63KC001B</v>
          </cell>
          <cell r="E243" t="str">
            <v>H.G20</v>
          </cell>
          <cell r="G243" t="str">
            <v>7-Day Workweek (10 hours)</v>
          </cell>
          <cell r="H243" t="str">
            <v>0d</v>
          </cell>
          <cell r="I243" t="str">
            <v>0d</v>
          </cell>
          <cell r="J243">
            <v>0</v>
          </cell>
          <cell r="K243" t="str">
            <v>As Late As Possible</v>
          </cell>
          <cell r="M243">
            <v>41335</v>
          </cell>
        </row>
        <row r="244">
          <cell r="C244" t="str">
            <v>6301-C03</v>
          </cell>
          <cell r="D244" t="str">
            <v>Mechanical Completion 6301-C03 Air compressors C, 63KC001C</v>
          </cell>
          <cell r="E244" t="str">
            <v>H.G20</v>
          </cell>
          <cell r="G244" t="str">
            <v>7-Day Workweek (10 hours)</v>
          </cell>
          <cell r="H244" t="str">
            <v>0d</v>
          </cell>
          <cell r="I244" t="str">
            <v>0d</v>
          </cell>
          <cell r="J244">
            <v>0</v>
          </cell>
          <cell r="K244" t="str">
            <v>As Late As Possible</v>
          </cell>
          <cell r="M244">
            <v>41340</v>
          </cell>
        </row>
        <row r="245">
          <cell r="C245" t="str">
            <v>6301-C06</v>
          </cell>
          <cell r="D245" t="str">
            <v>Mechanical Completion 6301-C06 Service Air Distribution, Accomodation, Helideck, North Shaft (Under Accomodation)</v>
          </cell>
          <cell r="E245" t="str">
            <v>T.L10</v>
          </cell>
          <cell r="G245" t="str">
            <v>7-Day Workweek (10 hours)</v>
          </cell>
          <cell r="H245" t="str">
            <v>0d</v>
          </cell>
          <cell r="I245" t="str">
            <v>0d</v>
          </cell>
          <cell r="J245">
            <v>0</v>
          </cell>
          <cell r="K245" t="str">
            <v>As Late As Possible</v>
          </cell>
          <cell r="M245">
            <v>41345</v>
          </cell>
        </row>
        <row r="246">
          <cell r="C246" t="str">
            <v>6301-C07</v>
          </cell>
          <cell r="D246" t="str">
            <v>Mechanical Completion 6301-C07 Service Air Distribution, Central Shaft</v>
          </cell>
          <cell r="E246" t="str">
            <v>H.G20</v>
          </cell>
          <cell r="G246" t="str">
            <v>7-Day Workweek (10 hours)</v>
          </cell>
          <cell r="H246" t="str">
            <v>0d</v>
          </cell>
          <cell r="I246" t="str">
            <v>0d</v>
          </cell>
          <cell r="J246">
            <v>0</v>
          </cell>
          <cell r="K246" t="str">
            <v>As Late As Possible</v>
          </cell>
          <cell r="M246">
            <v>41349</v>
          </cell>
        </row>
        <row r="247">
          <cell r="C247" t="str">
            <v>6301-C08</v>
          </cell>
          <cell r="D247" t="str">
            <v>Mechanical Completion 6301-C08 Service Air Distribution, Process Deck, Main Deck</v>
          </cell>
          <cell r="E247" t="str">
            <v>T.P10</v>
          </cell>
          <cell r="G247" t="str">
            <v>7-Day Workweek (10 hours)</v>
          </cell>
          <cell r="H247" t="str">
            <v>0d</v>
          </cell>
          <cell r="I247" t="str">
            <v>0d</v>
          </cell>
          <cell r="J247">
            <v>0</v>
          </cell>
          <cell r="K247" t="str">
            <v>As Late As Possible</v>
          </cell>
          <cell r="M247">
            <v>41354</v>
          </cell>
        </row>
        <row r="248">
          <cell r="C248" t="str">
            <v>6301-C09</v>
          </cell>
          <cell r="D248" t="str">
            <v>Mechanical Completion 6301-C09 Instrument Air for Breathing Connections, Hull &amp; Topside</v>
          </cell>
          <cell r="E248" t="str">
            <v>T.P10</v>
          </cell>
          <cell r="G248" t="str">
            <v>7-Day Workweek (10 hours)</v>
          </cell>
          <cell r="H248" t="str">
            <v>0d</v>
          </cell>
          <cell r="I248" t="str">
            <v>0d</v>
          </cell>
          <cell r="J248">
            <v>0</v>
          </cell>
          <cell r="K248" t="str">
            <v>As Late As Possible</v>
          </cell>
          <cell r="M248">
            <v>41359</v>
          </cell>
        </row>
        <row r="249">
          <cell r="F249">
            <v>0</v>
          </cell>
          <cell r="G249" t="str">
            <v>7-Day Workweek (10 hours)</v>
          </cell>
          <cell r="H249" t="str">
            <v>83d</v>
          </cell>
          <cell r="I249" t="str">
            <v>83d</v>
          </cell>
          <cell r="J249">
            <v>0</v>
          </cell>
          <cell r="L249">
            <v>41335</v>
          </cell>
          <cell r="M249">
            <v>41401</v>
          </cell>
        </row>
        <row r="250">
          <cell r="C250" t="str">
            <v>6401-C02</v>
          </cell>
          <cell r="D250" t="str">
            <v>Mechanical Completion 6401-C02 Nitrogen Receiver &amp; Nitrogen Distribution</v>
          </cell>
          <cell r="E250" t="str">
            <v>H.G20</v>
          </cell>
          <cell r="G250" t="str">
            <v>7-Day Workweek (10 hours)</v>
          </cell>
          <cell r="H250" t="str">
            <v>0d</v>
          </cell>
          <cell r="I250" t="str">
            <v>0d</v>
          </cell>
          <cell r="J250">
            <v>0</v>
          </cell>
          <cell r="K250" t="str">
            <v>As Late As Possible</v>
          </cell>
          <cell r="M250">
            <v>41335</v>
          </cell>
        </row>
        <row r="251">
          <cell r="C251" t="str">
            <v>6401-C01</v>
          </cell>
          <cell r="D251" t="str">
            <v>Mechanical Completion 6401-C01 Nitrogen generator, 64XY001</v>
          </cell>
          <cell r="E251" t="str">
            <v>H.G20</v>
          </cell>
          <cell r="G251" t="str">
            <v>7-Day Workweek (10 hours)</v>
          </cell>
          <cell r="H251" t="str">
            <v>0d</v>
          </cell>
          <cell r="I251" t="str">
            <v>0d</v>
          </cell>
          <cell r="J251">
            <v>0</v>
          </cell>
          <cell r="K251" t="str">
            <v>As Late As Possible</v>
          </cell>
          <cell r="M251">
            <v>41349</v>
          </cell>
        </row>
        <row r="252">
          <cell r="C252" t="str">
            <v>6401-C03</v>
          </cell>
          <cell r="D252" t="str">
            <v>Mechanical Completion 6401-C03 Nitrogen Compressor, 64KB001</v>
          </cell>
          <cell r="E252" t="str">
            <v>H.G20</v>
          </cell>
          <cell r="G252" t="str">
            <v>7-Day Workweek (10 hours)</v>
          </cell>
          <cell r="H252" t="str">
            <v>0d</v>
          </cell>
          <cell r="I252" t="str">
            <v>0d</v>
          </cell>
          <cell r="J252">
            <v>0</v>
          </cell>
          <cell r="K252" t="str">
            <v>As Late As Possible</v>
          </cell>
          <cell r="M252">
            <v>41363</v>
          </cell>
        </row>
        <row r="253">
          <cell r="C253" t="str">
            <v>6401-C06</v>
          </cell>
          <cell r="D253" t="str">
            <v>Mechanical Completion 6401-C06 Nitrogen Utility Stations</v>
          </cell>
          <cell r="E253" t="str">
            <v>T.P10</v>
          </cell>
          <cell r="G253" t="str">
            <v>7-Day Workweek (10 hours)</v>
          </cell>
          <cell r="H253" t="str">
            <v>0d</v>
          </cell>
          <cell r="I253" t="str">
            <v>0d</v>
          </cell>
          <cell r="J253">
            <v>0</v>
          </cell>
          <cell r="K253" t="str">
            <v>As Late As Possible</v>
          </cell>
          <cell r="M253">
            <v>41363</v>
          </cell>
        </row>
        <row r="254">
          <cell r="C254" t="str">
            <v>6401-C04</v>
          </cell>
          <cell r="D254" t="str">
            <v>Mechanical Completion 6401-C04 Inertgas Generator, 64XX001</v>
          </cell>
          <cell r="E254" t="str">
            <v>H.G20</v>
          </cell>
          <cell r="G254" t="str">
            <v>7-Day Workweek (10 hours)</v>
          </cell>
          <cell r="H254" t="str">
            <v>0d</v>
          </cell>
          <cell r="I254" t="str">
            <v>0d</v>
          </cell>
          <cell r="J254">
            <v>0</v>
          </cell>
          <cell r="K254" t="str">
            <v>As Late As Possible</v>
          </cell>
          <cell r="M254">
            <v>41387</v>
          </cell>
        </row>
        <row r="255">
          <cell r="C255" t="str">
            <v>6401-C05</v>
          </cell>
          <cell r="D255" t="str">
            <v>Mechanical Completion 6401-C05 Tank Vent System, Primary &amp; Secondary</v>
          </cell>
          <cell r="E255" t="str">
            <v>H.M10</v>
          </cell>
          <cell r="G255" t="str">
            <v>7-Day Workweek (10 hours)</v>
          </cell>
          <cell r="H255" t="str">
            <v>0d</v>
          </cell>
          <cell r="I255" t="str">
            <v>0d</v>
          </cell>
          <cell r="J255">
            <v>0</v>
          </cell>
          <cell r="K255" t="str">
            <v>As Late As Possible</v>
          </cell>
          <cell r="M255">
            <v>41401</v>
          </cell>
        </row>
        <row r="256">
          <cell r="F256">
            <v>0</v>
          </cell>
          <cell r="G256" t="str">
            <v>7-Day Workweek (10 hours)</v>
          </cell>
          <cell r="H256" t="str">
            <v>34d</v>
          </cell>
          <cell r="I256" t="str">
            <v>34d</v>
          </cell>
          <cell r="J256">
            <v>0</v>
          </cell>
          <cell r="L256">
            <v>41345</v>
          </cell>
          <cell r="M256">
            <v>41373</v>
          </cell>
        </row>
        <row r="257">
          <cell r="C257" t="str">
            <v>6501-C01</v>
          </cell>
          <cell r="D257" t="str">
            <v>Mechanical Completion 6501-C01 Hydraulic Skid, Pump &amp; Accumulator system, Hull</v>
          </cell>
          <cell r="E257" t="str">
            <v>H.M10</v>
          </cell>
          <cell r="G257" t="str">
            <v>7-Day Workweek (10 hours)</v>
          </cell>
          <cell r="H257" t="str">
            <v>0d</v>
          </cell>
          <cell r="I257" t="str">
            <v>0d</v>
          </cell>
          <cell r="J257">
            <v>0</v>
          </cell>
          <cell r="K257" t="str">
            <v>As Late As Possible</v>
          </cell>
          <cell r="M257">
            <v>41345</v>
          </cell>
        </row>
        <row r="258">
          <cell r="C258" t="str">
            <v>6501-C02</v>
          </cell>
          <cell r="D258" t="str">
            <v>Mechanical Completion 6501-C02 Hydraulic Accumulator system, Topside</v>
          </cell>
          <cell r="E258" t="str">
            <v>H.M10</v>
          </cell>
          <cell r="G258" t="str">
            <v>7-Day Workweek (10 hours)</v>
          </cell>
          <cell r="H258" t="str">
            <v>0d</v>
          </cell>
          <cell r="I258" t="str">
            <v>0d</v>
          </cell>
          <cell r="J258">
            <v>0</v>
          </cell>
          <cell r="K258" t="str">
            <v>As Late As Possible</v>
          </cell>
          <cell r="M258">
            <v>41345</v>
          </cell>
        </row>
        <row r="259">
          <cell r="C259" t="str">
            <v>6501-C03</v>
          </cell>
          <cell r="D259" t="str">
            <v>Mechanical Completion 6501-C03 Hydraulic supply/return, Hull</v>
          </cell>
          <cell r="E259" t="str">
            <v>H.G20</v>
          </cell>
          <cell r="G259" t="str">
            <v>7-Day Workweek (10 hours)</v>
          </cell>
          <cell r="H259" t="str">
            <v>0d</v>
          </cell>
          <cell r="I259" t="str">
            <v>0d</v>
          </cell>
          <cell r="J259">
            <v>0</v>
          </cell>
          <cell r="K259" t="str">
            <v>As Late As Possible</v>
          </cell>
          <cell r="M259">
            <v>41353</v>
          </cell>
        </row>
        <row r="260">
          <cell r="C260" t="str">
            <v>6501-C04</v>
          </cell>
          <cell r="D260" t="str">
            <v>Mechanical Completion 6501-C04 Hydraulic supply/return, Hull</v>
          </cell>
          <cell r="E260" t="str">
            <v>H.G20</v>
          </cell>
          <cell r="G260" t="str">
            <v>7-Day Workweek (10 hours)</v>
          </cell>
          <cell r="H260" t="str">
            <v>0d</v>
          </cell>
          <cell r="I260" t="str">
            <v>0d</v>
          </cell>
          <cell r="J260">
            <v>0</v>
          </cell>
          <cell r="K260" t="str">
            <v>As Late As Possible</v>
          </cell>
          <cell r="M260">
            <v>41360</v>
          </cell>
        </row>
        <row r="261">
          <cell r="C261" t="str">
            <v>6501-C05</v>
          </cell>
          <cell r="D261" t="str">
            <v>Mechanical Completion 6501-C05 Hydraulic supply/return topside west</v>
          </cell>
          <cell r="E261" t="str">
            <v>H.M10</v>
          </cell>
          <cell r="G261" t="str">
            <v>7-Day Workweek (10 hours)</v>
          </cell>
          <cell r="H261" t="str">
            <v>0d</v>
          </cell>
          <cell r="I261" t="str">
            <v>0d</v>
          </cell>
          <cell r="J261">
            <v>0</v>
          </cell>
          <cell r="K261" t="str">
            <v>As Late As Possible</v>
          </cell>
          <cell r="M261">
            <v>41368</v>
          </cell>
        </row>
        <row r="262">
          <cell r="C262" t="str">
            <v>6501-C06</v>
          </cell>
          <cell r="D262" t="str">
            <v>Mechanical Completion 6501-C06 Hydraulic supply/return topside east</v>
          </cell>
          <cell r="E262" t="str">
            <v>H.M10</v>
          </cell>
          <cell r="G262" t="str">
            <v>7-Day Workweek (10 hours)</v>
          </cell>
          <cell r="H262" t="str">
            <v>0d</v>
          </cell>
          <cell r="I262" t="str">
            <v>0d</v>
          </cell>
          <cell r="J262">
            <v>0</v>
          </cell>
          <cell r="K262" t="str">
            <v>As Late As Possible</v>
          </cell>
          <cell r="M262">
            <v>41373</v>
          </cell>
        </row>
        <row r="263">
          <cell r="F263">
            <v>0</v>
          </cell>
          <cell r="G263" t="str">
            <v>7-Day Workweek (10 hours)</v>
          </cell>
          <cell r="H263" t="str">
            <v>0d</v>
          </cell>
          <cell r="I263" t="str">
            <v>0d</v>
          </cell>
          <cell r="J263">
            <v>0</v>
          </cell>
          <cell r="L263">
            <v>41516</v>
          </cell>
          <cell r="M263">
            <v>41516</v>
          </cell>
        </row>
        <row r="264">
          <cell r="C264" t="str">
            <v>6601-C01</v>
          </cell>
          <cell r="D264" t="str">
            <v>Mechanical Completion 6601-C01 Sewage Treatment, Vacuum Unit HQ86</v>
          </cell>
          <cell r="E264" t="str">
            <v>H.N10</v>
          </cell>
          <cell r="G264" t="str">
            <v>7-Day Workweek (10 hours)</v>
          </cell>
          <cell r="H264" t="str">
            <v>0d</v>
          </cell>
          <cell r="I264" t="str">
            <v>0d</v>
          </cell>
          <cell r="J264">
            <v>0</v>
          </cell>
          <cell r="K264" t="str">
            <v>As Late As Possible</v>
          </cell>
          <cell r="M264">
            <v>41516</v>
          </cell>
        </row>
        <row r="265">
          <cell r="C265" t="str">
            <v>6601-C02</v>
          </cell>
          <cell r="D265" t="str">
            <v>Mechanical Completion 6601-C02 Sewage System LQ</v>
          </cell>
          <cell r="E265" t="str">
            <v>T.L10</v>
          </cell>
          <cell r="G265" t="str">
            <v>7-Day Workweek (10 hours)</v>
          </cell>
          <cell r="H265" t="str">
            <v>0d</v>
          </cell>
          <cell r="I265" t="str">
            <v>0d</v>
          </cell>
          <cell r="J265">
            <v>0</v>
          </cell>
          <cell r="K265" t="str">
            <v>As Late As Possible</v>
          </cell>
          <cell r="M265">
            <v>41516</v>
          </cell>
        </row>
        <row r="266">
          <cell r="F266">
            <v>0</v>
          </cell>
          <cell r="G266" t="str">
            <v>7-Day Workweek (10 hours)</v>
          </cell>
          <cell r="H266" t="str">
            <v>85d</v>
          </cell>
          <cell r="I266" t="str">
            <v>85d</v>
          </cell>
          <cell r="J266">
            <v>0</v>
          </cell>
          <cell r="L266">
            <v>41447</v>
          </cell>
          <cell r="M266">
            <v>41516</v>
          </cell>
        </row>
        <row r="267">
          <cell r="C267" t="str">
            <v>7004-C01</v>
          </cell>
          <cell r="D267" t="str">
            <v>Mechanical Completion 7004-C01 Panel 70JC001/002 F&amp;G Node 70 (LER)</v>
          </cell>
          <cell r="E267" t="str">
            <v>T.Q30</v>
          </cell>
          <cell r="G267" t="str">
            <v>7-Day Workweek (10 hours)</v>
          </cell>
          <cell r="H267" t="str">
            <v>0d</v>
          </cell>
          <cell r="I267" t="str">
            <v>0d</v>
          </cell>
          <cell r="J267">
            <v>0</v>
          </cell>
          <cell r="K267" t="str">
            <v>As Late As Possible</v>
          </cell>
          <cell r="M267">
            <v>41447</v>
          </cell>
        </row>
        <row r="268">
          <cell r="C268" t="str">
            <v>7004-C02</v>
          </cell>
          <cell r="D268" t="str">
            <v>Mechanical Completion 7004-C02 Panel 70JC003/004 F&amp;G Node 72 (LER)</v>
          </cell>
          <cell r="E268" t="str">
            <v>T.Q30</v>
          </cell>
          <cell r="G268" t="str">
            <v>7-Day Workweek (10 hours)</v>
          </cell>
          <cell r="H268" t="str">
            <v>0d</v>
          </cell>
          <cell r="I268" t="str">
            <v>0d</v>
          </cell>
          <cell r="J268">
            <v>0</v>
          </cell>
          <cell r="K268" t="str">
            <v>As Late As Possible</v>
          </cell>
          <cell r="M268">
            <v>41447</v>
          </cell>
        </row>
        <row r="269">
          <cell r="C269" t="str">
            <v>7004-C03</v>
          </cell>
          <cell r="D269" t="str">
            <v>Mechanical Completion 7004-C03 Panel 70JC005/006 F&amp;G Node 73 (LER)</v>
          </cell>
          <cell r="E269" t="str">
            <v>T.Q30</v>
          </cell>
          <cell r="G269" t="str">
            <v>7-Day Workweek (10 hours)</v>
          </cell>
          <cell r="H269" t="str">
            <v>0d</v>
          </cell>
          <cell r="I269" t="str">
            <v>0d</v>
          </cell>
          <cell r="J269">
            <v>0</v>
          </cell>
          <cell r="K269" t="str">
            <v>As Late As Possible</v>
          </cell>
          <cell r="M269">
            <v>41452</v>
          </cell>
        </row>
        <row r="270">
          <cell r="C270" t="str">
            <v>7004-C04</v>
          </cell>
          <cell r="D270" t="str">
            <v>Mechanical Completion 7004-C04 Panel 70JC007/008 F&amp;G Node 74 (LER)</v>
          </cell>
          <cell r="E270" t="str">
            <v>T.Q30</v>
          </cell>
          <cell r="G270" t="str">
            <v>7-Day Workweek (10 hours)</v>
          </cell>
          <cell r="H270" t="str">
            <v>0d</v>
          </cell>
          <cell r="I270" t="str">
            <v>0d</v>
          </cell>
          <cell r="J270">
            <v>0</v>
          </cell>
          <cell r="K270" t="str">
            <v>As Late As Possible</v>
          </cell>
          <cell r="M270">
            <v>41452</v>
          </cell>
        </row>
        <row r="271">
          <cell r="C271" t="str">
            <v>7004-C05</v>
          </cell>
          <cell r="D271" t="str">
            <v>Mechanical Completion 7004-C05 Panel 70JC010/011 F&amp;G Node 75 (LER)</v>
          </cell>
          <cell r="E271" t="str">
            <v>T.Q30</v>
          </cell>
          <cell r="G271" t="str">
            <v>7-Day Workweek (10 hours)</v>
          </cell>
          <cell r="H271" t="str">
            <v>0d</v>
          </cell>
          <cell r="I271" t="str">
            <v>0d</v>
          </cell>
          <cell r="J271">
            <v>0</v>
          </cell>
          <cell r="K271" t="str">
            <v>As Late As Possible</v>
          </cell>
          <cell r="M271">
            <v>41456</v>
          </cell>
        </row>
        <row r="272">
          <cell r="C272" t="str">
            <v>7004-C06</v>
          </cell>
          <cell r="D272" t="str">
            <v>Mechanical Completion 7004-C06 Panel 70JC012/013 F&amp;G Node 76 (LER)</v>
          </cell>
          <cell r="E272" t="str">
            <v>T.Q30</v>
          </cell>
          <cell r="G272" t="str">
            <v>7-Day Workweek (10 hours)</v>
          </cell>
          <cell r="H272" t="str">
            <v>0d</v>
          </cell>
          <cell r="I272" t="str">
            <v>0d</v>
          </cell>
          <cell r="J272">
            <v>0</v>
          </cell>
          <cell r="K272" t="str">
            <v>As Late As Possible</v>
          </cell>
          <cell r="M272">
            <v>41456</v>
          </cell>
        </row>
        <row r="273">
          <cell r="C273" t="str">
            <v>7004-C07</v>
          </cell>
          <cell r="D273" t="str">
            <v>Mechanical Completion 7004-C07 Panel 70JC014/015 F&amp;G Node 77 (LER)</v>
          </cell>
          <cell r="E273" t="str">
            <v>T.Q30</v>
          </cell>
          <cell r="G273" t="str">
            <v>7-Day Workweek (10 hours)</v>
          </cell>
          <cell r="H273" t="str">
            <v>0d</v>
          </cell>
          <cell r="I273" t="str">
            <v>0d</v>
          </cell>
          <cell r="J273">
            <v>0</v>
          </cell>
          <cell r="K273" t="str">
            <v>As Late As Possible</v>
          </cell>
          <cell r="M273">
            <v>41459</v>
          </cell>
        </row>
        <row r="274">
          <cell r="C274" t="str">
            <v>7004-C08</v>
          </cell>
          <cell r="D274" t="str">
            <v>Mechanical Completion 7004-C08 Panel 70JC016 F&amp;G Node 78 (LQ) (LER)</v>
          </cell>
          <cell r="E274" t="str">
            <v>T.Q30</v>
          </cell>
          <cell r="G274" t="str">
            <v>7-Day Workweek (10 hours)</v>
          </cell>
          <cell r="H274" t="str">
            <v>0d</v>
          </cell>
          <cell r="I274" t="str">
            <v>0d</v>
          </cell>
          <cell r="J274">
            <v>0</v>
          </cell>
          <cell r="K274" t="str">
            <v>As Late As Possible</v>
          </cell>
          <cell r="M274">
            <v>41459</v>
          </cell>
        </row>
        <row r="275">
          <cell r="C275" t="str">
            <v>7004-C09</v>
          </cell>
          <cell r="D275" t="str">
            <v>Mechanical Completion 7004-C09 Panel 70JC018 F&amp;G Node 71 (LQ) (CER)</v>
          </cell>
          <cell r="E275" t="str">
            <v>T.Q30</v>
          </cell>
          <cell r="G275" t="str">
            <v>7-Day Workweek (10 hours)</v>
          </cell>
          <cell r="H275" t="str">
            <v>0d</v>
          </cell>
          <cell r="I275" t="str">
            <v>0d</v>
          </cell>
          <cell r="J275">
            <v>0</v>
          </cell>
          <cell r="K275" t="str">
            <v>As Late As Possible</v>
          </cell>
          <cell r="M275">
            <v>41463</v>
          </cell>
        </row>
        <row r="276">
          <cell r="C276" t="str">
            <v>7004-C10</v>
          </cell>
          <cell r="D276" t="str">
            <v>Mechanical Completion 7004-C10 Panel 70JX001 F&amp;G Visual Flame Detection  (LER)</v>
          </cell>
          <cell r="E276" t="str">
            <v>T.Q30</v>
          </cell>
          <cell r="G276" t="str">
            <v>7-Day Workweek (10 hours)</v>
          </cell>
          <cell r="H276" t="str">
            <v>0d</v>
          </cell>
          <cell r="I276" t="str">
            <v>0d</v>
          </cell>
          <cell r="J276">
            <v>0</v>
          </cell>
          <cell r="K276" t="str">
            <v>As Late As Possible</v>
          </cell>
          <cell r="M276">
            <v>41463</v>
          </cell>
        </row>
        <row r="277">
          <cell r="C277" t="str">
            <v>7001-C01</v>
          </cell>
          <cell r="D277" t="str">
            <v>Mechanical Completion 7001-C01 Fire zone G10A Hull Center shaft Outer</v>
          </cell>
          <cell r="E277" t="str">
            <v>H.G10</v>
          </cell>
          <cell r="G277" t="str">
            <v>7-Day Workweek (10 hours)</v>
          </cell>
          <cell r="H277" t="str">
            <v>0d</v>
          </cell>
          <cell r="I277" t="str">
            <v>0d</v>
          </cell>
          <cell r="J277">
            <v>0</v>
          </cell>
          <cell r="K277" t="str">
            <v>As Late As Possible</v>
          </cell>
          <cell r="M277">
            <v>41466</v>
          </cell>
        </row>
        <row r="278">
          <cell r="C278" t="str">
            <v>7002-C01</v>
          </cell>
          <cell r="D278" t="str">
            <v>Mechanical Completion 7002-C01 Fire zone D10A Offloading Station</v>
          </cell>
          <cell r="E278" t="str">
            <v>T.D10</v>
          </cell>
          <cell r="G278" t="str">
            <v>7-Day Workweek (10 hours)</v>
          </cell>
          <cell r="H278" t="str">
            <v>0d</v>
          </cell>
          <cell r="I278" t="str">
            <v>0d</v>
          </cell>
          <cell r="J278">
            <v>0</v>
          </cell>
          <cell r="K278" t="str">
            <v>As Late As Possible</v>
          </cell>
          <cell r="M278">
            <v>41466</v>
          </cell>
        </row>
        <row r="279">
          <cell r="C279" t="str">
            <v>7002-C48</v>
          </cell>
          <cell r="D279" t="str">
            <v>Mechanical Completion 7002-C48 Fire zone Q32C LER &amp; Battery Rooms</v>
          </cell>
          <cell r="E279" t="str">
            <v>T.Q30.Q32</v>
          </cell>
          <cell r="G279" t="str">
            <v>7-Day Workweek (10 hours)</v>
          </cell>
          <cell r="H279" t="str">
            <v>0d</v>
          </cell>
          <cell r="I279" t="str">
            <v>0d</v>
          </cell>
          <cell r="J279">
            <v>0</v>
          </cell>
          <cell r="K279" t="str">
            <v>As Late As Possible</v>
          </cell>
          <cell r="M279">
            <v>41466</v>
          </cell>
        </row>
        <row r="280">
          <cell r="C280" t="str">
            <v>7002-C49</v>
          </cell>
          <cell r="D280" t="str">
            <v>Mechanical Completion 7002-C49 Fire zone Q32D UPS &amp; Battery Room</v>
          </cell>
          <cell r="E280" t="str">
            <v>T.Q30.Q32</v>
          </cell>
          <cell r="G280" t="str">
            <v>7-Day Workweek (10 hours)</v>
          </cell>
          <cell r="H280" t="str">
            <v>0d</v>
          </cell>
          <cell r="I280" t="str">
            <v>0d</v>
          </cell>
          <cell r="J280">
            <v>0</v>
          </cell>
          <cell r="K280" t="str">
            <v>As Late As Possible</v>
          </cell>
          <cell r="M280">
            <v>41466</v>
          </cell>
        </row>
        <row r="281">
          <cell r="C281" t="str">
            <v>7002-C50</v>
          </cell>
          <cell r="D281" t="str">
            <v>Mechanical Completion 7002-C50 Fire zone Q32E Corridors, Offices &amp; Laydown Area</v>
          </cell>
          <cell r="E281" t="str">
            <v>T.Q30.Q32</v>
          </cell>
          <cell r="G281" t="str">
            <v>7-Day Workweek (10 hours)</v>
          </cell>
          <cell r="H281" t="str">
            <v>0d</v>
          </cell>
          <cell r="I281" t="str">
            <v>0d</v>
          </cell>
          <cell r="J281">
            <v>0</v>
          </cell>
          <cell r="K281" t="str">
            <v>As Late As Possible</v>
          </cell>
          <cell r="M281">
            <v>41466</v>
          </cell>
        </row>
        <row r="282">
          <cell r="C282" t="str">
            <v>7003-C01</v>
          </cell>
          <cell r="D282" t="str">
            <v>Mechanical Completion 7003-C01 Fire zone L11A Gymnasium &amp; Cinema</v>
          </cell>
          <cell r="E282" t="str">
            <v>T.L10.L11</v>
          </cell>
          <cell r="G282" t="str">
            <v>7-Day Workweek (10 hours)</v>
          </cell>
          <cell r="H282" t="str">
            <v>0d</v>
          </cell>
          <cell r="I282" t="str">
            <v>0d</v>
          </cell>
          <cell r="J282">
            <v>0</v>
          </cell>
          <cell r="K282" t="str">
            <v>As Late As Possible</v>
          </cell>
          <cell r="M282">
            <v>41466</v>
          </cell>
        </row>
        <row r="283">
          <cell r="C283" t="str">
            <v>7003-C02</v>
          </cell>
          <cell r="D283" t="str">
            <v>Mechanical Completion 7003-C02 Fire zone L11B HVAC Plant Room</v>
          </cell>
          <cell r="E283" t="str">
            <v>T.L10.L11</v>
          </cell>
          <cell r="G283" t="str">
            <v>7-Day Workweek (10 hours)</v>
          </cell>
          <cell r="H283" t="str">
            <v>0d</v>
          </cell>
          <cell r="I283" t="str">
            <v>0d</v>
          </cell>
          <cell r="J283">
            <v>0</v>
          </cell>
          <cell r="K283" t="str">
            <v>As Late As Possible</v>
          </cell>
          <cell r="M283">
            <v>41466</v>
          </cell>
        </row>
        <row r="284">
          <cell r="C284" t="str">
            <v>7005-C01</v>
          </cell>
          <cell r="D284" t="str">
            <v>Mechanical Completion 7005-C01 Gas Detection Cabinets</v>
          </cell>
          <cell r="E284" t="str">
            <v>H.M10</v>
          </cell>
          <cell r="G284" t="str">
            <v>7-Day Workweek (10 hours)</v>
          </cell>
          <cell r="H284" t="str">
            <v>0d</v>
          </cell>
          <cell r="I284" t="str">
            <v>0d</v>
          </cell>
          <cell r="J284">
            <v>0</v>
          </cell>
          <cell r="K284" t="str">
            <v>As Late As Possible</v>
          </cell>
          <cell r="M284">
            <v>41466</v>
          </cell>
        </row>
        <row r="285">
          <cell r="C285" t="str">
            <v>7004-C11</v>
          </cell>
          <cell r="D285" t="str">
            <v>Mechanical Completion 7004-C11 Panel 70JC020/021 F&amp;G Node 79 (Hull) (LER)</v>
          </cell>
          <cell r="E285" t="str">
            <v>T.Q30</v>
          </cell>
          <cell r="G285" t="str">
            <v>7-Day Workweek (10 hours)</v>
          </cell>
          <cell r="H285" t="str">
            <v>0d</v>
          </cell>
          <cell r="I285" t="str">
            <v>0d</v>
          </cell>
          <cell r="J285">
            <v>0</v>
          </cell>
          <cell r="K285" t="str">
            <v>As Late As Possible</v>
          </cell>
          <cell r="M285">
            <v>41466</v>
          </cell>
        </row>
        <row r="286">
          <cell r="C286" t="str">
            <v>7003-C03</v>
          </cell>
          <cell r="D286" t="str">
            <v>Mechanical Completion 7003-C03 Fire zone L11C Dirty Staircase</v>
          </cell>
          <cell r="E286" t="str">
            <v>T.L10.L11</v>
          </cell>
          <cell r="G286" t="str">
            <v>7-Day Workweek (10 hours)</v>
          </cell>
          <cell r="H286" t="str">
            <v>0d</v>
          </cell>
          <cell r="I286" t="str">
            <v>0d</v>
          </cell>
          <cell r="J286">
            <v>0</v>
          </cell>
          <cell r="K286" t="str">
            <v>As Late As Possible</v>
          </cell>
          <cell r="M286">
            <v>41470</v>
          </cell>
        </row>
        <row r="287">
          <cell r="C287" t="str">
            <v>7002-C03</v>
          </cell>
          <cell r="D287" t="str">
            <v>Mechanical Completion 7002-C03 FFire zone F20A Flare tower stack area</v>
          </cell>
          <cell r="E287" t="str">
            <v>T.F10</v>
          </cell>
          <cell r="G287" t="str">
            <v>7-Day Workweek (10 hours)</v>
          </cell>
          <cell r="H287" t="str">
            <v>0d</v>
          </cell>
          <cell r="I287" t="str">
            <v>0d</v>
          </cell>
          <cell r="J287">
            <v>0</v>
          </cell>
          <cell r="K287" t="str">
            <v>As Late As Possible</v>
          </cell>
          <cell r="M287">
            <v>41471</v>
          </cell>
        </row>
        <row r="288">
          <cell r="C288" t="str">
            <v>7002-C04</v>
          </cell>
          <cell r="D288" t="str">
            <v>Mechanical Completion 7002-C04 Fire zone M10A Cargo Tank Top North West</v>
          </cell>
          <cell r="E288" t="str">
            <v>H.M10</v>
          </cell>
          <cell r="G288" t="str">
            <v>7-Day Workweek (10 hours)</v>
          </cell>
          <cell r="H288" t="str">
            <v>0d</v>
          </cell>
          <cell r="I288" t="str">
            <v>0d</v>
          </cell>
          <cell r="J288">
            <v>0</v>
          </cell>
          <cell r="K288" t="str">
            <v>As Late As Possible</v>
          </cell>
          <cell r="M288">
            <v>41471</v>
          </cell>
        </row>
        <row r="289">
          <cell r="C289" t="str">
            <v>7003-C04</v>
          </cell>
          <cell r="D289" t="str">
            <v>Mechanical Completion 7003-C04 Fire zone L11D Main Staircase</v>
          </cell>
          <cell r="E289" t="str">
            <v>T.L10.L11</v>
          </cell>
          <cell r="G289" t="str">
            <v>7-Day Workweek (10 hours)</v>
          </cell>
          <cell r="H289" t="str">
            <v>0d</v>
          </cell>
          <cell r="I289" t="str">
            <v>0d</v>
          </cell>
          <cell r="J289">
            <v>0</v>
          </cell>
          <cell r="K289" t="str">
            <v>As Late As Possible</v>
          </cell>
          <cell r="M289">
            <v>41471</v>
          </cell>
        </row>
        <row r="290">
          <cell r="C290" t="str">
            <v>7003-C20</v>
          </cell>
          <cell r="D290" t="str">
            <v>Mechanical Completion 7003-C20 Fire zone L17C Battery Room</v>
          </cell>
          <cell r="E290" t="str">
            <v>T.L10.L17</v>
          </cell>
          <cell r="G290" t="str">
            <v>7-Day Workweek (10 hours)</v>
          </cell>
          <cell r="H290" t="str">
            <v>0d</v>
          </cell>
          <cell r="I290" t="str">
            <v>0d</v>
          </cell>
          <cell r="J290">
            <v>0</v>
          </cell>
          <cell r="K290" t="str">
            <v>As Late As Possible</v>
          </cell>
          <cell r="M290">
            <v>41471</v>
          </cell>
        </row>
        <row r="291">
          <cell r="C291" t="str">
            <v>7002-C52</v>
          </cell>
          <cell r="D291" t="str">
            <v>Mechanical Completion 7002-C52 Fire zone Q33B Fire Pump Generator</v>
          </cell>
          <cell r="E291" t="str">
            <v>T.Q30.Q33</v>
          </cell>
          <cell r="G291" t="str">
            <v>7-Day Workweek (10 hours)</v>
          </cell>
          <cell r="H291" t="str">
            <v>0d</v>
          </cell>
          <cell r="I291" t="str">
            <v>0d</v>
          </cell>
          <cell r="J291">
            <v>0</v>
          </cell>
          <cell r="K291" t="str">
            <v>As Late As Possible</v>
          </cell>
          <cell r="M291">
            <v>41471</v>
          </cell>
        </row>
        <row r="292">
          <cell r="C292" t="str">
            <v>7002-C51</v>
          </cell>
          <cell r="D292" t="str">
            <v>Mechanical Completion 7002-C51 Fire zone Q33A Fire Pump Generator Room</v>
          </cell>
          <cell r="E292" t="str">
            <v>T.Q30.Q33</v>
          </cell>
          <cell r="G292" t="str">
            <v>7-Day Workweek (10 hours)</v>
          </cell>
          <cell r="H292" t="str">
            <v>0d</v>
          </cell>
          <cell r="I292" t="str">
            <v>0d</v>
          </cell>
          <cell r="J292">
            <v>0</v>
          </cell>
          <cell r="K292" t="str">
            <v>As Late As Possible</v>
          </cell>
          <cell r="M292">
            <v>41471</v>
          </cell>
        </row>
        <row r="293">
          <cell r="C293" t="str">
            <v>7002-C53</v>
          </cell>
          <cell r="D293" t="str">
            <v>Mechanical Completion 7002-C53 Fire zone Q33C ASDS Swrm and Transformers</v>
          </cell>
          <cell r="E293" t="str">
            <v>T.Q30.Q33</v>
          </cell>
          <cell r="G293" t="str">
            <v>7-Day Workweek (10 hours)</v>
          </cell>
          <cell r="H293" t="str">
            <v>0d</v>
          </cell>
          <cell r="I293" t="str">
            <v>0d</v>
          </cell>
          <cell r="J293">
            <v>0</v>
          </cell>
          <cell r="K293" t="str">
            <v>As Late As Possible</v>
          </cell>
          <cell r="M293">
            <v>41471</v>
          </cell>
        </row>
        <row r="294">
          <cell r="C294" t="str">
            <v>7002-C54</v>
          </cell>
          <cell r="D294" t="str">
            <v>Mechanical Completion 7002-C54 Fire zone Q33D Fire Pump Generator</v>
          </cell>
          <cell r="E294" t="str">
            <v>T.Q30.Q33</v>
          </cell>
          <cell r="G294" t="str">
            <v>7-Day Workweek (10 hours)</v>
          </cell>
          <cell r="H294" t="str">
            <v>0d</v>
          </cell>
          <cell r="I294" t="str">
            <v>0d</v>
          </cell>
          <cell r="J294">
            <v>0</v>
          </cell>
          <cell r="K294" t="str">
            <v>As Late As Possible</v>
          </cell>
          <cell r="M294">
            <v>41471</v>
          </cell>
        </row>
        <row r="295">
          <cell r="C295" t="str">
            <v>7001-C02</v>
          </cell>
          <cell r="D295" t="str">
            <v>Mechanical Completion 7001-C02 Fire zone G12A Cargo Pump Room Center shaft</v>
          </cell>
          <cell r="E295" t="str">
            <v>H.G10.G12</v>
          </cell>
          <cell r="G295" t="str">
            <v>7-Day Workweek (10 hours)</v>
          </cell>
          <cell r="H295" t="str">
            <v>0d</v>
          </cell>
          <cell r="I295" t="str">
            <v>0d</v>
          </cell>
          <cell r="J295">
            <v>0</v>
          </cell>
          <cell r="K295" t="str">
            <v>As Late As Possible</v>
          </cell>
          <cell r="M295">
            <v>41472</v>
          </cell>
        </row>
        <row r="296">
          <cell r="C296" t="str">
            <v>7003-C21</v>
          </cell>
          <cell r="D296" t="str">
            <v>Mechanical Completion 7003-C21 Fire zone L17D Stores</v>
          </cell>
          <cell r="E296" t="str">
            <v>T.L10.L17</v>
          </cell>
          <cell r="G296" t="str">
            <v>7-Day Workweek (10 hours)</v>
          </cell>
          <cell r="H296" t="str">
            <v>0d</v>
          </cell>
          <cell r="I296" t="str">
            <v>0d</v>
          </cell>
          <cell r="J296">
            <v>0</v>
          </cell>
          <cell r="K296" t="str">
            <v>As Late As Possible</v>
          </cell>
          <cell r="M296">
            <v>41472</v>
          </cell>
        </row>
        <row r="297">
          <cell r="C297" t="str">
            <v>7003-C22</v>
          </cell>
          <cell r="D297" t="str">
            <v>Mechanical Completion 7003-C22 Fire zone L18A Helideck Control Cabin</v>
          </cell>
          <cell r="E297" t="str">
            <v>T.L10.L18</v>
          </cell>
          <cell r="G297" t="str">
            <v>7-Day Workweek (10 hours)</v>
          </cell>
          <cell r="H297" t="str">
            <v>0d</v>
          </cell>
          <cell r="I297" t="str">
            <v>0d</v>
          </cell>
          <cell r="J297">
            <v>0</v>
          </cell>
          <cell r="K297" t="str">
            <v>As Late As Possible</v>
          </cell>
          <cell r="M297">
            <v>41474</v>
          </cell>
        </row>
        <row r="298">
          <cell r="C298" t="str">
            <v>7002-C76</v>
          </cell>
          <cell r="D298" t="str">
            <v>Mechanical Completion 7002-C76 Fire zone Q32F UPS &amp; UPS battery Room</v>
          </cell>
          <cell r="E298" t="str">
            <v>T.Q30.Q32</v>
          </cell>
          <cell r="G298" t="str">
            <v>7-Day Workweek (10 hours)</v>
          </cell>
          <cell r="H298" t="str">
            <v>0d</v>
          </cell>
          <cell r="I298" t="str">
            <v>0d</v>
          </cell>
          <cell r="J298">
            <v>0</v>
          </cell>
          <cell r="K298" t="str">
            <v>As Late As Possible</v>
          </cell>
          <cell r="M298">
            <v>41474</v>
          </cell>
        </row>
        <row r="299">
          <cell r="C299" t="str">
            <v>7003-C05</v>
          </cell>
          <cell r="D299" t="str">
            <v>Mechanical Completion 7003-C05 Fire zone L11E West Staircase</v>
          </cell>
          <cell r="E299" t="str">
            <v>T.L10.L11</v>
          </cell>
          <cell r="G299" t="str">
            <v>7-Day Workweek (10 hours)</v>
          </cell>
          <cell r="H299" t="str">
            <v>0d</v>
          </cell>
          <cell r="I299" t="str">
            <v>0d</v>
          </cell>
          <cell r="J299">
            <v>0</v>
          </cell>
          <cell r="K299" t="str">
            <v>As Late As Possible</v>
          </cell>
          <cell r="M299">
            <v>41475</v>
          </cell>
        </row>
        <row r="300">
          <cell r="C300" t="str">
            <v>7001-C20</v>
          </cell>
          <cell r="D300" t="str">
            <v>Mechanical Completion 7001-C20 F&amp;G Junction Boxes and Multicore cables Hull</v>
          </cell>
          <cell r="E300" t="str">
            <v>H.G20</v>
          </cell>
          <cell r="G300" t="str">
            <v>7-Day Workweek (10 hours)</v>
          </cell>
          <cell r="H300" t="str">
            <v>0d</v>
          </cell>
          <cell r="I300" t="str">
            <v>0d</v>
          </cell>
          <cell r="J300">
            <v>0</v>
          </cell>
          <cell r="K300" t="str">
            <v>As Late As Possible</v>
          </cell>
          <cell r="M300">
            <v>41477</v>
          </cell>
        </row>
        <row r="301">
          <cell r="C301" t="str">
            <v>7002-C78</v>
          </cell>
          <cell r="D301" t="str">
            <v>Mechanical Completion 7002-C78 F&amp;G Junction Boxes and Multicore cables Topside</v>
          </cell>
          <cell r="E301" t="str">
            <v>T.Q30</v>
          </cell>
          <cell r="G301" t="str">
            <v>7-Day Workweek (10 hours)</v>
          </cell>
          <cell r="H301" t="str">
            <v>0d</v>
          </cell>
          <cell r="I301" t="str">
            <v>0d</v>
          </cell>
          <cell r="J301">
            <v>0</v>
          </cell>
          <cell r="K301" t="str">
            <v>As Late As Possible</v>
          </cell>
          <cell r="M301">
            <v>41477</v>
          </cell>
        </row>
        <row r="302">
          <cell r="C302" t="str">
            <v>7003-C28</v>
          </cell>
          <cell r="D302" t="str">
            <v>Mechanical Completion 7003-C28 F&amp;G Junction Boxes and Multicore cables LQ</v>
          </cell>
          <cell r="E302" t="str">
            <v>T.L10.L17</v>
          </cell>
          <cell r="G302" t="str">
            <v>7-Day Workweek (10 hours)</v>
          </cell>
          <cell r="H302" t="str">
            <v>0d</v>
          </cell>
          <cell r="I302" t="str">
            <v>0d</v>
          </cell>
          <cell r="J302">
            <v>0</v>
          </cell>
          <cell r="K302" t="str">
            <v>As Late As Possible</v>
          </cell>
          <cell r="M302">
            <v>41477</v>
          </cell>
        </row>
        <row r="303">
          <cell r="C303" t="str">
            <v>7002-C55</v>
          </cell>
          <cell r="D303" t="str">
            <v>Mechanical Completion 7002-C55 Fire zone Q33E Fire Pump Generator</v>
          </cell>
          <cell r="E303" t="str">
            <v>T.Q30.Q33</v>
          </cell>
          <cell r="G303" t="str">
            <v>7-Day Workweek (10 hours)</v>
          </cell>
          <cell r="H303" t="str">
            <v>0d</v>
          </cell>
          <cell r="I303" t="str">
            <v>0d</v>
          </cell>
          <cell r="J303">
            <v>0</v>
          </cell>
          <cell r="K303" t="str">
            <v>As Late As Possible</v>
          </cell>
          <cell r="M303">
            <v>41477</v>
          </cell>
        </row>
        <row r="304">
          <cell r="C304" t="str">
            <v>7002-C56</v>
          </cell>
          <cell r="D304" t="str">
            <v>Mechanical Completion 7002-C56 Fire zone Q33F Corridors &amp; Muster Area</v>
          </cell>
          <cell r="E304" t="str">
            <v>T.Q30.Q33</v>
          </cell>
          <cell r="G304" t="str">
            <v>7-Day Workweek (10 hours)</v>
          </cell>
          <cell r="H304" t="str">
            <v>0d</v>
          </cell>
          <cell r="I304" t="str">
            <v>0d</v>
          </cell>
          <cell r="J304">
            <v>0</v>
          </cell>
          <cell r="K304" t="str">
            <v>As Late As Possible</v>
          </cell>
          <cell r="M304">
            <v>41477</v>
          </cell>
        </row>
        <row r="305">
          <cell r="C305" t="str">
            <v>7002-C57</v>
          </cell>
          <cell r="D305" t="str">
            <v>Mechanical Completion 7002-C57 Fire zone Q34A Switchroom and Transformers</v>
          </cell>
          <cell r="E305" t="str">
            <v>T.Q30.Q34</v>
          </cell>
          <cell r="G305" t="str">
            <v>7-Day Workweek (10 hours)</v>
          </cell>
          <cell r="H305" t="str">
            <v>0d</v>
          </cell>
          <cell r="I305" t="str">
            <v>0d</v>
          </cell>
          <cell r="J305">
            <v>0</v>
          </cell>
          <cell r="K305" t="str">
            <v>As Late As Possible</v>
          </cell>
          <cell r="M305">
            <v>41477</v>
          </cell>
        </row>
        <row r="306">
          <cell r="C306" t="str">
            <v>7002-C58</v>
          </cell>
          <cell r="D306" t="str">
            <v>Mechanical Completion 7002-C58 Fire zone Q34B Corridors &amp; Spare Rooms</v>
          </cell>
          <cell r="E306" t="str">
            <v>T.Q30.Q34</v>
          </cell>
          <cell r="G306" t="str">
            <v>7-Day Workweek (10 hours)</v>
          </cell>
          <cell r="H306" t="str">
            <v>0d</v>
          </cell>
          <cell r="I306" t="str">
            <v>0d</v>
          </cell>
          <cell r="J306">
            <v>0</v>
          </cell>
          <cell r="K306" t="str">
            <v>As Late As Possible</v>
          </cell>
          <cell r="M306">
            <v>41477</v>
          </cell>
        </row>
        <row r="307">
          <cell r="C307" t="str">
            <v>7002-C59</v>
          </cell>
          <cell r="D307" t="str">
            <v>Mechanical Completion 7002-C59 Fire zone Q35A Weather Deck East</v>
          </cell>
          <cell r="E307" t="str">
            <v>T.Q30.Q35</v>
          </cell>
          <cell r="G307" t="str">
            <v>7-Day Workweek (10 hours)</v>
          </cell>
          <cell r="H307" t="str">
            <v>0d</v>
          </cell>
          <cell r="I307" t="str">
            <v>0d</v>
          </cell>
          <cell r="J307">
            <v>0</v>
          </cell>
          <cell r="K307" t="str">
            <v>As Late As Possible</v>
          </cell>
          <cell r="M307">
            <v>41477</v>
          </cell>
        </row>
        <row r="308">
          <cell r="C308" t="str">
            <v>7002-C60</v>
          </cell>
          <cell r="D308" t="str">
            <v>Mechanical Completion 7002-C60 Fire zone Q35B East Crane 59MA001</v>
          </cell>
          <cell r="E308" t="str">
            <v>T.Q30.Q35</v>
          </cell>
          <cell r="G308" t="str">
            <v>7-Day Workweek (10 hours)</v>
          </cell>
          <cell r="H308" t="str">
            <v>0d</v>
          </cell>
          <cell r="I308" t="str">
            <v>0d</v>
          </cell>
          <cell r="J308">
            <v>0</v>
          </cell>
          <cell r="K308" t="str">
            <v>As Late As Possible</v>
          </cell>
          <cell r="M308">
            <v>41477</v>
          </cell>
        </row>
        <row r="309">
          <cell r="C309" t="str">
            <v>7002-C77</v>
          </cell>
          <cell r="D309" t="str">
            <v>Mechanical Completion 7002-C77 Fire zone Q34C LV Switchboard Room</v>
          </cell>
          <cell r="E309" t="str">
            <v>T.Q30.Q34</v>
          </cell>
          <cell r="G309" t="str">
            <v>7-Day Workweek (10 hours)</v>
          </cell>
          <cell r="H309" t="str">
            <v>0d</v>
          </cell>
          <cell r="I309" t="str">
            <v>0d</v>
          </cell>
          <cell r="J309">
            <v>0</v>
          </cell>
          <cell r="K309" t="str">
            <v>As Late As Possible</v>
          </cell>
          <cell r="M309">
            <v>41477</v>
          </cell>
        </row>
        <row r="310">
          <cell r="C310" t="str">
            <v>7002-C05</v>
          </cell>
          <cell r="D310" t="str">
            <v>Mechanical Completion 7002-C05 Fire zone M10B Cargo Tank Top North East</v>
          </cell>
          <cell r="E310" t="str">
            <v>H.M10</v>
          </cell>
          <cell r="G310" t="str">
            <v>7-Day Workweek (10 hours)</v>
          </cell>
          <cell r="H310" t="str">
            <v>0d</v>
          </cell>
          <cell r="I310" t="str">
            <v>0d</v>
          </cell>
          <cell r="J310">
            <v>0</v>
          </cell>
          <cell r="K310" t="str">
            <v>As Late As Possible</v>
          </cell>
          <cell r="M310">
            <v>41478</v>
          </cell>
        </row>
        <row r="311">
          <cell r="C311" t="str">
            <v>7002-C06</v>
          </cell>
          <cell r="D311" t="str">
            <v>Mechanical Completion 7002-C06 Fire zone M20A Cargo Tank Top South West</v>
          </cell>
          <cell r="E311" t="str">
            <v>H.M20</v>
          </cell>
          <cell r="G311" t="str">
            <v>7-Day Workweek (10 hours)</v>
          </cell>
          <cell r="H311" t="str">
            <v>0d</v>
          </cell>
          <cell r="I311" t="str">
            <v>0d</v>
          </cell>
          <cell r="J311">
            <v>0</v>
          </cell>
          <cell r="K311" t="str">
            <v>As Late As Possible</v>
          </cell>
          <cell r="M311">
            <v>41478</v>
          </cell>
        </row>
        <row r="312">
          <cell r="C312" t="str">
            <v>7003-C06</v>
          </cell>
          <cell r="D312" t="str">
            <v>Mechanical Completion 7003-C06 Fire zone L11F East Staircase</v>
          </cell>
          <cell r="E312" t="str">
            <v>T.L10.L11</v>
          </cell>
          <cell r="G312" t="str">
            <v>7-Day Workweek (10 hours)</v>
          </cell>
          <cell r="H312" t="str">
            <v>0d</v>
          </cell>
          <cell r="I312" t="str">
            <v>0d</v>
          </cell>
          <cell r="J312">
            <v>0</v>
          </cell>
          <cell r="K312" t="str">
            <v>As Late As Possible</v>
          </cell>
          <cell r="M312">
            <v>41478</v>
          </cell>
        </row>
        <row r="313">
          <cell r="C313" t="str">
            <v>7003-C23</v>
          </cell>
          <cell r="D313" t="str">
            <v>Mechanical Completion 7003-C23 Fire zone L18B Lift Motor Room</v>
          </cell>
          <cell r="E313" t="str">
            <v>T.L10.L18</v>
          </cell>
          <cell r="G313" t="str">
            <v>7-Day Workweek (10 hours)</v>
          </cell>
          <cell r="H313" t="str">
            <v>0d</v>
          </cell>
          <cell r="I313" t="str">
            <v>0d</v>
          </cell>
          <cell r="J313">
            <v>0</v>
          </cell>
          <cell r="K313" t="str">
            <v>As Late As Possible</v>
          </cell>
          <cell r="M313">
            <v>41478</v>
          </cell>
        </row>
        <row r="314">
          <cell r="C314" t="str">
            <v>7003-C24</v>
          </cell>
          <cell r="D314" t="str">
            <v>Mechanical Completion 7003-C24 Fire zone L18C Accommodation Roof Area</v>
          </cell>
          <cell r="E314" t="str">
            <v>T.L10.L18</v>
          </cell>
          <cell r="G314" t="str">
            <v>7-Day Workweek (10 hours)</v>
          </cell>
          <cell r="H314" t="str">
            <v>0d</v>
          </cell>
          <cell r="I314" t="str">
            <v>0d</v>
          </cell>
          <cell r="J314">
            <v>0</v>
          </cell>
          <cell r="K314" t="str">
            <v>As Late As Possible</v>
          </cell>
          <cell r="M314">
            <v>41478</v>
          </cell>
        </row>
        <row r="315">
          <cell r="C315" t="str">
            <v>7002-C62</v>
          </cell>
          <cell r="D315" t="str">
            <v>Mechanical Completion 7002-C62 Fire zone P83C Chemical injection package</v>
          </cell>
          <cell r="E315" t="str">
            <v>T.P50</v>
          </cell>
          <cell r="G315" t="str">
            <v>7-Day Workweek (10 hours)</v>
          </cell>
          <cell r="H315" t="str">
            <v>0d</v>
          </cell>
          <cell r="I315" t="str">
            <v>0d</v>
          </cell>
          <cell r="J315">
            <v>0</v>
          </cell>
          <cell r="K315" t="str">
            <v>As Late As Possible</v>
          </cell>
          <cell r="M315">
            <v>41480</v>
          </cell>
        </row>
        <row r="316">
          <cell r="C316" t="str">
            <v>7002-C61</v>
          </cell>
          <cell r="D316" t="str">
            <v>Mechanical Completion 7002-C61 Fire zone R10A Riser Area</v>
          </cell>
          <cell r="E316" t="str">
            <v>T.R10</v>
          </cell>
          <cell r="G316" t="str">
            <v>7-Day Workweek (10 hours)</v>
          </cell>
          <cell r="H316" t="str">
            <v>0d</v>
          </cell>
          <cell r="I316" t="str">
            <v>0d</v>
          </cell>
          <cell r="J316">
            <v>0</v>
          </cell>
          <cell r="K316" t="str">
            <v>As Late As Possible</v>
          </cell>
          <cell r="M316">
            <v>41480</v>
          </cell>
        </row>
        <row r="317">
          <cell r="C317" t="str">
            <v>7003-C25</v>
          </cell>
          <cell r="D317" t="str">
            <v>Mechanical Completion 7003-C25 Fire zone H10A Helideck</v>
          </cell>
          <cell r="E317" t="str">
            <v>T.H10</v>
          </cell>
          <cell r="G317" t="str">
            <v>7-Day Workweek (10 hours)</v>
          </cell>
          <cell r="H317" t="str">
            <v>0d</v>
          </cell>
          <cell r="I317" t="str">
            <v>0d</v>
          </cell>
          <cell r="J317">
            <v>0</v>
          </cell>
          <cell r="K317" t="str">
            <v>As Late As Possible</v>
          </cell>
          <cell r="M317">
            <v>41480</v>
          </cell>
        </row>
        <row r="318">
          <cell r="C318" t="str">
            <v>7001-C18</v>
          </cell>
          <cell r="D318" t="str">
            <v>Mechanical Completion 7001-C18 Fire zone G21A Nitrogen Generation Package Center Shaft</v>
          </cell>
          <cell r="E318" t="str">
            <v>H.G20.G21</v>
          </cell>
          <cell r="G318" t="str">
            <v>7-Day Workweek (10 hours)</v>
          </cell>
          <cell r="H318" t="str">
            <v>0d</v>
          </cell>
          <cell r="I318" t="str">
            <v>0d</v>
          </cell>
          <cell r="J318">
            <v>0</v>
          </cell>
          <cell r="K318" t="str">
            <v>As Late As Possible</v>
          </cell>
          <cell r="M318">
            <v>41480</v>
          </cell>
        </row>
        <row r="319">
          <cell r="C319" t="str">
            <v>7001-C10</v>
          </cell>
          <cell r="D319" t="str">
            <v>Mechanical Completion 7001-C10 Fire zone N11A Fuel Handling Room North shaft</v>
          </cell>
          <cell r="E319" t="str">
            <v>H.N10.N11</v>
          </cell>
          <cell r="G319" t="str">
            <v>7-Day Workweek (10 hours)</v>
          </cell>
          <cell r="H319" t="str">
            <v>0d</v>
          </cell>
          <cell r="I319" t="str">
            <v>0d</v>
          </cell>
          <cell r="J319">
            <v>0</v>
          </cell>
          <cell r="K319" t="str">
            <v>As Late As Possible</v>
          </cell>
          <cell r="M319">
            <v>41480</v>
          </cell>
        </row>
        <row r="320">
          <cell r="C320" t="str">
            <v>7001-C19</v>
          </cell>
          <cell r="D320" t="str">
            <v>Mechanical Completion 7001-C19 Fire zone N10A Hull North shaft</v>
          </cell>
          <cell r="E320" t="str">
            <v>H.N10</v>
          </cell>
          <cell r="G320" t="str">
            <v>7-Day Workweek (10 hours)</v>
          </cell>
          <cell r="H320" t="str">
            <v>0d</v>
          </cell>
          <cell r="I320" t="str">
            <v>0d</v>
          </cell>
          <cell r="J320">
            <v>0</v>
          </cell>
          <cell r="K320" t="str">
            <v>As Late As Possible</v>
          </cell>
          <cell r="M320">
            <v>41481</v>
          </cell>
        </row>
        <row r="321">
          <cell r="C321" t="str">
            <v>7002-C44</v>
          </cell>
          <cell r="D321" t="str">
            <v>Mechanical Completion 7002-C44 Fire zone Q31H Em. Switchroom &amp; Transformers</v>
          </cell>
          <cell r="E321" t="str">
            <v>T.Q30.Q31</v>
          </cell>
          <cell r="G321" t="str">
            <v>7-Day Workweek (10 hours)</v>
          </cell>
          <cell r="H321" t="str">
            <v>0d</v>
          </cell>
          <cell r="I321" t="str">
            <v>0d</v>
          </cell>
          <cell r="J321">
            <v>0</v>
          </cell>
          <cell r="K321" t="str">
            <v>As Late As Possible</v>
          </cell>
          <cell r="M321">
            <v>41482</v>
          </cell>
        </row>
        <row r="322">
          <cell r="C322" t="str">
            <v>7002-C63</v>
          </cell>
          <cell r="D322" t="str">
            <v>Mechanical Completion 7002-C63 Fire zone Q21F Main Transformer Room</v>
          </cell>
          <cell r="E322" t="str">
            <v>T.Q20.Q21</v>
          </cell>
          <cell r="G322" t="str">
            <v>7-Day Workweek (10 hours)</v>
          </cell>
          <cell r="H322" t="str">
            <v>0d</v>
          </cell>
          <cell r="I322" t="str">
            <v>0d</v>
          </cell>
          <cell r="J322">
            <v>0</v>
          </cell>
          <cell r="K322" t="str">
            <v>As Late As Possible</v>
          </cell>
          <cell r="M322">
            <v>41482</v>
          </cell>
        </row>
        <row r="323">
          <cell r="C323" t="str">
            <v>7002-C64</v>
          </cell>
          <cell r="D323" t="str">
            <v>Mechanical Completion 7002-C64 Fire zone Q24C Turbine generator Control Room</v>
          </cell>
          <cell r="E323" t="str">
            <v>T.Q20.Q24</v>
          </cell>
          <cell r="G323" t="str">
            <v>7-Day Workweek (10 hours)</v>
          </cell>
          <cell r="H323" t="str">
            <v>0d</v>
          </cell>
          <cell r="I323" t="str">
            <v>0d</v>
          </cell>
          <cell r="J323">
            <v>0</v>
          </cell>
          <cell r="K323" t="str">
            <v>As Late As Possible</v>
          </cell>
          <cell r="M323">
            <v>41482</v>
          </cell>
        </row>
        <row r="324">
          <cell r="C324" t="str">
            <v>7003-C26</v>
          </cell>
          <cell r="D324" t="str">
            <v>Mechanical Completion 7003-C26 Fire zone L17E Equipment Room</v>
          </cell>
          <cell r="E324" t="str">
            <v>T.L10.L17</v>
          </cell>
          <cell r="G324" t="str">
            <v>7-Day Workweek (10 hours)</v>
          </cell>
          <cell r="H324" t="str">
            <v>0d</v>
          </cell>
          <cell r="I324" t="str">
            <v>0d</v>
          </cell>
          <cell r="J324">
            <v>0</v>
          </cell>
          <cell r="K324" t="str">
            <v>As Late As Possible</v>
          </cell>
          <cell r="M324">
            <v>41482</v>
          </cell>
        </row>
        <row r="325">
          <cell r="C325" t="str">
            <v>7002-C07</v>
          </cell>
          <cell r="D325" t="str">
            <v>Mechanical Completion 7002-C07 Fire zone M20B Cargo Tank Top South East</v>
          </cell>
          <cell r="E325" t="str">
            <v>H.M20</v>
          </cell>
          <cell r="G325" t="str">
            <v>7-Day Workweek (10 hours)</v>
          </cell>
          <cell r="H325" t="str">
            <v>0d</v>
          </cell>
          <cell r="I325" t="str">
            <v>0d</v>
          </cell>
          <cell r="J325">
            <v>0</v>
          </cell>
          <cell r="K325" t="str">
            <v>As Late As Possible</v>
          </cell>
          <cell r="M325">
            <v>41484</v>
          </cell>
        </row>
        <row r="326">
          <cell r="C326" t="str">
            <v>7002-C08</v>
          </cell>
          <cell r="D326" t="str">
            <v>Mechanical Completion 7002-C08 Fire zone M20C DEH Container 16FE001</v>
          </cell>
          <cell r="E326" t="str">
            <v>H.M20</v>
          </cell>
          <cell r="G326" t="str">
            <v>7-Day Workweek (10 hours)</v>
          </cell>
          <cell r="H326" t="str">
            <v>0d</v>
          </cell>
          <cell r="I326" t="str">
            <v>0d</v>
          </cell>
          <cell r="J326">
            <v>0</v>
          </cell>
          <cell r="K326" t="str">
            <v>As Late As Possible</v>
          </cell>
          <cell r="M326">
            <v>41484</v>
          </cell>
        </row>
        <row r="327">
          <cell r="C327" t="str">
            <v>7003-C07</v>
          </cell>
          <cell r="D327" t="str">
            <v>Mechanical Completion 7003-C07 Fire zone L12A Main Control Center</v>
          </cell>
          <cell r="E327" t="str">
            <v>T.L10.L12</v>
          </cell>
          <cell r="G327" t="str">
            <v>7-Day Workweek (10 hours)</v>
          </cell>
          <cell r="H327" t="str">
            <v>0d</v>
          </cell>
          <cell r="I327" t="str">
            <v>0d</v>
          </cell>
          <cell r="J327">
            <v>0</v>
          </cell>
          <cell r="K327" t="str">
            <v>As Late As Possible</v>
          </cell>
          <cell r="M327">
            <v>41484</v>
          </cell>
        </row>
        <row r="328">
          <cell r="C328" t="str">
            <v>7003-C27</v>
          </cell>
          <cell r="D328" t="str">
            <v>Mechanical Completion 7003-C27 Fire zone L17F Telecom Test Room</v>
          </cell>
          <cell r="E328" t="str">
            <v>T.L10.L17</v>
          </cell>
          <cell r="G328" t="str">
            <v>7-Day Workweek (10 hours)</v>
          </cell>
          <cell r="H328" t="str">
            <v>0d</v>
          </cell>
          <cell r="I328" t="str">
            <v>0d</v>
          </cell>
          <cell r="J328">
            <v>0</v>
          </cell>
          <cell r="K328" t="str">
            <v>As Late As Possible</v>
          </cell>
          <cell r="M328">
            <v>41485</v>
          </cell>
        </row>
        <row r="329">
          <cell r="C329" t="str">
            <v>7002-C33</v>
          </cell>
          <cell r="D329" t="str">
            <v>Mechanical Completion 7002-C33 Fire zone Q24A Switchroom and Transformers</v>
          </cell>
          <cell r="E329" t="str">
            <v>T.Q20.Q24</v>
          </cell>
          <cell r="G329" t="str">
            <v>7-Day Workweek (10 hours)</v>
          </cell>
          <cell r="H329" t="str">
            <v>0d</v>
          </cell>
          <cell r="I329" t="str">
            <v>0d</v>
          </cell>
          <cell r="J329">
            <v>0</v>
          </cell>
          <cell r="K329" t="str">
            <v>As Late As Possible</v>
          </cell>
          <cell r="M329">
            <v>41485</v>
          </cell>
        </row>
        <row r="330">
          <cell r="C330" t="str">
            <v>7002-C34</v>
          </cell>
          <cell r="D330" t="str">
            <v>Mechanical Completion 7002-C34 Fire zone Q24B Corridors and Muster Area</v>
          </cell>
          <cell r="E330" t="str">
            <v>T.Q20.Q24</v>
          </cell>
          <cell r="G330" t="str">
            <v>7-Day Workweek (10 hours)</v>
          </cell>
          <cell r="H330" t="str">
            <v>0d</v>
          </cell>
          <cell r="I330" t="str">
            <v>0d</v>
          </cell>
          <cell r="J330">
            <v>0</v>
          </cell>
          <cell r="K330" t="str">
            <v>As Late As Possible</v>
          </cell>
          <cell r="M330">
            <v>41485</v>
          </cell>
        </row>
        <row r="331">
          <cell r="C331" t="str">
            <v>7001-C17</v>
          </cell>
          <cell r="D331" t="str">
            <v>Mechanical Completion 7001-C17 Fire zone G20A Center Shaft Inner</v>
          </cell>
          <cell r="E331" t="str">
            <v>H.G20</v>
          </cell>
          <cell r="G331" t="str">
            <v>7-Day Workweek (10 hours)</v>
          </cell>
          <cell r="H331" t="str">
            <v>0d</v>
          </cell>
          <cell r="I331" t="str">
            <v>0d</v>
          </cell>
          <cell r="J331">
            <v>0</v>
          </cell>
          <cell r="K331" t="str">
            <v>As Late As Possible</v>
          </cell>
          <cell r="M331">
            <v>41485</v>
          </cell>
        </row>
        <row r="332">
          <cell r="C332" t="str">
            <v>7002-C65</v>
          </cell>
          <cell r="D332" t="str">
            <v>Mechanical Completion 7002-C65 Fire zone Q35C Fire WaterPump generator 71XX001D</v>
          </cell>
          <cell r="E332" t="str">
            <v>T.Q30.Q35</v>
          </cell>
          <cell r="G332" t="str">
            <v>7-Day Workweek (10 hours)</v>
          </cell>
          <cell r="H332" t="str">
            <v>0d</v>
          </cell>
          <cell r="I332" t="str">
            <v>0d</v>
          </cell>
          <cell r="J332">
            <v>0</v>
          </cell>
          <cell r="K332" t="str">
            <v>As Late As Possible</v>
          </cell>
          <cell r="M332">
            <v>41485</v>
          </cell>
        </row>
        <row r="333">
          <cell r="C333" t="str">
            <v>7002-C66</v>
          </cell>
          <cell r="D333" t="str">
            <v>Mechanical Completion 7002-C66 Fire zone Q21G HV ASDS Transformer room</v>
          </cell>
          <cell r="E333" t="str">
            <v>T.Q30.Q35</v>
          </cell>
          <cell r="G333" t="str">
            <v>7-Day Workweek (10 hours)</v>
          </cell>
          <cell r="H333" t="str">
            <v>0d</v>
          </cell>
          <cell r="I333" t="str">
            <v>0d</v>
          </cell>
          <cell r="J333">
            <v>0</v>
          </cell>
          <cell r="K333" t="str">
            <v>As Late As Possible</v>
          </cell>
          <cell r="M333">
            <v>41485</v>
          </cell>
        </row>
        <row r="334">
          <cell r="C334" t="str">
            <v>7002-C45</v>
          </cell>
          <cell r="D334" t="str">
            <v>Mechanical Completion 7002-C45 Fire zone Q31X Internal Staircase</v>
          </cell>
          <cell r="E334" t="str">
            <v>T.Q30.Q31</v>
          </cell>
          <cell r="G334" t="str">
            <v>7-Day Workweek (10 hours)</v>
          </cell>
          <cell r="H334" t="str">
            <v>0d</v>
          </cell>
          <cell r="I334" t="str">
            <v>0d</v>
          </cell>
          <cell r="J334">
            <v>0</v>
          </cell>
          <cell r="K334" t="str">
            <v>As Late As Possible</v>
          </cell>
          <cell r="M334">
            <v>41486</v>
          </cell>
        </row>
        <row r="335">
          <cell r="C335" t="str">
            <v>7002-C46</v>
          </cell>
          <cell r="D335" t="str">
            <v>Mechanical Completion 7002-C46 Fire zone Q32A Air Intake Utilities and Central Shaft</v>
          </cell>
          <cell r="E335" t="str">
            <v>T.Q30.Q32</v>
          </cell>
          <cell r="G335" t="str">
            <v>7-Day Workweek (10 hours)</v>
          </cell>
          <cell r="H335" t="str">
            <v>0d</v>
          </cell>
          <cell r="I335" t="str">
            <v>0d</v>
          </cell>
          <cell r="J335">
            <v>0</v>
          </cell>
          <cell r="K335" t="str">
            <v>As Late As Possible</v>
          </cell>
          <cell r="M335">
            <v>41486</v>
          </cell>
        </row>
        <row r="336">
          <cell r="C336" t="str">
            <v>7002-C09</v>
          </cell>
          <cell r="D336" t="str">
            <v>Mechanical Completion 7002-C09 Fire zone M20D DEH Container 16FE002</v>
          </cell>
          <cell r="E336" t="str">
            <v>H.M20</v>
          </cell>
          <cell r="G336" t="str">
            <v>7-Day Workweek (10 hours)</v>
          </cell>
          <cell r="H336" t="str">
            <v>0d</v>
          </cell>
          <cell r="I336" t="str">
            <v>0d</v>
          </cell>
          <cell r="J336">
            <v>0</v>
          </cell>
          <cell r="K336" t="str">
            <v>As Late As Possible</v>
          </cell>
          <cell r="M336">
            <v>41487</v>
          </cell>
        </row>
        <row r="337">
          <cell r="C337" t="str">
            <v>7002-C10</v>
          </cell>
          <cell r="D337" t="str">
            <v>Mechanical Completion 7002-C10 Fire zone M30A Elect Cable Riser and HV Swrm</v>
          </cell>
          <cell r="E337" t="str">
            <v>H.M30</v>
          </cell>
          <cell r="G337" t="str">
            <v>7-Day Workweek (10 hours)</v>
          </cell>
          <cell r="H337" t="str">
            <v>0d</v>
          </cell>
          <cell r="I337" t="str">
            <v>0d</v>
          </cell>
          <cell r="J337">
            <v>0</v>
          </cell>
          <cell r="K337" t="str">
            <v>As Late As Possible</v>
          </cell>
          <cell r="M337">
            <v>41487</v>
          </cell>
        </row>
        <row r="338">
          <cell r="C338" t="str">
            <v>7002-C35</v>
          </cell>
          <cell r="D338" t="str">
            <v>Mechanical Completion 7002-C35 Fire zone Q25A Weather Deck West</v>
          </cell>
          <cell r="E338" t="str">
            <v>T.Q20.Q25</v>
          </cell>
          <cell r="G338" t="str">
            <v>7-Day Workweek (10 hours)</v>
          </cell>
          <cell r="H338" t="str">
            <v>0d</v>
          </cell>
          <cell r="I338" t="str">
            <v>0d</v>
          </cell>
          <cell r="J338">
            <v>0</v>
          </cell>
          <cell r="K338" t="str">
            <v>As Late As Possible</v>
          </cell>
          <cell r="M338">
            <v>41487</v>
          </cell>
        </row>
        <row r="339">
          <cell r="C339" t="str">
            <v>7002-C36</v>
          </cell>
          <cell r="D339" t="str">
            <v>Mechanical Completion 7002-C36 Fire zone Q25B West Crane 59MA002</v>
          </cell>
          <cell r="E339" t="str">
            <v>T.Q20.Q25</v>
          </cell>
          <cell r="G339" t="str">
            <v>7-Day Workweek (10 hours)</v>
          </cell>
          <cell r="H339" t="str">
            <v>0d</v>
          </cell>
          <cell r="I339" t="str">
            <v>0d</v>
          </cell>
          <cell r="J339">
            <v>0</v>
          </cell>
          <cell r="K339" t="str">
            <v>As Late As Possible</v>
          </cell>
          <cell r="M339">
            <v>41487</v>
          </cell>
        </row>
        <row r="340">
          <cell r="C340" t="str">
            <v>7003-C08</v>
          </cell>
          <cell r="D340" t="str">
            <v>Mechanical Completion 7003-C08 Fire zone L12B Offices and Lockers</v>
          </cell>
          <cell r="E340" t="str">
            <v>T.L10.L12</v>
          </cell>
          <cell r="G340" t="str">
            <v>7-Day Workweek (10 hours)</v>
          </cell>
          <cell r="H340" t="str">
            <v>0d</v>
          </cell>
          <cell r="I340" t="str">
            <v>0d</v>
          </cell>
          <cell r="J340">
            <v>0</v>
          </cell>
          <cell r="K340" t="str">
            <v>As Late As Possible</v>
          </cell>
          <cell r="M340">
            <v>41488</v>
          </cell>
        </row>
        <row r="341">
          <cell r="C341" t="str">
            <v>7002-C67</v>
          </cell>
          <cell r="D341" t="str">
            <v>Mechanical Completion 7002-C67 Fire zone P83D Chemical injection package B</v>
          </cell>
          <cell r="E341" t="str">
            <v>T.P50</v>
          </cell>
          <cell r="G341" t="str">
            <v>7-Day Workweek (10 hours)</v>
          </cell>
          <cell r="H341" t="str">
            <v>0d</v>
          </cell>
          <cell r="I341" t="str">
            <v>0d</v>
          </cell>
          <cell r="J341">
            <v>0</v>
          </cell>
          <cell r="K341" t="str">
            <v>As Late As Possible</v>
          </cell>
          <cell r="M341">
            <v>41488</v>
          </cell>
        </row>
        <row r="342">
          <cell r="C342" t="str">
            <v>7002-C68</v>
          </cell>
          <cell r="D342" t="str">
            <v>Mechanical Completion 7002-C68 Fire zone Q21H Heat trace Transformer room</v>
          </cell>
          <cell r="E342" t="str">
            <v>T.P60</v>
          </cell>
          <cell r="G342" t="str">
            <v>7-Day Workweek (10 hours)</v>
          </cell>
          <cell r="H342" t="str">
            <v>0d</v>
          </cell>
          <cell r="I342" t="str">
            <v>0d</v>
          </cell>
          <cell r="J342">
            <v>0</v>
          </cell>
          <cell r="K342" t="str">
            <v>As Late As Possible</v>
          </cell>
          <cell r="M342">
            <v>41488</v>
          </cell>
        </row>
        <row r="343">
          <cell r="C343" t="str">
            <v>7002-C37</v>
          </cell>
          <cell r="D343" t="str">
            <v>Mechanical Completion 7002-C37 Fire zone Q31A Primary Laydown Area</v>
          </cell>
          <cell r="E343" t="str">
            <v>T.Q30.Q31</v>
          </cell>
          <cell r="G343" t="str">
            <v>7-Day Workweek (10 hours)</v>
          </cell>
          <cell r="H343" t="str">
            <v>0d</v>
          </cell>
          <cell r="I343" t="str">
            <v>0d</v>
          </cell>
          <cell r="J343">
            <v>0</v>
          </cell>
          <cell r="K343" t="str">
            <v>As Late As Possible</v>
          </cell>
          <cell r="M343">
            <v>41489</v>
          </cell>
        </row>
        <row r="344">
          <cell r="C344" t="str">
            <v>7002-C38</v>
          </cell>
          <cell r="D344" t="str">
            <v>Mechanical Completion 7002-C38 Fire zone Q31B Workshops</v>
          </cell>
          <cell r="E344" t="str">
            <v>T.Q30.Q31</v>
          </cell>
          <cell r="G344" t="str">
            <v>7-Day Workweek (10 hours)</v>
          </cell>
          <cell r="H344" t="str">
            <v>0d</v>
          </cell>
          <cell r="I344" t="str">
            <v>0d</v>
          </cell>
          <cell r="J344">
            <v>0</v>
          </cell>
          <cell r="K344" t="str">
            <v>As Late As Possible</v>
          </cell>
          <cell r="M344">
            <v>41489</v>
          </cell>
        </row>
        <row r="345">
          <cell r="C345" t="str">
            <v>7002-C11</v>
          </cell>
          <cell r="D345" t="str">
            <v>Mechanical Completion 7002-C11 Fire zone M32A North Shaft &amp; Cable Riser Hang Off &amp; Gas Room</v>
          </cell>
          <cell r="E345" t="str">
            <v>H.M30.M32</v>
          </cell>
          <cell r="G345" t="str">
            <v>7-Day Workweek (10 hours)</v>
          </cell>
          <cell r="H345" t="str">
            <v>0d</v>
          </cell>
          <cell r="I345" t="str">
            <v>0d</v>
          </cell>
          <cell r="J345">
            <v>0</v>
          </cell>
          <cell r="K345" t="str">
            <v>As Late As Possible</v>
          </cell>
          <cell r="M345">
            <v>41491</v>
          </cell>
        </row>
        <row r="346">
          <cell r="C346" t="str">
            <v>7002-C12</v>
          </cell>
          <cell r="D346" t="str">
            <v>Mechanical Completion 7002-C12 Fire zone P81A Process Level 1 West</v>
          </cell>
          <cell r="E346" t="str">
            <v>T.P10</v>
          </cell>
          <cell r="G346" t="str">
            <v>7-Day Workweek (10 hours)</v>
          </cell>
          <cell r="H346" t="str">
            <v>0d</v>
          </cell>
          <cell r="I346" t="str">
            <v>0d</v>
          </cell>
          <cell r="J346">
            <v>0</v>
          </cell>
          <cell r="K346" t="str">
            <v>As Late As Possible</v>
          </cell>
          <cell r="M346">
            <v>41491</v>
          </cell>
        </row>
        <row r="347">
          <cell r="C347" t="str">
            <v>7002-C13</v>
          </cell>
          <cell r="D347" t="str">
            <v>Mechanical Completion 7002-C13 Fire zone P81B Process Level 1 East</v>
          </cell>
          <cell r="E347" t="str">
            <v>T.P10</v>
          </cell>
          <cell r="G347" t="str">
            <v>7-Day Workweek (10 hours)</v>
          </cell>
          <cell r="H347" t="str">
            <v>0d</v>
          </cell>
          <cell r="I347" t="str">
            <v>0d</v>
          </cell>
          <cell r="J347">
            <v>0</v>
          </cell>
          <cell r="K347" t="str">
            <v>As Late As Possible</v>
          </cell>
          <cell r="M347">
            <v>41491</v>
          </cell>
        </row>
        <row r="348">
          <cell r="C348" t="str">
            <v>7002-C14</v>
          </cell>
          <cell r="D348" t="str">
            <v>Mechanical Completion 7002-C14 Fire zone P81C Process Lift Shaft</v>
          </cell>
          <cell r="E348" t="str">
            <v>T.P10</v>
          </cell>
          <cell r="G348" t="str">
            <v>7-Day Workweek (10 hours)</v>
          </cell>
          <cell r="H348" t="str">
            <v>0d</v>
          </cell>
          <cell r="I348" t="str">
            <v>0d</v>
          </cell>
          <cell r="J348">
            <v>0</v>
          </cell>
          <cell r="K348" t="str">
            <v>As Late As Possible</v>
          </cell>
          <cell r="M348">
            <v>41491</v>
          </cell>
        </row>
        <row r="349">
          <cell r="C349" t="str">
            <v>7002-C69</v>
          </cell>
          <cell r="D349" t="str">
            <v>Mechanical Completion 7002-C69 Fire zone Q21W Lift for goods</v>
          </cell>
          <cell r="E349" t="str">
            <v>T.P60</v>
          </cell>
          <cell r="G349" t="str">
            <v>7-Day Workweek (10 hours)</v>
          </cell>
          <cell r="H349" t="str">
            <v>0d</v>
          </cell>
          <cell r="I349" t="str">
            <v>0d</v>
          </cell>
          <cell r="J349">
            <v>0</v>
          </cell>
          <cell r="K349" t="str">
            <v>As Late As Possible</v>
          </cell>
          <cell r="M349">
            <v>41491</v>
          </cell>
        </row>
        <row r="350">
          <cell r="C350" t="str">
            <v>7002-C70</v>
          </cell>
          <cell r="D350" t="str">
            <v>Mechanical Completion 7002-C70 Fire zone Q32G Telecom UPS B Battery room</v>
          </cell>
          <cell r="E350" t="str">
            <v>T.P60</v>
          </cell>
          <cell r="G350" t="str">
            <v>7-Day Workweek (10 hours)</v>
          </cell>
          <cell r="H350" t="str">
            <v>0d</v>
          </cell>
          <cell r="I350" t="str">
            <v>0d</v>
          </cell>
          <cell r="J350">
            <v>0</v>
          </cell>
          <cell r="K350" t="str">
            <v>As Late As Possible</v>
          </cell>
          <cell r="M350">
            <v>41491</v>
          </cell>
        </row>
        <row r="351">
          <cell r="C351" t="str">
            <v>7002-C47</v>
          </cell>
          <cell r="D351" t="str">
            <v>Mechanical Completion 7002-C47 Fire zone Q32B HVAC Plantroom</v>
          </cell>
          <cell r="E351" t="str">
            <v>T.Q30.Q32</v>
          </cell>
          <cell r="G351" t="str">
            <v>7-Day Workweek (10 hours)</v>
          </cell>
          <cell r="H351" t="str">
            <v>0d</v>
          </cell>
          <cell r="I351" t="str">
            <v>0d</v>
          </cell>
          <cell r="J351">
            <v>0</v>
          </cell>
          <cell r="K351" t="str">
            <v>As Late As Possible</v>
          </cell>
          <cell r="M351">
            <v>41492</v>
          </cell>
        </row>
        <row r="352">
          <cell r="C352" t="str">
            <v>7002-C15</v>
          </cell>
          <cell r="D352" t="str">
            <v>Mechanical Completion 7002-C15 Fire zone P82A Process Level 2 West</v>
          </cell>
          <cell r="E352" t="str">
            <v>T.P10</v>
          </cell>
          <cell r="G352" t="str">
            <v>7-Day Workweek (10 hours)</v>
          </cell>
          <cell r="H352" t="str">
            <v>0d</v>
          </cell>
          <cell r="I352" t="str">
            <v>0d</v>
          </cell>
          <cell r="J352">
            <v>0</v>
          </cell>
          <cell r="K352" t="str">
            <v>As Late As Possible</v>
          </cell>
          <cell r="M352">
            <v>41494</v>
          </cell>
        </row>
        <row r="353">
          <cell r="C353" t="str">
            <v>7002-C16</v>
          </cell>
          <cell r="D353" t="str">
            <v>Mechanical Completion 7002-C16 Fire zone P82B Process Level 2 East</v>
          </cell>
          <cell r="E353" t="str">
            <v>T.P10</v>
          </cell>
          <cell r="G353" t="str">
            <v>7-Day Workweek (10 hours)</v>
          </cell>
          <cell r="H353" t="str">
            <v>0d</v>
          </cell>
          <cell r="I353" t="str">
            <v>0d</v>
          </cell>
          <cell r="J353">
            <v>0</v>
          </cell>
          <cell r="K353" t="str">
            <v>As Late As Possible</v>
          </cell>
          <cell r="M353">
            <v>41494</v>
          </cell>
        </row>
        <row r="354">
          <cell r="C354" t="str">
            <v>7002-C17</v>
          </cell>
          <cell r="D354" t="str">
            <v>Mechanical Completion 7002-C17 Fire zone P83A Process Level 3 West</v>
          </cell>
          <cell r="E354" t="str">
            <v>T.P10</v>
          </cell>
          <cell r="G354" t="str">
            <v>7-Day Workweek (10 hours)</v>
          </cell>
          <cell r="H354" t="str">
            <v>0d</v>
          </cell>
          <cell r="I354" t="str">
            <v>0d</v>
          </cell>
          <cell r="J354">
            <v>0</v>
          </cell>
          <cell r="K354" t="str">
            <v>As Late As Possible</v>
          </cell>
          <cell r="M354">
            <v>41494</v>
          </cell>
        </row>
        <row r="355">
          <cell r="C355" t="str">
            <v>7002-C18</v>
          </cell>
          <cell r="D355" t="str">
            <v>Mechanical Completion 7002-C18 Fire zone P83B Process Level 3 East</v>
          </cell>
          <cell r="E355" t="str">
            <v>T.P10</v>
          </cell>
          <cell r="G355" t="str">
            <v>7-Day Workweek (10 hours)</v>
          </cell>
          <cell r="H355" t="str">
            <v>0d</v>
          </cell>
          <cell r="I355" t="str">
            <v>0d</v>
          </cell>
          <cell r="J355">
            <v>0</v>
          </cell>
          <cell r="K355" t="str">
            <v>As Late As Possible</v>
          </cell>
          <cell r="M355">
            <v>41494</v>
          </cell>
        </row>
        <row r="356">
          <cell r="C356" t="str">
            <v>7002-C39</v>
          </cell>
          <cell r="D356" t="str">
            <v>Mechanical Completion 7002-C39 Fire zone Q31C Stores</v>
          </cell>
          <cell r="E356" t="str">
            <v>T.Q30.Q31</v>
          </cell>
          <cell r="G356" t="str">
            <v>7-Day Workweek (10 hours)</v>
          </cell>
          <cell r="H356" t="str">
            <v>0d</v>
          </cell>
          <cell r="I356" t="str">
            <v>0d</v>
          </cell>
          <cell r="J356">
            <v>0</v>
          </cell>
          <cell r="K356" t="str">
            <v>As Late As Possible</v>
          </cell>
          <cell r="M356">
            <v>41494</v>
          </cell>
        </row>
        <row r="357">
          <cell r="C357" t="str">
            <v>7002-C40</v>
          </cell>
          <cell r="D357" t="str">
            <v>Mechanical Completion 7002-C40 Fire zone Q31D Lab, Offices, Gen. Areas &amp; Firemans Store</v>
          </cell>
          <cell r="E357" t="str">
            <v>T.Q30.Q31</v>
          </cell>
          <cell r="G357" t="str">
            <v>7-Day Workweek (10 hours)</v>
          </cell>
          <cell r="H357" t="str">
            <v>0d</v>
          </cell>
          <cell r="I357" t="str">
            <v>0d</v>
          </cell>
          <cell r="J357">
            <v>0</v>
          </cell>
          <cell r="K357" t="str">
            <v>As Late As Possible</v>
          </cell>
          <cell r="M357">
            <v>41494</v>
          </cell>
        </row>
        <row r="358">
          <cell r="C358" t="str">
            <v>7002-C71</v>
          </cell>
          <cell r="D358" t="str">
            <v>Mechanical Completion 7002-C71 Fire zone Q33G ASDS Transformer room</v>
          </cell>
          <cell r="E358" t="str">
            <v>T.P60</v>
          </cell>
          <cell r="G358" t="str">
            <v>7-Day Workweek (10 hours)</v>
          </cell>
          <cell r="H358" t="str">
            <v>0d</v>
          </cell>
          <cell r="I358" t="str">
            <v>0d</v>
          </cell>
          <cell r="J358">
            <v>0</v>
          </cell>
          <cell r="K358" t="str">
            <v>As Late As Possible</v>
          </cell>
          <cell r="M358">
            <v>41494</v>
          </cell>
        </row>
        <row r="359">
          <cell r="C359" t="str">
            <v>7002-C72</v>
          </cell>
          <cell r="D359" t="str">
            <v>Mechanical Completion 7002-C72 Fire zone P84C Tote Tank &amp; Helifuel Storage</v>
          </cell>
          <cell r="E359" t="str">
            <v>T.Q30</v>
          </cell>
          <cell r="G359" t="str">
            <v>7-Day Workweek (10 hours)</v>
          </cell>
          <cell r="H359" t="str">
            <v>0d</v>
          </cell>
          <cell r="I359" t="str">
            <v>0d</v>
          </cell>
          <cell r="J359">
            <v>0</v>
          </cell>
          <cell r="K359" t="str">
            <v>As Late As Possible</v>
          </cell>
          <cell r="M359">
            <v>41494</v>
          </cell>
        </row>
        <row r="360">
          <cell r="C360" t="str">
            <v>7003-C09</v>
          </cell>
          <cell r="D360" t="str">
            <v>Mechanical Completion 7003-C09 Fire zone L13A Dining &amp; Lounge Area</v>
          </cell>
          <cell r="E360" t="str">
            <v>T.L10.L13</v>
          </cell>
          <cell r="G360" t="str">
            <v>7-Day Workweek (10 hours)</v>
          </cell>
          <cell r="H360" t="str">
            <v>0d</v>
          </cell>
          <cell r="I360" t="str">
            <v>0d</v>
          </cell>
          <cell r="J360">
            <v>0</v>
          </cell>
          <cell r="K360" t="str">
            <v>As Late As Possible</v>
          </cell>
          <cell r="M360">
            <v>41495</v>
          </cell>
        </row>
        <row r="361">
          <cell r="C361" t="str">
            <v>7002-C73</v>
          </cell>
          <cell r="D361" t="str">
            <v>Mechanical Completion 7002-C73 Fire zone Q22F Turbine in Turbine Generator</v>
          </cell>
          <cell r="E361" t="str">
            <v>T.Q20.Q22</v>
          </cell>
          <cell r="G361" t="str">
            <v>7-Day Workweek (10 hours)</v>
          </cell>
          <cell r="H361" t="str">
            <v>0d</v>
          </cell>
          <cell r="I361" t="str">
            <v>0d</v>
          </cell>
          <cell r="J361">
            <v>0</v>
          </cell>
          <cell r="K361" t="str">
            <v>As Late As Possible</v>
          </cell>
          <cell r="M361">
            <v>41496</v>
          </cell>
        </row>
        <row r="362">
          <cell r="C362" t="str">
            <v>7002-C41</v>
          </cell>
          <cell r="D362" t="str">
            <v>Mechanical Completion 7002-C41 Fire zone Q31E Emergency Generator</v>
          </cell>
          <cell r="E362" t="str">
            <v>T.Q30.Q31</v>
          </cell>
          <cell r="G362" t="str">
            <v>7-Day Workweek (10 hours)</v>
          </cell>
          <cell r="H362" t="str">
            <v>0d</v>
          </cell>
          <cell r="I362" t="str">
            <v>0d</v>
          </cell>
          <cell r="J362">
            <v>0</v>
          </cell>
          <cell r="K362" t="str">
            <v>As Late As Possible</v>
          </cell>
          <cell r="M362">
            <v>41498</v>
          </cell>
        </row>
        <row r="363">
          <cell r="C363" t="str">
            <v>7002-C42</v>
          </cell>
          <cell r="D363" t="str">
            <v>Mechanical Completion 7002-C42 Fire zone Q31F Inert Gas Generator</v>
          </cell>
          <cell r="E363" t="str">
            <v>T.Q30.Q31</v>
          </cell>
          <cell r="G363" t="str">
            <v>7-Day Workweek (10 hours)</v>
          </cell>
          <cell r="H363" t="str">
            <v>0d</v>
          </cell>
          <cell r="I363" t="str">
            <v>0d</v>
          </cell>
          <cell r="J363">
            <v>0</v>
          </cell>
          <cell r="K363" t="str">
            <v>As Late As Possible</v>
          </cell>
          <cell r="M363">
            <v>41498</v>
          </cell>
        </row>
        <row r="364">
          <cell r="C364" t="str">
            <v>7003-C10</v>
          </cell>
          <cell r="D364" t="str">
            <v>Mechanical Completion 7003-C10 Fire zone L13B Kitchen Area</v>
          </cell>
          <cell r="E364" t="str">
            <v>T.L10.L13</v>
          </cell>
          <cell r="G364" t="str">
            <v>7-Day Workweek (10 hours)</v>
          </cell>
          <cell r="H364" t="str">
            <v>0d</v>
          </cell>
          <cell r="I364" t="str">
            <v>0d</v>
          </cell>
          <cell r="J364">
            <v>0</v>
          </cell>
          <cell r="K364" t="str">
            <v>As Late As Possible</v>
          </cell>
          <cell r="M364">
            <v>41499</v>
          </cell>
        </row>
        <row r="365">
          <cell r="C365" t="str">
            <v>7002-C75</v>
          </cell>
          <cell r="D365" t="str">
            <v>Mechanical Completion 7002-C75 Fire zone Q31K Insulation W/S &amp; Dark/X-Ray Room</v>
          </cell>
          <cell r="E365" t="str">
            <v>T.Q30.Q31</v>
          </cell>
          <cell r="G365" t="str">
            <v>7-Day Workweek (10 hours)</v>
          </cell>
          <cell r="H365" t="str">
            <v>0d</v>
          </cell>
          <cell r="I365" t="str">
            <v>0d</v>
          </cell>
          <cell r="J365">
            <v>0</v>
          </cell>
          <cell r="K365" t="str">
            <v>As Late As Possible</v>
          </cell>
          <cell r="M365">
            <v>41499</v>
          </cell>
        </row>
        <row r="366">
          <cell r="C366" t="str">
            <v>7003-C12</v>
          </cell>
          <cell r="D366" t="str">
            <v>Mechanical Completion 7003-C12 Fire zone L13D Laundry</v>
          </cell>
          <cell r="E366" t="str">
            <v>T.L10.L13</v>
          </cell>
          <cell r="G366" t="str">
            <v>7-Day Workweek (10 hours)</v>
          </cell>
          <cell r="H366" t="str">
            <v>0d</v>
          </cell>
          <cell r="I366" t="str">
            <v>0d</v>
          </cell>
          <cell r="J366">
            <v>0</v>
          </cell>
          <cell r="K366" t="str">
            <v>As Late As Possible</v>
          </cell>
          <cell r="M366">
            <v>41503</v>
          </cell>
        </row>
        <row r="367">
          <cell r="C367" t="str">
            <v>7002-C43</v>
          </cell>
          <cell r="D367" t="str">
            <v>Mechanical Completion 7002-C43 Fire zone Q31G Paint Store</v>
          </cell>
          <cell r="E367" t="str">
            <v>T.Q30.Q31</v>
          </cell>
          <cell r="G367" t="str">
            <v>7-Day Workweek (10 hours)</v>
          </cell>
          <cell r="H367" t="str">
            <v>0d</v>
          </cell>
          <cell r="I367" t="str">
            <v>0d</v>
          </cell>
          <cell r="J367">
            <v>0</v>
          </cell>
          <cell r="K367" t="str">
            <v>As Late As Possible</v>
          </cell>
          <cell r="M367">
            <v>41503</v>
          </cell>
        </row>
        <row r="368">
          <cell r="C368" t="str">
            <v>7003-C11</v>
          </cell>
          <cell r="D368" t="str">
            <v>Mechanical Completion 7003-C11 Fire zone L13C Galley Extract Hood</v>
          </cell>
          <cell r="E368" t="str">
            <v>T.L10.L13</v>
          </cell>
          <cell r="G368" t="str">
            <v>7-Day Workweek (10 hours)</v>
          </cell>
          <cell r="H368" t="str">
            <v>0d</v>
          </cell>
          <cell r="I368" t="str">
            <v>0d</v>
          </cell>
          <cell r="J368">
            <v>0</v>
          </cell>
          <cell r="K368" t="str">
            <v>As Late As Possible</v>
          </cell>
          <cell r="M368">
            <v>41503</v>
          </cell>
        </row>
        <row r="369">
          <cell r="C369" t="str">
            <v>7002-C19</v>
          </cell>
          <cell r="D369" t="str">
            <v>Mechanical Completion 7002-C19 Fire zone P84A Process Level 3 West</v>
          </cell>
          <cell r="E369" t="str">
            <v>T.P10</v>
          </cell>
          <cell r="G369" t="str">
            <v>7-Day Workweek (10 hours)</v>
          </cell>
          <cell r="H369" t="str">
            <v>0d</v>
          </cell>
          <cell r="I369" t="str">
            <v>0d</v>
          </cell>
          <cell r="J369">
            <v>0</v>
          </cell>
          <cell r="K369" t="str">
            <v>As Late As Possible</v>
          </cell>
          <cell r="M369">
            <v>41505</v>
          </cell>
        </row>
        <row r="370">
          <cell r="C370" t="str">
            <v>7002-C20</v>
          </cell>
          <cell r="D370" t="str">
            <v>Mechanical Completion 7002-C20 Fire zone P84B Process Level 3 East</v>
          </cell>
          <cell r="E370" t="str">
            <v>T.P10</v>
          </cell>
          <cell r="G370" t="str">
            <v>7-Day Workweek (10 hours)</v>
          </cell>
          <cell r="H370" t="str">
            <v>0d</v>
          </cell>
          <cell r="I370" t="str">
            <v>0d</v>
          </cell>
          <cell r="J370">
            <v>0</v>
          </cell>
          <cell r="K370" t="str">
            <v>As Late As Possible</v>
          </cell>
          <cell r="M370">
            <v>41505</v>
          </cell>
        </row>
        <row r="371">
          <cell r="C371" t="str">
            <v>7003-C13</v>
          </cell>
          <cell r="D371" t="str">
            <v>Mechanical Completion 7003-C13 Fire zone L14A Cabins</v>
          </cell>
          <cell r="E371" t="str">
            <v>T.L10.L14</v>
          </cell>
          <cell r="G371" t="str">
            <v>7-Day Workweek (10 hours)</v>
          </cell>
          <cell r="H371" t="str">
            <v>0d</v>
          </cell>
          <cell r="I371" t="str">
            <v>0d</v>
          </cell>
          <cell r="J371">
            <v>0</v>
          </cell>
          <cell r="K371" t="str">
            <v>As Late As Possible</v>
          </cell>
          <cell r="M371">
            <v>41505</v>
          </cell>
        </row>
        <row r="372">
          <cell r="C372" t="str">
            <v>7002-C21</v>
          </cell>
          <cell r="D372" t="str">
            <v>Mechanical Completion 7002-C21 Fire zone Q21A Secondary Laydown Area</v>
          </cell>
          <cell r="E372" t="str">
            <v>T.Q20.Q21</v>
          </cell>
          <cell r="G372" t="str">
            <v>7-Day Workweek (10 hours)</v>
          </cell>
          <cell r="H372" t="str">
            <v>0d</v>
          </cell>
          <cell r="I372" t="str">
            <v>0d</v>
          </cell>
          <cell r="J372">
            <v>0</v>
          </cell>
          <cell r="K372" t="str">
            <v>As Late As Possible</v>
          </cell>
          <cell r="M372">
            <v>41509</v>
          </cell>
        </row>
        <row r="373">
          <cell r="C373" t="str">
            <v>7002-C22</v>
          </cell>
          <cell r="D373" t="str">
            <v>Mechanical Completion 7002-C22 Fire zone Q21B Elect Switchrooms &amp; Floor Voids</v>
          </cell>
          <cell r="E373" t="str">
            <v>T.Q20.Q21</v>
          </cell>
          <cell r="G373" t="str">
            <v>7-Day Workweek (10 hours)</v>
          </cell>
          <cell r="H373" t="str">
            <v>0d</v>
          </cell>
          <cell r="I373" t="str">
            <v>0d</v>
          </cell>
          <cell r="J373">
            <v>0</v>
          </cell>
          <cell r="K373" t="str">
            <v>As Late As Possible</v>
          </cell>
          <cell r="M373">
            <v>41509</v>
          </cell>
        </row>
        <row r="374">
          <cell r="C374" t="str">
            <v>7003-C17</v>
          </cell>
          <cell r="D374" t="str">
            <v>Mechanical Completion 7003-C17 Fire zone L16A Cabins and Helideck Reception</v>
          </cell>
          <cell r="E374" t="str">
            <v>T.L10.L16</v>
          </cell>
          <cell r="G374" t="str">
            <v>7-Day Workweek (10 hours)</v>
          </cell>
          <cell r="H374" t="str">
            <v>0d</v>
          </cell>
          <cell r="I374" t="str">
            <v>0d</v>
          </cell>
          <cell r="J374">
            <v>0</v>
          </cell>
          <cell r="K374" t="str">
            <v>As Late As Possible</v>
          </cell>
          <cell r="M374">
            <v>41511</v>
          </cell>
        </row>
        <row r="375">
          <cell r="C375" t="str">
            <v>7002-C27</v>
          </cell>
          <cell r="D375" t="str">
            <v>Mechanical Completion 7002-C27 Fire zone Q21Y Cable and Duct Shafts</v>
          </cell>
          <cell r="E375" t="str">
            <v>T.Q20.Q21</v>
          </cell>
          <cell r="G375" t="str">
            <v>7-Day Workweek (10 hours)</v>
          </cell>
          <cell r="H375" t="str">
            <v>0d</v>
          </cell>
          <cell r="I375" t="str">
            <v>0d</v>
          </cell>
          <cell r="J375">
            <v>0</v>
          </cell>
          <cell r="K375" t="str">
            <v>As Late As Possible</v>
          </cell>
          <cell r="M375">
            <v>41512</v>
          </cell>
        </row>
        <row r="376">
          <cell r="C376" t="str">
            <v>7002-C28</v>
          </cell>
          <cell r="D376" t="str">
            <v>Mechanical Completion 7002-C28 Fire zone Q22A Gas Turbine Generator</v>
          </cell>
          <cell r="E376" t="str">
            <v>T.Q20.Q22</v>
          </cell>
          <cell r="G376" t="str">
            <v>7-Day Workweek (10 hours)</v>
          </cell>
          <cell r="H376" t="str">
            <v>0d</v>
          </cell>
          <cell r="I376" t="str">
            <v>0d</v>
          </cell>
          <cell r="J376">
            <v>0</v>
          </cell>
          <cell r="K376" t="str">
            <v>As Late As Possible</v>
          </cell>
          <cell r="M376">
            <v>41512</v>
          </cell>
        </row>
        <row r="377">
          <cell r="C377" t="str">
            <v>7002-C31</v>
          </cell>
          <cell r="D377" t="str">
            <v>Mechanical Completion 7002-C31 Fire zone Q22D Fire Pump Generator</v>
          </cell>
          <cell r="E377" t="str">
            <v>T.Q20.Q22</v>
          </cell>
          <cell r="G377" t="str">
            <v>7-Day Workweek (10 hours)</v>
          </cell>
          <cell r="H377" t="str">
            <v>0d</v>
          </cell>
          <cell r="I377" t="str">
            <v>0d</v>
          </cell>
          <cell r="J377">
            <v>0</v>
          </cell>
          <cell r="K377" t="str">
            <v>As Late As Possible</v>
          </cell>
          <cell r="M377">
            <v>41512</v>
          </cell>
        </row>
        <row r="378">
          <cell r="C378" t="str">
            <v>7002-C32</v>
          </cell>
          <cell r="D378" t="str">
            <v>Mechanical Completion 7002-C32 Fire zone Q22E Fire Pump Generator Room</v>
          </cell>
          <cell r="E378" t="str">
            <v>T.Q20.Q22</v>
          </cell>
          <cell r="G378" t="str">
            <v>7-Day Workweek (10 hours)</v>
          </cell>
          <cell r="H378" t="str">
            <v>0d</v>
          </cell>
          <cell r="I378" t="str">
            <v>0d</v>
          </cell>
          <cell r="J378">
            <v>0</v>
          </cell>
          <cell r="K378" t="str">
            <v>As Late As Possible</v>
          </cell>
          <cell r="M378">
            <v>41512</v>
          </cell>
        </row>
        <row r="379">
          <cell r="C379" t="str">
            <v>7002-C23</v>
          </cell>
          <cell r="D379" t="str">
            <v>Mechanical Completion 7002-C23 Fire zone Q21CElect Transformers &amp; Floor Voids</v>
          </cell>
          <cell r="E379" t="str">
            <v>T.Q20.Q21</v>
          </cell>
          <cell r="G379" t="str">
            <v>7-Day Workweek (10 hours)</v>
          </cell>
          <cell r="H379" t="str">
            <v>0d</v>
          </cell>
          <cell r="I379" t="str">
            <v>0d</v>
          </cell>
          <cell r="J379">
            <v>0</v>
          </cell>
          <cell r="K379" t="str">
            <v>As Late As Possible</v>
          </cell>
          <cell r="M379">
            <v>41514</v>
          </cell>
        </row>
        <row r="380">
          <cell r="C380" t="str">
            <v>7002-C24</v>
          </cell>
          <cell r="D380" t="str">
            <v>Mechanical Completion 7002-C24 Fire zone Q21D Elect Transformers &amp; Floor Voids</v>
          </cell>
          <cell r="E380" t="str">
            <v>T.Q20.Q21</v>
          </cell>
          <cell r="G380" t="str">
            <v>7-Day Workweek (10 hours)</v>
          </cell>
          <cell r="H380" t="str">
            <v>0d</v>
          </cell>
          <cell r="I380" t="str">
            <v>0d</v>
          </cell>
          <cell r="J380">
            <v>0</v>
          </cell>
          <cell r="K380" t="str">
            <v>As Late As Possible</v>
          </cell>
          <cell r="M380">
            <v>41514</v>
          </cell>
        </row>
        <row r="381">
          <cell r="C381" t="str">
            <v>7003-C14</v>
          </cell>
          <cell r="D381" t="str">
            <v>Mechanical Completion 7003-C14 Fire zone L14B Escape Chute Embarkation Area</v>
          </cell>
          <cell r="E381" t="str">
            <v>T.L10.L14</v>
          </cell>
          <cell r="G381" t="str">
            <v>7-Day Workweek (10 hours)</v>
          </cell>
          <cell r="H381" t="str">
            <v>0d</v>
          </cell>
          <cell r="I381" t="str">
            <v>0d</v>
          </cell>
          <cell r="J381">
            <v>0</v>
          </cell>
          <cell r="K381" t="str">
            <v>As Late As Possible</v>
          </cell>
          <cell r="M381">
            <v>41514</v>
          </cell>
        </row>
        <row r="382">
          <cell r="C382" t="str">
            <v>7002-C25</v>
          </cell>
          <cell r="D382" t="str">
            <v>Mechanical Completion 7002-C25 Fire zone Q21E Airlocks, Corridors &amp; Safety Store</v>
          </cell>
          <cell r="E382" t="str">
            <v>T.Q20.Q21</v>
          </cell>
          <cell r="G382" t="str">
            <v>7-Day Workweek (10 hours)</v>
          </cell>
          <cell r="H382" t="str">
            <v>0d</v>
          </cell>
          <cell r="I382" t="str">
            <v>0d</v>
          </cell>
          <cell r="J382">
            <v>0</v>
          </cell>
          <cell r="K382" t="str">
            <v>As Late As Possible</v>
          </cell>
          <cell r="M382">
            <v>41516</v>
          </cell>
        </row>
        <row r="383">
          <cell r="C383" t="str">
            <v>7002-C26</v>
          </cell>
          <cell r="D383" t="str">
            <v>Mechanical Completion 7002-C26 Fire zone Q21X Internal Staircase</v>
          </cell>
          <cell r="E383" t="str">
            <v>T.Q20.Q21</v>
          </cell>
          <cell r="G383" t="str">
            <v>7-Day Workweek (10 hours)</v>
          </cell>
          <cell r="H383" t="str">
            <v>0d</v>
          </cell>
          <cell r="I383" t="str">
            <v>0d</v>
          </cell>
          <cell r="J383">
            <v>0</v>
          </cell>
          <cell r="K383" t="str">
            <v>As Late As Possible</v>
          </cell>
          <cell r="M383">
            <v>41516</v>
          </cell>
        </row>
        <row r="384">
          <cell r="C384" t="str">
            <v>7002-C29</v>
          </cell>
          <cell r="D384" t="str">
            <v>Mechanical Completion 7002-C29 Fire zone Q22B Gas Turbine Generator Area</v>
          </cell>
          <cell r="E384" t="str">
            <v>T.Q20.Q22</v>
          </cell>
          <cell r="G384" t="str">
            <v>7-Day Workweek (10 hours)</v>
          </cell>
          <cell r="H384" t="str">
            <v>0d</v>
          </cell>
          <cell r="I384" t="str">
            <v>0d</v>
          </cell>
          <cell r="J384">
            <v>0</v>
          </cell>
          <cell r="K384" t="str">
            <v>As Late As Possible</v>
          </cell>
          <cell r="M384">
            <v>41516</v>
          </cell>
        </row>
        <row r="385">
          <cell r="C385" t="str">
            <v>7002-C30</v>
          </cell>
          <cell r="D385" t="str">
            <v>Mechanical Completion 7002-C30 Fire zone Q22C HVAC Plantroom</v>
          </cell>
          <cell r="E385" t="str">
            <v>T.Q20.Q22</v>
          </cell>
          <cell r="G385" t="str">
            <v>7-Day Workweek (10 hours)</v>
          </cell>
          <cell r="H385" t="str">
            <v>0d</v>
          </cell>
          <cell r="I385" t="str">
            <v>0d</v>
          </cell>
          <cell r="J385">
            <v>0</v>
          </cell>
          <cell r="K385" t="str">
            <v>As Late As Possible</v>
          </cell>
          <cell r="M385">
            <v>41516</v>
          </cell>
        </row>
        <row r="386">
          <cell r="C386" t="str">
            <v>7003-C15</v>
          </cell>
          <cell r="D386" t="str">
            <v>Mechanical Completion 7003-C15 Fire zone L14C Air Intake Accommodation and North Shaft</v>
          </cell>
          <cell r="E386" t="str">
            <v>T.L10.L14</v>
          </cell>
          <cell r="G386" t="str">
            <v>7-Day Workweek (10 hours)</v>
          </cell>
          <cell r="H386" t="str">
            <v>0d</v>
          </cell>
          <cell r="I386" t="str">
            <v>0d</v>
          </cell>
          <cell r="J386">
            <v>0</v>
          </cell>
          <cell r="K386" t="str">
            <v>As Late As Possible</v>
          </cell>
          <cell r="M386">
            <v>41516</v>
          </cell>
        </row>
        <row r="387">
          <cell r="C387" t="str">
            <v>7003-C16</v>
          </cell>
          <cell r="D387" t="str">
            <v>Mechanical Completion 7003-C16 Fire zone L15A Cabins</v>
          </cell>
          <cell r="E387" t="str">
            <v>T.L10.L15</v>
          </cell>
          <cell r="G387" t="str">
            <v>7-Day Workweek (10 hours)</v>
          </cell>
          <cell r="H387" t="str">
            <v>0d</v>
          </cell>
          <cell r="I387" t="str">
            <v>0d</v>
          </cell>
          <cell r="J387">
            <v>0</v>
          </cell>
          <cell r="K387" t="str">
            <v>As Late As Possible</v>
          </cell>
          <cell r="M387">
            <v>41516</v>
          </cell>
        </row>
        <row r="388">
          <cell r="C388" t="str">
            <v>7003-C18</v>
          </cell>
          <cell r="D388" t="str">
            <v>Mechanical Completion 7003-C18 Fire zone L17A HVAC Extract Plant room</v>
          </cell>
          <cell r="E388" t="str">
            <v>T.L10.L17</v>
          </cell>
          <cell r="G388" t="str">
            <v>7-Day Workweek (10 hours)</v>
          </cell>
          <cell r="H388" t="str">
            <v>0d</v>
          </cell>
          <cell r="I388" t="str">
            <v>0d</v>
          </cell>
          <cell r="J388">
            <v>0</v>
          </cell>
          <cell r="K388" t="str">
            <v>As Late As Possible</v>
          </cell>
          <cell r="M388">
            <v>41516</v>
          </cell>
        </row>
        <row r="389">
          <cell r="C389" t="str">
            <v>7003-C19</v>
          </cell>
          <cell r="D389" t="str">
            <v>Mechanical Completion 7003-C19 Fire zone L17B Telecommunications Rooms</v>
          </cell>
          <cell r="E389" t="str">
            <v>T.L10.L17</v>
          </cell>
          <cell r="G389" t="str">
            <v>7-Day Workweek (10 hours)</v>
          </cell>
          <cell r="H389" t="str">
            <v>0d</v>
          </cell>
          <cell r="I389" t="str">
            <v>0d</v>
          </cell>
          <cell r="J389">
            <v>0</v>
          </cell>
          <cell r="K389" t="str">
            <v>As Late As Possible</v>
          </cell>
          <cell r="M389">
            <v>41516</v>
          </cell>
        </row>
        <row r="390">
          <cell r="F390">
            <v>0</v>
          </cell>
          <cell r="G390" t="str">
            <v>7-Day Workweek (10 hours)</v>
          </cell>
          <cell r="H390" t="str">
            <v>61d</v>
          </cell>
          <cell r="I390" t="str">
            <v>61d</v>
          </cell>
          <cell r="J390">
            <v>0</v>
          </cell>
          <cell r="L390">
            <v>41390</v>
          </cell>
          <cell r="M390">
            <v>41438</v>
          </cell>
        </row>
        <row r="391">
          <cell r="C391" t="str">
            <v>7101-C16</v>
          </cell>
          <cell r="D391" t="str">
            <v>Mechanical Completion 7101-C16 Panel 71JC101 - Node L55 - FWP EM Diesel 71XX101 (Level 1)</v>
          </cell>
          <cell r="E391" t="str">
            <v>T.Q30</v>
          </cell>
          <cell r="G391" t="str">
            <v>7-Day Workweek (10 hours)</v>
          </cell>
          <cell r="H391" t="str">
            <v>0d</v>
          </cell>
          <cell r="I391" t="str">
            <v>0d</v>
          </cell>
          <cell r="J391">
            <v>0</v>
          </cell>
          <cell r="K391" t="str">
            <v>As Late As Possible</v>
          </cell>
          <cell r="M391">
            <v>41390</v>
          </cell>
        </row>
        <row r="392">
          <cell r="C392" t="str">
            <v>7101-C11</v>
          </cell>
          <cell r="D392" t="str">
            <v>Mechanical Completion 7101-C11 Diesel Generator for firewater pump A</v>
          </cell>
          <cell r="E392" t="str">
            <v>T.Q30</v>
          </cell>
          <cell r="G392" t="str">
            <v>7-Day Workweek (10 hours)</v>
          </cell>
          <cell r="H392" t="str">
            <v>0d</v>
          </cell>
          <cell r="I392" t="str">
            <v>0d</v>
          </cell>
          <cell r="J392">
            <v>0</v>
          </cell>
          <cell r="K392" t="str">
            <v>As Late As Possible</v>
          </cell>
          <cell r="M392">
            <v>41394</v>
          </cell>
        </row>
        <row r="393">
          <cell r="C393" t="str">
            <v>7101-C17</v>
          </cell>
          <cell r="D393" t="str">
            <v>Mechanical Completion 7101-C17 Panel 71JC201 - Node L56 - FWP EM Diesel 71XX201 (Level 1)</v>
          </cell>
          <cell r="E393" t="str">
            <v>T.Q30</v>
          </cell>
          <cell r="G393" t="str">
            <v>7-Day Workweek (10 hours)</v>
          </cell>
          <cell r="H393" t="str">
            <v>0d</v>
          </cell>
          <cell r="I393" t="str">
            <v>0d</v>
          </cell>
          <cell r="J393">
            <v>0</v>
          </cell>
          <cell r="K393" t="str">
            <v>As Late As Possible</v>
          </cell>
          <cell r="M393">
            <v>41394</v>
          </cell>
        </row>
        <row r="394">
          <cell r="C394" t="str">
            <v>7101-C15</v>
          </cell>
          <cell r="D394" t="str">
            <v>Mechanical Completion 7101-C15 Panel 71JC301 - Node L54 - FWP EM Diesel 71XX301 (Utility deck)</v>
          </cell>
          <cell r="E394" t="str">
            <v>T.Q30</v>
          </cell>
          <cell r="G394" t="str">
            <v>7-Day Workweek (10 hours)</v>
          </cell>
          <cell r="H394" t="str">
            <v>0d</v>
          </cell>
          <cell r="I394" t="str">
            <v>0d</v>
          </cell>
          <cell r="J394">
            <v>0</v>
          </cell>
          <cell r="K394" t="str">
            <v>As Late As Possible</v>
          </cell>
          <cell r="M394">
            <v>41397</v>
          </cell>
        </row>
        <row r="395">
          <cell r="C395" t="str">
            <v>7101-C18</v>
          </cell>
          <cell r="D395" t="str">
            <v>Mechanical Completion 7101-C18 Panel 71JC401 - Node L57 - FWP EM Diesel 71XX401 (Level 1)</v>
          </cell>
          <cell r="E395" t="str">
            <v>T.Q30</v>
          </cell>
          <cell r="G395" t="str">
            <v>7-Day Workweek (10 hours)</v>
          </cell>
          <cell r="H395" t="str">
            <v>0d</v>
          </cell>
          <cell r="I395" t="str">
            <v>0d</v>
          </cell>
          <cell r="J395">
            <v>0</v>
          </cell>
          <cell r="K395" t="str">
            <v>As Late As Possible</v>
          </cell>
          <cell r="M395">
            <v>41401</v>
          </cell>
        </row>
        <row r="396">
          <cell r="C396" t="str">
            <v>7101-C01</v>
          </cell>
          <cell r="D396" t="str">
            <v>Mechanical Completion 7101-C01 Firewater pump 71PI001A</v>
          </cell>
          <cell r="E396" t="str">
            <v>T.Q30</v>
          </cell>
          <cell r="G396" t="str">
            <v>7-Day Workweek (10 hours)</v>
          </cell>
          <cell r="H396" t="str">
            <v>0d</v>
          </cell>
          <cell r="I396" t="str">
            <v>0d</v>
          </cell>
          <cell r="J396">
            <v>0</v>
          </cell>
          <cell r="K396" t="str">
            <v>As Late As Possible</v>
          </cell>
          <cell r="M396">
            <v>41405</v>
          </cell>
        </row>
        <row r="397">
          <cell r="C397" t="str">
            <v>7101-C12</v>
          </cell>
          <cell r="D397" t="str">
            <v>Mechanical Completion 7101-C12 Diesel Generator for firewater pump B</v>
          </cell>
          <cell r="E397" t="str">
            <v>T.Q30</v>
          </cell>
          <cell r="G397" t="str">
            <v>7-Day Workweek (10 hours)</v>
          </cell>
          <cell r="H397" t="str">
            <v>0d</v>
          </cell>
          <cell r="I397" t="str">
            <v>0d</v>
          </cell>
          <cell r="J397">
            <v>0</v>
          </cell>
          <cell r="K397" t="str">
            <v>As Late As Possible</v>
          </cell>
          <cell r="M397">
            <v>41405</v>
          </cell>
        </row>
        <row r="398">
          <cell r="C398" t="str">
            <v>7101-C05</v>
          </cell>
          <cell r="D398" t="str">
            <v>Mechanical Completion 7101-C05 Firewater ringmain / Jockey Pump 71PA002A/002B</v>
          </cell>
          <cell r="E398" t="str">
            <v>H.N10</v>
          </cell>
          <cell r="G398" t="str">
            <v>7-Day Workweek (10 hours)</v>
          </cell>
          <cell r="H398" t="str">
            <v>0d</v>
          </cell>
          <cell r="I398" t="str">
            <v>0d</v>
          </cell>
          <cell r="J398">
            <v>0</v>
          </cell>
          <cell r="K398" t="str">
            <v>As Late As Possible</v>
          </cell>
          <cell r="M398">
            <v>41410</v>
          </cell>
        </row>
        <row r="399">
          <cell r="C399" t="str">
            <v>7101-C02</v>
          </cell>
          <cell r="D399" t="str">
            <v>Mechanical Completion 7101-C02 Firewater pump 71PI001B</v>
          </cell>
          <cell r="E399" t="str">
            <v>T.Q30</v>
          </cell>
          <cell r="G399" t="str">
            <v>7-Day Workweek (10 hours)</v>
          </cell>
          <cell r="H399" t="str">
            <v>0d</v>
          </cell>
          <cell r="I399" t="str">
            <v>0d</v>
          </cell>
          <cell r="J399">
            <v>0</v>
          </cell>
          <cell r="K399" t="str">
            <v>As Late As Possible</v>
          </cell>
          <cell r="M399">
            <v>41416</v>
          </cell>
        </row>
        <row r="400">
          <cell r="C400" t="str">
            <v>7101-C13</v>
          </cell>
          <cell r="D400" t="str">
            <v>Mechanical Completion 7101-C13 Diesel Generator for firewater pump C</v>
          </cell>
          <cell r="E400" t="str">
            <v>T.Q30</v>
          </cell>
          <cell r="G400" t="str">
            <v>7-Day Workweek (10 hours)</v>
          </cell>
          <cell r="H400" t="str">
            <v>0d</v>
          </cell>
          <cell r="I400" t="str">
            <v>0d</v>
          </cell>
          <cell r="J400">
            <v>0</v>
          </cell>
          <cell r="K400" t="str">
            <v>As Late As Possible</v>
          </cell>
          <cell r="M400">
            <v>41416</v>
          </cell>
        </row>
        <row r="401">
          <cell r="C401" t="str">
            <v>7101-C06</v>
          </cell>
          <cell r="D401" t="str">
            <v>Mechanical Completion 7101-C06 Firewater ringmain El. +44000</v>
          </cell>
          <cell r="E401" t="str">
            <v>H.M10</v>
          </cell>
          <cell r="G401" t="str">
            <v>7-Day Workweek (10 hours)</v>
          </cell>
          <cell r="H401" t="str">
            <v>0d</v>
          </cell>
          <cell r="I401" t="str">
            <v>0d</v>
          </cell>
          <cell r="J401">
            <v>0</v>
          </cell>
          <cell r="K401" t="str">
            <v>As Late As Possible</v>
          </cell>
          <cell r="M401">
            <v>41424</v>
          </cell>
        </row>
        <row r="402">
          <cell r="C402" t="str">
            <v>7101-C09</v>
          </cell>
          <cell r="D402" t="str">
            <v>Mechanical Completion 7101-C09 Fire water Hydrants &amp; Hosereels North &amp; Central Shaft</v>
          </cell>
          <cell r="E402" t="str">
            <v>H.G20</v>
          </cell>
          <cell r="G402" t="str">
            <v>7-Day Workweek (10 hours)</v>
          </cell>
          <cell r="H402" t="str">
            <v>0d</v>
          </cell>
          <cell r="I402" t="str">
            <v>0d</v>
          </cell>
          <cell r="J402">
            <v>0</v>
          </cell>
          <cell r="K402" t="str">
            <v>As Late As Possible</v>
          </cell>
          <cell r="M402">
            <v>41424</v>
          </cell>
        </row>
        <row r="403">
          <cell r="C403" t="str">
            <v>7101-C08</v>
          </cell>
          <cell r="D403" t="str">
            <v>Mechanical Completion 7101-C08 Firewater ringmain LQ &amp; Helideck</v>
          </cell>
          <cell r="E403" t="str">
            <v>T.L10</v>
          </cell>
          <cell r="G403" t="str">
            <v>7-Day Workweek (10 hours)</v>
          </cell>
          <cell r="H403" t="str">
            <v>0d</v>
          </cell>
          <cell r="I403" t="str">
            <v>0d</v>
          </cell>
          <cell r="J403">
            <v>0</v>
          </cell>
          <cell r="K403" t="str">
            <v>As Late As Possible</v>
          </cell>
          <cell r="M403">
            <v>41424</v>
          </cell>
        </row>
        <row r="404">
          <cell r="C404" t="str">
            <v>7101-C03</v>
          </cell>
          <cell r="D404" t="str">
            <v>Mechanical Completion 7101-C03 Firewater pump 71PI001C</v>
          </cell>
          <cell r="E404" t="str">
            <v>T.Q30</v>
          </cell>
          <cell r="G404" t="str">
            <v>7-Day Workweek (10 hours)</v>
          </cell>
          <cell r="H404" t="str">
            <v>0d</v>
          </cell>
          <cell r="I404" t="str">
            <v>0d</v>
          </cell>
          <cell r="J404">
            <v>0</v>
          </cell>
          <cell r="K404" t="str">
            <v>As Late As Possible</v>
          </cell>
          <cell r="M404">
            <v>41428</v>
          </cell>
        </row>
        <row r="405">
          <cell r="C405" t="str">
            <v>7101-C14</v>
          </cell>
          <cell r="D405" t="str">
            <v>Mechanical Completion 7101-C14 Diesel Generator for firewater pump D</v>
          </cell>
          <cell r="E405" t="str">
            <v>T.Q30</v>
          </cell>
          <cell r="G405" t="str">
            <v>7-Day Workweek (10 hours)</v>
          </cell>
          <cell r="H405" t="str">
            <v>0d</v>
          </cell>
          <cell r="I405" t="str">
            <v>0d</v>
          </cell>
          <cell r="J405">
            <v>0</v>
          </cell>
          <cell r="K405" t="str">
            <v>As Late As Possible</v>
          </cell>
          <cell r="M405">
            <v>41428</v>
          </cell>
        </row>
        <row r="406">
          <cell r="C406" t="str">
            <v>7101-C07</v>
          </cell>
          <cell r="D406" t="str">
            <v>Mechanical Completion 7101-C07 Firewater ringmain El. +55000</v>
          </cell>
          <cell r="E406" t="str">
            <v>T.P10</v>
          </cell>
          <cell r="G406" t="str">
            <v>7-Day Workweek (10 hours)</v>
          </cell>
          <cell r="H406" t="str">
            <v>0d</v>
          </cell>
          <cell r="I406" t="str">
            <v>0d</v>
          </cell>
          <cell r="J406">
            <v>0</v>
          </cell>
          <cell r="K406" t="str">
            <v>As Late As Possible</v>
          </cell>
          <cell r="M406">
            <v>41433</v>
          </cell>
        </row>
        <row r="407">
          <cell r="C407" t="str">
            <v>7101-C10</v>
          </cell>
          <cell r="D407" t="str">
            <v>Mechanical Completion 7101-C10 Firewater ringmain Weather deck + Utility El. +63500</v>
          </cell>
          <cell r="E407" t="str">
            <v>T.P10</v>
          </cell>
          <cell r="G407" t="str">
            <v>7-Day Workweek (10 hours)</v>
          </cell>
          <cell r="H407" t="str">
            <v>0d</v>
          </cell>
          <cell r="I407" t="str">
            <v>0d</v>
          </cell>
          <cell r="J407">
            <v>0</v>
          </cell>
          <cell r="K407" t="str">
            <v>As Late As Possible</v>
          </cell>
          <cell r="M407">
            <v>41433</v>
          </cell>
        </row>
        <row r="408">
          <cell r="C408" t="str">
            <v>7101-C04</v>
          </cell>
          <cell r="D408" t="str">
            <v>Mechanical Completion 7101-C04 Firewater pump 71PI001D</v>
          </cell>
          <cell r="E408" t="str">
            <v>T.Q30</v>
          </cell>
          <cell r="G408" t="str">
            <v>7-Day Workweek (10 hours)</v>
          </cell>
          <cell r="H408" t="str">
            <v>0d</v>
          </cell>
          <cell r="I408" t="str">
            <v>0d</v>
          </cell>
          <cell r="J408">
            <v>0</v>
          </cell>
          <cell r="K408" t="str">
            <v>As Late As Possible</v>
          </cell>
          <cell r="M408">
            <v>41438</v>
          </cell>
        </row>
        <row r="409">
          <cell r="F409">
            <v>0</v>
          </cell>
          <cell r="G409" t="str">
            <v>7-Day Workweek (10 hours)</v>
          </cell>
          <cell r="H409" t="str">
            <v>104d</v>
          </cell>
          <cell r="I409" t="str">
            <v>104d</v>
          </cell>
          <cell r="J409">
            <v>0</v>
          </cell>
          <cell r="L409">
            <v>41433</v>
          </cell>
          <cell r="M409">
            <v>41516</v>
          </cell>
        </row>
        <row r="410">
          <cell r="C410" t="str">
            <v>7201-C03</v>
          </cell>
          <cell r="D410" t="str">
            <v>Mechanical Completion 7201-C03 Water mist skid 72SM001</v>
          </cell>
          <cell r="E410" t="str">
            <v>H.N10</v>
          </cell>
          <cell r="G410" t="str">
            <v>7-Day Workweek (10 hours)</v>
          </cell>
          <cell r="H410" t="str">
            <v>0d</v>
          </cell>
          <cell r="I410" t="str">
            <v>0d</v>
          </cell>
          <cell r="J410">
            <v>0</v>
          </cell>
          <cell r="K410" t="str">
            <v>As Late As Possible</v>
          </cell>
          <cell r="M410">
            <v>41433</v>
          </cell>
        </row>
        <row r="411">
          <cell r="C411" t="str">
            <v>7201-C01</v>
          </cell>
          <cell r="D411" t="str">
            <v>Mechanical Completion 7201-C01 Deluge skid 72SU004</v>
          </cell>
          <cell r="E411" t="str">
            <v>T.Q30</v>
          </cell>
          <cell r="G411" t="str">
            <v>7-Day Workweek (10 hours)</v>
          </cell>
          <cell r="H411" t="str">
            <v>0d</v>
          </cell>
          <cell r="I411" t="str">
            <v>0d</v>
          </cell>
          <cell r="J411">
            <v>0</v>
          </cell>
          <cell r="K411" t="str">
            <v>As Late As Possible</v>
          </cell>
          <cell r="M411">
            <v>41516</v>
          </cell>
        </row>
        <row r="412">
          <cell r="C412" t="str">
            <v>7201-C02</v>
          </cell>
          <cell r="D412" t="str">
            <v>Mechanical Completion 7201-C02 Deluge skid 72SU001</v>
          </cell>
          <cell r="E412" t="str">
            <v>T.P20</v>
          </cell>
          <cell r="G412" t="str">
            <v>7-Day Workweek (10 hours)</v>
          </cell>
          <cell r="H412" t="str">
            <v>0d</v>
          </cell>
          <cell r="I412" t="str">
            <v>0d</v>
          </cell>
          <cell r="J412">
            <v>0</v>
          </cell>
          <cell r="K412" t="str">
            <v>As Late As Possible</v>
          </cell>
          <cell r="M412">
            <v>41516</v>
          </cell>
        </row>
        <row r="413">
          <cell r="C413" t="str">
            <v>7201-C04</v>
          </cell>
          <cell r="D413" t="str">
            <v>Mechanical Completion 7201-C04 Deluge skid helideck 72SU003</v>
          </cell>
          <cell r="E413" t="str">
            <v>T.H10</v>
          </cell>
          <cell r="G413" t="str">
            <v>7-Day Workweek (10 hours)</v>
          </cell>
          <cell r="H413" t="str">
            <v>0d</v>
          </cell>
          <cell r="I413" t="str">
            <v>0d</v>
          </cell>
          <cell r="J413">
            <v>0</v>
          </cell>
          <cell r="K413" t="str">
            <v>As Late As Possible</v>
          </cell>
          <cell r="M413">
            <v>41516</v>
          </cell>
        </row>
        <row r="414">
          <cell r="C414" t="str">
            <v>7201-C05</v>
          </cell>
          <cell r="D414" t="str">
            <v>Mechanical Completion 7201-C05 Monitors, Hydrants &amp; Hosereels Hull</v>
          </cell>
          <cell r="E414" t="str">
            <v>H.G20</v>
          </cell>
          <cell r="G414" t="str">
            <v>7-Day Workweek (10 hours)</v>
          </cell>
          <cell r="H414" t="str">
            <v>0d</v>
          </cell>
          <cell r="I414" t="str">
            <v>0d</v>
          </cell>
          <cell r="J414">
            <v>0</v>
          </cell>
          <cell r="K414" t="str">
            <v>As Late As Possible</v>
          </cell>
          <cell r="M414">
            <v>41516</v>
          </cell>
        </row>
        <row r="415">
          <cell r="C415" t="str">
            <v>7201-C06</v>
          </cell>
          <cell r="D415" t="str">
            <v>Mechanical Completion 7201-C06 Monitors, Hydrants &amp; Hosereels Topside</v>
          </cell>
          <cell r="E415" t="str">
            <v>T.P10</v>
          </cell>
          <cell r="G415" t="str">
            <v>7-Day Workweek (10 hours)</v>
          </cell>
          <cell r="H415" t="str">
            <v>0d</v>
          </cell>
          <cell r="I415" t="str">
            <v>0d</v>
          </cell>
          <cell r="J415">
            <v>0</v>
          </cell>
          <cell r="K415" t="str">
            <v>As Late As Possible</v>
          </cell>
          <cell r="M415">
            <v>41516</v>
          </cell>
        </row>
        <row r="416">
          <cell r="C416" t="str">
            <v>7201-C07</v>
          </cell>
          <cell r="D416" t="str">
            <v>Mechanical Completion 7201-C07 Loose Fire Fighting Equipment Hull</v>
          </cell>
          <cell r="E416" t="str">
            <v>H.G20</v>
          </cell>
          <cell r="G416" t="str">
            <v>7-Day Workweek (10 hours)</v>
          </cell>
          <cell r="H416" t="str">
            <v>0d</v>
          </cell>
          <cell r="I416" t="str">
            <v>0d</v>
          </cell>
          <cell r="J416">
            <v>0</v>
          </cell>
          <cell r="K416" t="str">
            <v>As Late As Possible</v>
          </cell>
          <cell r="M416">
            <v>41516</v>
          </cell>
        </row>
        <row r="417">
          <cell r="C417" t="str">
            <v>7201-C08</v>
          </cell>
          <cell r="D417" t="str">
            <v>Mechanical Completion 7201-C08 Loose Fire Fighting Equipment Topside incl. LQ</v>
          </cell>
          <cell r="E417" t="str">
            <v>T.P10</v>
          </cell>
          <cell r="G417" t="str">
            <v>7-Day Workweek (10 hours)</v>
          </cell>
          <cell r="H417" t="str">
            <v>0d</v>
          </cell>
          <cell r="I417" t="str">
            <v>0d</v>
          </cell>
          <cell r="J417">
            <v>0</v>
          </cell>
          <cell r="K417" t="str">
            <v>As Late As Possible</v>
          </cell>
          <cell r="M417">
            <v>41516</v>
          </cell>
        </row>
        <row r="418">
          <cell r="F418">
            <v>0</v>
          </cell>
          <cell r="G418" t="str">
            <v>7-Day Workweek (10 hours)</v>
          </cell>
          <cell r="H418" t="str">
            <v>190d</v>
          </cell>
          <cell r="I418" t="str">
            <v>190d</v>
          </cell>
          <cell r="J418">
            <v>0</v>
          </cell>
          <cell r="L418">
            <v>41365</v>
          </cell>
          <cell r="M418">
            <v>41516</v>
          </cell>
        </row>
        <row r="419">
          <cell r="C419" t="str">
            <v>7301-C02</v>
          </cell>
          <cell r="D419" t="str">
            <v>Mechanical Completion 7301-C02 73MA002 Easth Crane</v>
          </cell>
          <cell r="E419" t="str">
            <v>T.Q30</v>
          </cell>
          <cell r="G419" t="str">
            <v>7-Day Workweek (10 hours)</v>
          </cell>
          <cell r="H419" t="str">
            <v>0d</v>
          </cell>
          <cell r="I419" t="str">
            <v>0d</v>
          </cell>
          <cell r="J419">
            <v>0</v>
          </cell>
          <cell r="K419" t="str">
            <v>Finish On</v>
          </cell>
          <cell r="M419" t="str">
            <v>01-Apr-13*</v>
          </cell>
        </row>
        <row r="420">
          <cell r="C420" t="str">
            <v>7301-C01</v>
          </cell>
          <cell r="D420" t="str">
            <v>Mechanical Completion 7301-C01 73MA001 West Crane</v>
          </cell>
          <cell r="E420" t="str">
            <v>T.Q20</v>
          </cell>
          <cell r="G420" t="str">
            <v>7-Day Workweek (10 hours)</v>
          </cell>
          <cell r="H420" t="str">
            <v>0d</v>
          </cell>
          <cell r="I420" t="str">
            <v>0d</v>
          </cell>
          <cell r="J420">
            <v>0</v>
          </cell>
          <cell r="K420" t="str">
            <v>As Late As Possible</v>
          </cell>
          <cell r="M420">
            <v>41373</v>
          </cell>
        </row>
        <row r="421">
          <cell r="C421" t="str">
            <v>7301-C03</v>
          </cell>
          <cell r="D421" t="str">
            <v>Mechanical Completion 7301-C03 73MC001 Hazardous Process Elevator</v>
          </cell>
          <cell r="E421" t="str">
            <v>T.P10</v>
          </cell>
          <cell r="G421" t="str">
            <v>7-Day Workweek (10 hours)</v>
          </cell>
          <cell r="H421" t="str">
            <v>0d</v>
          </cell>
          <cell r="I421" t="str">
            <v>0d</v>
          </cell>
          <cell r="J421">
            <v>0</v>
          </cell>
          <cell r="K421" t="str">
            <v>As Late As Possible</v>
          </cell>
          <cell r="M421">
            <v>41373</v>
          </cell>
        </row>
        <row r="422">
          <cell r="C422" t="str">
            <v>7301-C04</v>
          </cell>
          <cell r="D422" t="str">
            <v>Mechanical Completion 7301-C04 73MC002 Centre Shaft Elevator</v>
          </cell>
          <cell r="E422" t="str">
            <v>H.G20</v>
          </cell>
          <cell r="G422" t="str">
            <v>7-Day Workweek (10 hours)</v>
          </cell>
          <cell r="H422" t="str">
            <v>0d</v>
          </cell>
          <cell r="I422" t="str">
            <v>0d</v>
          </cell>
          <cell r="J422">
            <v>0</v>
          </cell>
          <cell r="K422" t="str">
            <v>As Late As Possible</v>
          </cell>
          <cell r="M422">
            <v>41379</v>
          </cell>
        </row>
        <row r="423">
          <cell r="C423" t="str">
            <v>7301-C05</v>
          </cell>
          <cell r="D423" t="str">
            <v>Mechanical Completion 7301-C05 73MC003 North Shaft Elevator</v>
          </cell>
          <cell r="E423" t="str">
            <v>H.N10</v>
          </cell>
          <cell r="G423" t="str">
            <v>7-Day Workweek (10 hours)</v>
          </cell>
          <cell r="H423" t="str">
            <v>0d</v>
          </cell>
          <cell r="I423" t="str">
            <v>0d</v>
          </cell>
          <cell r="J423">
            <v>0</v>
          </cell>
          <cell r="K423" t="str">
            <v>As Late As Possible</v>
          </cell>
          <cell r="M423">
            <v>41384</v>
          </cell>
        </row>
        <row r="424">
          <cell r="C424" t="str">
            <v>7301-C06</v>
          </cell>
          <cell r="D424" t="str">
            <v>Mechanical Completion 7301-C06 73MC004 Utility Area Lift West</v>
          </cell>
          <cell r="E424" t="str">
            <v>T.Q20</v>
          </cell>
          <cell r="G424" t="str">
            <v>7-Day Workweek (10 hours)</v>
          </cell>
          <cell r="H424" t="str">
            <v>0d</v>
          </cell>
          <cell r="I424" t="str">
            <v>0d</v>
          </cell>
          <cell r="J424">
            <v>0</v>
          </cell>
          <cell r="K424" t="str">
            <v>As Late As Possible</v>
          </cell>
          <cell r="M424">
            <v>41390</v>
          </cell>
        </row>
        <row r="425">
          <cell r="C425" t="str">
            <v>7301-C07</v>
          </cell>
          <cell r="D425" t="str">
            <v>Mechanical Completion 7301-C07 73MC005 Personnel LQ Elevator</v>
          </cell>
          <cell r="E425" t="str">
            <v>T.L10</v>
          </cell>
          <cell r="G425" t="str">
            <v>7-Day Workweek (10 hours)</v>
          </cell>
          <cell r="H425" t="str">
            <v>0d</v>
          </cell>
          <cell r="I425" t="str">
            <v>0d</v>
          </cell>
          <cell r="J425">
            <v>0</v>
          </cell>
          <cell r="K425" t="str">
            <v>As Late As Possible</v>
          </cell>
          <cell r="M425">
            <v>41401</v>
          </cell>
        </row>
        <row r="426">
          <cell r="C426" t="str">
            <v>7301-C08</v>
          </cell>
          <cell r="D426" t="str">
            <v>Mechanical Completion 7301-C08 Workshop Overhead Crane</v>
          </cell>
          <cell r="E426" t="str">
            <v>T.Q30</v>
          </cell>
          <cell r="G426" t="str">
            <v>7-Day Workweek (10 hours)</v>
          </cell>
          <cell r="H426" t="str">
            <v>0d</v>
          </cell>
          <cell r="I426" t="str">
            <v>0d</v>
          </cell>
          <cell r="J426">
            <v>0</v>
          </cell>
          <cell r="K426" t="str">
            <v>As Late As Possible</v>
          </cell>
          <cell r="M426">
            <v>41510</v>
          </cell>
        </row>
        <row r="427">
          <cell r="C427" t="str">
            <v>7301-C09</v>
          </cell>
          <cell r="D427" t="str">
            <v>Mechanical Completion 7301-C09 Monorails Hull</v>
          </cell>
          <cell r="E427" t="str">
            <v>H.G20</v>
          </cell>
          <cell r="G427" t="str">
            <v>7-Day Workweek (10 hours)</v>
          </cell>
          <cell r="H427" t="str">
            <v>0d</v>
          </cell>
          <cell r="I427" t="str">
            <v>0d</v>
          </cell>
          <cell r="J427">
            <v>0</v>
          </cell>
          <cell r="K427" t="str">
            <v>As Late As Possible</v>
          </cell>
          <cell r="M427">
            <v>41515</v>
          </cell>
        </row>
        <row r="428">
          <cell r="C428" t="str">
            <v>7301-C11</v>
          </cell>
          <cell r="D428" t="str">
            <v>Mechanical Completion 7301-C11 Monorails Topside</v>
          </cell>
          <cell r="E428" t="str">
            <v>T.P10</v>
          </cell>
          <cell r="G428" t="str">
            <v>7-Day Workweek (10 hours)</v>
          </cell>
          <cell r="H428" t="str">
            <v>0d</v>
          </cell>
          <cell r="I428" t="str">
            <v>0d</v>
          </cell>
          <cell r="J428">
            <v>0</v>
          </cell>
          <cell r="K428" t="str">
            <v>Finish On</v>
          </cell>
          <cell r="M428" t="str">
            <v>30-Aug-13*</v>
          </cell>
        </row>
        <row r="429">
          <cell r="C429" t="str">
            <v>7301-C10</v>
          </cell>
          <cell r="D429" t="str">
            <v>Mechanical Completion 7301-C10 Padeyes Hull</v>
          </cell>
          <cell r="E429" t="str">
            <v>H.G20</v>
          </cell>
          <cell r="G429" t="str">
            <v>7-Day Workweek (10 hours)</v>
          </cell>
          <cell r="H429" t="str">
            <v>0d</v>
          </cell>
          <cell r="I429" t="str">
            <v>0d</v>
          </cell>
          <cell r="J429">
            <v>0</v>
          </cell>
          <cell r="K429" t="str">
            <v>Finish On</v>
          </cell>
          <cell r="M429" t="str">
            <v>30-Aug-13*</v>
          </cell>
        </row>
        <row r="430">
          <cell r="C430" t="str">
            <v>7301-C12</v>
          </cell>
          <cell r="D430" t="str">
            <v>Mechanical Completion 7301-C12 Padeyes Topside</v>
          </cell>
          <cell r="E430" t="str">
            <v>T.P10</v>
          </cell>
          <cell r="G430" t="str">
            <v>7-Day Workweek (10 hours)</v>
          </cell>
          <cell r="H430" t="str">
            <v>0d</v>
          </cell>
          <cell r="I430" t="str">
            <v>0d</v>
          </cell>
          <cell r="J430">
            <v>0</v>
          </cell>
          <cell r="K430" t="str">
            <v>Finish On</v>
          </cell>
          <cell r="M430" t="str">
            <v>30-Aug-13*</v>
          </cell>
        </row>
        <row r="431">
          <cell r="F431">
            <v>0</v>
          </cell>
          <cell r="G431" t="str">
            <v>7-Day Workweek (10 hours)</v>
          </cell>
          <cell r="H431" t="str">
            <v>227d</v>
          </cell>
          <cell r="I431" t="str">
            <v>227d</v>
          </cell>
          <cell r="J431">
            <v>0</v>
          </cell>
          <cell r="L431">
            <v>41334</v>
          </cell>
          <cell r="M431">
            <v>41516</v>
          </cell>
        </row>
        <row r="432">
          <cell r="C432" t="str">
            <v>7601-C05</v>
          </cell>
          <cell r="D432" t="str">
            <v>Mechanical Completion 7601-C05 Miscellaneous Lifesaving Equipment</v>
          </cell>
          <cell r="E432" t="str">
            <v>T.L10</v>
          </cell>
          <cell r="G432" t="str">
            <v>7-Day Workweek (10 hours)</v>
          </cell>
          <cell r="H432" t="str">
            <v>0d</v>
          </cell>
          <cell r="I432" t="str">
            <v>0d</v>
          </cell>
          <cell r="J432">
            <v>0</v>
          </cell>
          <cell r="K432" t="str">
            <v>Finish On</v>
          </cell>
          <cell r="M432" t="str">
            <v>01-Mar-13*</v>
          </cell>
        </row>
        <row r="433">
          <cell r="C433" t="str">
            <v>7601-C06</v>
          </cell>
          <cell r="D433" t="str">
            <v>Mechanical Completion 7601-C06 Miscellaneous Safety Equipment</v>
          </cell>
          <cell r="E433" t="str">
            <v>T.L10</v>
          </cell>
          <cell r="G433" t="str">
            <v>7-Day Workweek (10 hours)</v>
          </cell>
          <cell r="H433" t="str">
            <v>0d</v>
          </cell>
          <cell r="I433" t="str">
            <v>0d</v>
          </cell>
          <cell r="J433">
            <v>0</v>
          </cell>
          <cell r="K433" t="str">
            <v>Finish On</v>
          </cell>
          <cell r="M433" t="str">
            <v>01-Mar-13*</v>
          </cell>
        </row>
        <row r="434">
          <cell r="C434" t="str">
            <v>7601-C07</v>
          </cell>
          <cell r="D434" t="str">
            <v>Mechanical Completion 7601-C07 Miscellaneous Medical Equipment</v>
          </cell>
          <cell r="E434" t="str">
            <v>T.L10</v>
          </cell>
          <cell r="G434" t="str">
            <v>7-Day Workweek (10 hours)</v>
          </cell>
          <cell r="H434" t="str">
            <v>0d</v>
          </cell>
          <cell r="I434" t="str">
            <v>0d</v>
          </cell>
          <cell r="J434">
            <v>0</v>
          </cell>
          <cell r="K434" t="str">
            <v>Finish On</v>
          </cell>
          <cell r="M434" t="str">
            <v>01-Mar-13*</v>
          </cell>
        </row>
        <row r="435">
          <cell r="C435" t="str">
            <v>7601-C04</v>
          </cell>
          <cell r="D435" t="str">
            <v>Mechanical Completion 7601-C04 Escape Chute incl. Liferafts and Equipment</v>
          </cell>
          <cell r="E435" t="str">
            <v>T.L10</v>
          </cell>
          <cell r="G435" t="str">
            <v>7-Day Workweek (10 hours)</v>
          </cell>
          <cell r="H435" t="str">
            <v>0d</v>
          </cell>
          <cell r="I435" t="str">
            <v>0d</v>
          </cell>
          <cell r="J435">
            <v>0</v>
          </cell>
          <cell r="K435" t="str">
            <v>Finish On</v>
          </cell>
          <cell r="M435" t="str">
            <v>05-Aug-13*</v>
          </cell>
        </row>
        <row r="436">
          <cell r="C436" t="str">
            <v>7601-C01</v>
          </cell>
          <cell r="D436" t="str">
            <v>Mechanical Completion  7601-C01 Lifeboats with Equipment</v>
          </cell>
          <cell r="E436" t="str">
            <v>T.Q10</v>
          </cell>
          <cell r="G436" t="str">
            <v>7-Day Workweek (10 hours)</v>
          </cell>
          <cell r="H436" t="str">
            <v>0d</v>
          </cell>
          <cell r="I436" t="str">
            <v>0d</v>
          </cell>
          <cell r="J436">
            <v>0</v>
          </cell>
          <cell r="K436" t="str">
            <v>Finish On</v>
          </cell>
          <cell r="M436" t="str">
            <v>26-Aug-13*</v>
          </cell>
        </row>
        <row r="437">
          <cell r="C437" t="str">
            <v>7601-C03</v>
          </cell>
          <cell r="D437" t="str">
            <v>Mechanical Completion 7601-C03 MOB-Boat with Equipment</v>
          </cell>
          <cell r="E437" t="str">
            <v>T.Q30</v>
          </cell>
          <cell r="G437" t="str">
            <v>7-Day Workweek (10 hours)</v>
          </cell>
          <cell r="H437" t="str">
            <v>0d</v>
          </cell>
          <cell r="I437" t="str">
            <v>0d</v>
          </cell>
          <cell r="J437">
            <v>0</v>
          </cell>
          <cell r="K437" t="str">
            <v>As Late As Possible</v>
          </cell>
          <cell r="M437">
            <v>41516</v>
          </cell>
        </row>
        <row r="438">
          <cell r="F438">
            <v>0</v>
          </cell>
          <cell r="G438" t="str">
            <v>7-Day Workweek (10 hours)</v>
          </cell>
          <cell r="H438" t="str">
            <v>280d</v>
          </cell>
          <cell r="I438" t="str">
            <v>280d</v>
          </cell>
          <cell r="J438">
            <v>0</v>
          </cell>
          <cell r="L438">
            <v>41292</v>
          </cell>
          <cell r="M438">
            <v>41516</v>
          </cell>
        </row>
        <row r="439">
          <cell r="C439" t="str">
            <v>7701-C30</v>
          </cell>
          <cell r="D439" t="str">
            <v>Mechanical Completion 7701-C30 Q40 Emergency switchgear room DX Cooling Unit 77GB102A/B</v>
          </cell>
          <cell r="E439" t="str">
            <v>T.Q40</v>
          </cell>
          <cell r="G439" t="str">
            <v>7-Day Workweek (10 hours)</v>
          </cell>
          <cell r="H439" t="str">
            <v>0d</v>
          </cell>
          <cell r="I439" t="str">
            <v>0d</v>
          </cell>
          <cell r="J439">
            <v>0</v>
          </cell>
          <cell r="K439" t="str">
            <v>As Late As Possible</v>
          </cell>
          <cell r="M439">
            <v>41292</v>
          </cell>
        </row>
        <row r="440">
          <cell r="C440" t="str">
            <v>7701-C31</v>
          </cell>
          <cell r="D440" t="str">
            <v>Mechanical Completion 7701-C31 Q30 LER DX Cooling Unit 77GB103A/B</v>
          </cell>
          <cell r="E440" t="str">
            <v>T.Q30</v>
          </cell>
          <cell r="G440" t="str">
            <v>7-Day Workweek (10 hours)</v>
          </cell>
          <cell r="H440" t="str">
            <v>0d</v>
          </cell>
          <cell r="I440" t="str">
            <v>0d</v>
          </cell>
          <cell r="J440">
            <v>0</v>
          </cell>
          <cell r="K440" t="str">
            <v>As Late As Possible</v>
          </cell>
          <cell r="M440">
            <v>41295</v>
          </cell>
        </row>
        <row r="441">
          <cell r="C441" t="str">
            <v>7701-C29</v>
          </cell>
          <cell r="D441" t="str">
            <v>Mechanical Completion 7701-C29 Q40 Emergency switchgear room DX Cooling Unit 77GB109A/B</v>
          </cell>
          <cell r="E441" t="str">
            <v>T.Q40</v>
          </cell>
          <cell r="G441" t="str">
            <v>7-Day Workweek (10 hours)</v>
          </cell>
          <cell r="H441" t="str">
            <v>0d</v>
          </cell>
          <cell r="I441" t="str">
            <v>0d</v>
          </cell>
          <cell r="J441">
            <v>0</v>
          </cell>
          <cell r="K441" t="str">
            <v>As Late As Possible</v>
          </cell>
          <cell r="M441">
            <v>41298</v>
          </cell>
        </row>
        <row r="442">
          <cell r="C442" t="str">
            <v>7701-C34</v>
          </cell>
          <cell r="D442" t="str">
            <v>Mechanical Completion 7701-C34 LQ-CER DX Cooling Unit 77GB105A/B</v>
          </cell>
          <cell r="E442" t="str">
            <v>T.L10</v>
          </cell>
          <cell r="G442" t="str">
            <v>7-Day Workweek (10 hours)</v>
          </cell>
          <cell r="H442" t="str">
            <v>0d</v>
          </cell>
          <cell r="I442" t="str">
            <v>0d</v>
          </cell>
          <cell r="J442">
            <v>0</v>
          </cell>
          <cell r="K442" t="str">
            <v>As Late As Possible</v>
          </cell>
          <cell r="M442">
            <v>41321</v>
          </cell>
        </row>
        <row r="443">
          <cell r="C443" t="str">
            <v>7701-C32</v>
          </cell>
          <cell r="D443" t="str">
            <v>Mechanical Completion 7701-C32 LQ-CCR DX Cooling Unit 77GB104</v>
          </cell>
          <cell r="E443" t="str">
            <v>T.L10</v>
          </cell>
          <cell r="G443" t="str">
            <v>7-Day Workweek (10 hours)</v>
          </cell>
          <cell r="H443" t="str">
            <v>0d</v>
          </cell>
          <cell r="I443" t="str">
            <v>0d</v>
          </cell>
          <cell r="J443">
            <v>0</v>
          </cell>
          <cell r="K443" t="str">
            <v>As Late As Possible</v>
          </cell>
          <cell r="M443">
            <v>41325</v>
          </cell>
        </row>
        <row r="444">
          <cell r="C444" t="str">
            <v>7701-C33</v>
          </cell>
          <cell r="D444" t="str">
            <v>Mechanical Completion 7701-C33 Q30 UPS A &amp; B System 77GB106A /B</v>
          </cell>
          <cell r="E444" t="str">
            <v>T.Q30</v>
          </cell>
          <cell r="G444" t="str">
            <v>7-Day Workweek (10 hours)</v>
          </cell>
          <cell r="H444" t="str">
            <v>0d</v>
          </cell>
          <cell r="I444" t="str">
            <v>0d</v>
          </cell>
          <cell r="J444">
            <v>0</v>
          </cell>
          <cell r="K444" t="str">
            <v>As Late As Possible</v>
          </cell>
          <cell r="M444">
            <v>41339</v>
          </cell>
        </row>
        <row r="445">
          <cell r="C445" t="str">
            <v>7701-C26</v>
          </cell>
          <cell r="D445" t="str">
            <v>Mechanical Completion 7701-C26 Q30 Battery room A Extract System 77GK136A/B</v>
          </cell>
          <cell r="E445" t="str">
            <v>T.Q30</v>
          </cell>
          <cell r="G445" t="str">
            <v>7-Day Workweek (10 hours)</v>
          </cell>
          <cell r="H445" t="str">
            <v>0d</v>
          </cell>
          <cell r="I445" t="str">
            <v>0d</v>
          </cell>
          <cell r="J445">
            <v>0</v>
          </cell>
          <cell r="K445" t="str">
            <v>As Late As Possible</v>
          </cell>
          <cell r="M445">
            <v>41340</v>
          </cell>
        </row>
        <row r="446">
          <cell r="C446" t="str">
            <v>7701-C18</v>
          </cell>
          <cell r="D446" t="str">
            <v>Mechanical Completion 7701-C18 Q20 E&amp;I Rooms Supply System 77GA102A/B</v>
          </cell>
          <cell r="E446" t="str">
            <v>T.Q20</v>
          </cell>
          <cell r="G446" t="str">
            <v>7-Day Workweek (10 hours)</v>
          </cell>
          <cell r="H446" t="str">
            <v>0d</v>
          </cell>
          <cell r="I446" t="str">
            <v>0d</v>
          </cell>
          <cell r="J446">
            <v>0</v>
          </cell>
          <cell r="K446" t="str">
            <v>As Late As Possible</v>
          </cell>
          <cell r="M446">
            <v>41344</v>
          </cell>
        </row>
        <row r="447">
          <cell r="C447" t="str">
            <v>7701-C27</v>
          </cell>
          <cell r="D447" t="str">
            <v>Mechanical Completion 7701-C27 Q30 Battery Room B Extract System 77GK137A/B</v>
          </cell>
          <cell r="E447" t="str">
            <v>T.Q30</v>
          </cell>
          <cell r="G447" t="str">
            <v>7-Day Workweek (10 hours)</v>
          </cell>
          <cell r="H447" t="str">
            <v>0d</v>
          </cell>
          <cell r="I447" t="str">
            <v>0d</v>
          </cell>
          <cell r="J447">
            <v>0</v>
          </cell>
          <cell r="K447" t="str">
            <v>As Late As Possible</v>
          </cell>
          <cell r="M447">
            <v>41344</v>
          </cell>
        </row>
        <row r="448">
          <cell r="C448" t="str">
            <v>7701-C11</v>
          </cell>
          <cell r="D448" t="str">
            <v>Mechanical Completion 7701-C11 LQ Battery Room Extract System 77GK127A/B</v>
          </cell>
          <cell r="E448" t="str">
            <v>T.L10</v>
          </cell>
          <cell r="G448" t="str">
            <v>7-Day Workweek (10 hours)</v>
          </cell>
          <cell r="H448" t="str">
            <v>0d</v>
          </cell>
          <cell r="I448" t="str">
            <v>0d</v>
          </cell>
          <cell r="J448">
            <v>0</v>
          </cell>
          <cell r="K448" t="str">
            <v>As Late As Possible</v>
          </cell>
          <cell r="M448">
            <v>41352</v>
          </cell>
        </row>
        <row r="449">
          <cell r="C449" t="str">
            <v>7701-C19</v>
          </cell>
          <cell r="D449" t="str">
            <v>Mechanical Completion 7701-C19 Q30 E&amp;I Rooms Supply System 77GA103A/B</v>
          </cell>
          <cell r="E449" t="str">
            <v>T.Q30</v>
          </cell>
          <cell r="G449" t="str">
            <v>7-Day Workweek (10 hours)</v>
          </cell>
          <cell r="H449" t="str">
            <v>0d</v>
          </cell>
          <cell r="I449" t="str">
            <v>0d</v>
          </cell>
          <cell r="J449">
            <v>0</v>
          </cell>
          <cell r="K449" t="str">
            <v>As Late As Possible</v>
          </cell>
          <cell r="M449">
            <v>41352</v>
          </cell>
        </row>
        <row r="450">
          <cell r="C450" t="str">
            <v>7701-C41</v>
          </cell>
          <cell r="D450" t="str">
            <v>Mechanical Completion 7701-C41 Q20 Main Transformer room System 77GK146A/B</v>
          </cell>
          <cell r="E450" t="str">
            <v>T.Q20</v>
          </cell>
          <cell r="G450" t="str">
            <v>7-Day Workweek (10 hours)</v>
          </cell>
          <cell r="H450" t="str">
            <v>0d</v>
          </cell>
          <cell r="I450" t="str">
            <v>0d</v>
          </cell>
          <cell r="J450">
            <v>0</v>
          </cell>
          <cell r="K450" t="str">
            <v>As Late As Possible</v>
          </cell>
          <cell r="M450">
            <v>41360</v>
          </cell>
        </row>
        <row r="451">
          <cell r="C451" t="str">
            <v>7701-C14</v>
          </cell>
          <cell r="D451" t="str">
            <v>Mechanical Completion 7701-C14 G20 Central Shaft Supply System 77GK123A/B</v>
          </cell>
          <cell r="E451" t="str">
            <v>H.G20</v>
          </cell>
          <cell r="G451" t="str">
            <v>7-Day Workweek (10 hours)</v>
          </cell>
          <cell r="H451" t="str">
            <v>0d</v>
          </cell>
          <cell r="I451" t="str">
            <v>0d</v>
          </cell>
          <cell r="J451">
            <v>0</v>
          </cell>
          <cell r="K451" t="str">
            <v>As Late As Possible</v>
          </cell>
          <cell r="M451">
            <v>41362</v>
          </cell>
        </row>
        <row r="452">
          <cell r="C452" t="str">
            <v>7701-C15</v>
          </cell>
          <cell r="D452" t="str">
            <v>Mechanical Completion 7701-C15 G20 Central Shaft Extract System 77GK124A/B</v>
          </cell>
          <cell r="E452" t="str">
            <v>H.G20</v>
          </cell>
          <cell r="G452" t="str">
            <v>7-Day Workweek (10 hours)</v>
          </cell>
          <cell r="H452" t="str">
            <v>0d</v>
          </cell>
          <cell r="I452" t="str">
            <v>0d</v>
          </cell>
          <cell r="J452">
            <v>0</v>
          </cell>
          <cell r="K452" t="str">
            <v>As Late As Possible</v>
          </cell>
          <cell r="M452">
            <v>41369</v>
          </cell>
        </row>
        <row r="453">
          <cell r="C453" t="str">
            <v>7701-C35</v>
          </cell>
          <cell r="D453" t="str">
            <v>Mechanical Completion 7701-C35 LQ-TER DX Cooling Unit 77GB107A/B</v>
          </cell>
          <cell r="E453" t="str">
            <v>T.L10.L17</v>
          </cell>
          <cell r="G453" t="str">
            <v>7-Day Workweek (10 hours)</v>
          </cell>
          <cell r="H453" t="str">
            <v>0d</v>
          </cell>
          <cell r="I453" t="str">
            <v>0d</v>
          </cell>
          <cell r="J453">
            <v>0</v>
          </cell>
          <cell r="K453" t="str">
            <v>As Late As Possible</v>
          </cell>
          <cell r="M453">
            <v>41369</v>
          </cell>
        </row>
        <row r="454">
          <cell r="C454" t="str">
            <v>7701-C03</v>
          </cell>
          <cell r="D454" t="str">
            <v>Mechanical Completion 7701-C03 LQ Main Supply System 77GA105A/B</v>
          </cell>
          <cell r="E454" t="str">
            <v>T.L10</v>
          </cell>
          <cell r="G454" t="str">
            <v>7-Day Workweek (10 hours)</v>
          </cell>
          <cell r="H454" t="str">
            <v>0d</v>
          </cell>
          <cell r="I454" t="str">
            <v>0d</v>
          </cell>
          <cell r="J454">
            <v>0</v>
          </cell>
          <cell r="K454" t="str">
            <v>As Late As Possible</v>
          </cell>
          <cell r="M454">
            <v>41373</v>
          </cell>
        </row>
        <row r="455">
          <cell r="C455" t="str">
            <v>7701-C46</v>
          </cell>
          <cell r="D455" t="str">
            <v>Mechanical Completion 7701-C46 P50 Supply fan 77GK921A/B Chemical Inj. Package A/B</v>
          </cell>
          <cell r="E455" t="str">
            <v>T.P50</v>
          </cell>
          <cell r="G455" t="str">
            <v>7-Day Workweek (10 hours)</v>
          </cell>
          <cell r="H455" t="str">
            <v>0d</v>
          </cell>
          <cell r="I455" t="str">
            <v>0d</v>
          </cell>
          <cell r="J455">
            <v>0</v>
          </cell>
          <cell r="K455" t="str">
            <v>As Late As Possible</v>
          </cell>
          <cell r="M455">
            <v>41373</v>
          </cell>
        </row>
        <row r="456">
          <cell r="C456" t="str">
            <v>7701-C04</v>
          </cell>
          <cell r="D456" t="str">
            <v>Mechanical Completion 7701-C04 LQ Main Extract System 77GA110A/B</v>
          </cell>
          <cell r="E456" t="str">
            <v>T.L10</v>
          </cell>
          <cell r="G456" t="str">
            <v>7-Day Workweek (10 hours)</v>
          </cell>
          <cell r="H456" t="str">
            <v>0d</v>
          </cell>
          <cell r="I456" t="str">
            <v>0d</v>
          </cell>
          <cell r="J456">
            <v>0</v>
          </cell>
          <cell r="K456" t="str">
            <v>As Late As Possible</v>
          </cell>
          <cell r="M456">
            <v>41386</v>
          </cell>
        </row>
        <row r="457">
          <cell r="C457" t="str">
            <v>7701-C05</v>
          </cell>
          <cell r="D457" t="str">
            <v>Mechanical Completion 7701-C05 LQ Galley Supply System 77GA106</v>
          </cell>
          <cell r="E457" t="str">
            <v>T.L10</v>
          </cell>
          <cell r="G457" t="str">
            <v>7-Day Workweek (10 hours)</v>
          </cell>
          <cell r="H457" t="str">
            <v>0d</v>
          </cell>
          <cell r="I457" t="str">
            <v>0d</v>
          </cell>
          <cell r="J457">
            <v>0</v>
          </cell>
          <cell r="K457" t="str">
            <v>As Late As Possible</v>
          </cell>
          <cell r="M457">
            <v>41396</v>
          </cell>
        </row>
        <row r="458">
          <cell r="C458" t="str">
            <v>7701-C06</v>
          </cell>
          <cell r="D458" t="str">
            <v>Mechanical Completion 7701-C06 LQ Galley Extract System 77GK107</v>
          </cell>
          <cell r="E458" t="str">
            <v>T.L10</v>
          </cell>
          <cell r="G458" t="str">
            <v>7-Day Workweek (10 hours)</v>
          </cell>
          <cell r="H458" t="str">
            <v>0d</v>
          </cell>
          <cell r="I458" t="str">
            <v>0d</v>
          </cell>
          <cell r="J458">
            <v>0</v>
          </cell>
          <cell r="K458" t="str">
            <v>As Late As Possible</v>
          </cell>
          <cell r="M458">
            <v>41401</v>
          </cell>
        </row>
        <row r="459">
          <cell r="C459" t="str">
            <v>7701-C09</v>
          </cell>
          <cell r="D459" t="str">
            <v>Mechanical Completion 7701-C09 LQ Laundry Areas Extract System 77GK125</v>
          </cell>
          <cell r="E459" t="str">
            <v>T.L10</v>
          </cell>
          <cell r="G459" t="str">
            <v>7-Day Workweek (10 hours)</v>
          </cell>
          <cell r="H459" t="str">
            <v>0d</v>
          </cell>
          <cell r="I459" t="str">
            <v>0d</v>
          </cell>
          <cell r="J459">
            <v>0</v>
          </cell>
          <cell r="K459" t="str">
            <v>As Late As Possible</v>
          </cell>
          <cell r="M459">
            <v>41404</v>
          </cell>
        </row>
        <row r="460">
          <cell r="C460" t="str">
            <v>7701-C10</v>
          </cell>
          <cell r="D460" t="str">
            <v>Mechanical Completion 7701-C10 LQ Medical Areas Extract System 77GK126</v>
          </cell>
          <cell r="E460" t="str">
            <v>T.L10</v>
          </cell>
          <cell r="G460" t="str">
            <v>7-Day Workweek (10 hours)</v>
          </cell>
          <cell r="H460" t="str">
            <v>0d</v>
          </cell>
          <cell r="I460" t="str">
            <v>0d</v>
          </cell>
          <cell r="J460">
            <v>0</v>
          </cell>
          <cell r="K460" t="str">
            <v>As Late As Possible</v>
          </cell>
          <cell r="M460">
            <v>41407</v>
          </cell>
        </row>
        <row r="461">
          <cell r="C461" t="str">
            <v>7701-C12</v>
          </cell>
          <cell r="D461" t="str">
            <v>Mechanical Completion 7701-C12 G10 Pump Room Extract System 77GK121A/B</v>
          </cell>
          <cell r="E461" t="str">
            <v>H.G10</v>
          </cell>
          <cell r="G461" t="str">
            <v>7-Day Workweek (10 hours)</v>
          </cell>
          <cell r="H461" t="str">
            <v>0d</v>
          </cell>
          <cell r="I461" t="str">
            <v>0d</v>
          </cell>
          <cell r="J461">
            <v>0</v>
          </cell>
          <cell r="K461" t="str">
            <v>As Late As Possible</v>
          </cell>
          <cell r="M461">
            <v>41410</v>
          </cell>
        </row>
        <row r="462">
          <cell r="C462" t="str">
            <v>7701-C13</v>
          </cell>
          <cell r="D462" t="str">
            <v>Mechanical Completion 7701-C13 G10 Pump Room Supply System 77GK122A/B</v>
          </cell>
          <cell r="E462" t="str">
            <v>H.G10</v>
          </cell>
          <cell r="G462" t="str">
            <v>7-Day Workweek (10 hours)</v>
          </cell>
          <cell r="H462" t="str">
            <v>0d</v>
          </cell>
          <cell r="I462" t="str">
            <v>0d</v>
          </cell>
          <cell r="J462">
            <v>0</v>
          </cell>
          <cell r="K462" t="str">
            <v>As Late As Possible</v>
          </cell>
          <cell r="M462">
            <v>41415</v>
          </cell>
        </row>
        <row r="463">
          <cell r="C463" t="str">
            <v>7701-C39</v>
          </cell>
          <cell r="D463" t="str">
            <v>Mechanical Completion 7701-C39 Q30 Crane Pedestal  Supply System 77GK148</v>
          </cell>
          <cell r="E463" t="str">
            <v>T.Q30</v>
          </cell>
          <cell r="G463" t="str">
            <v>7-Day Workweek (10 hours)</v>
          </cell>
          <cell r="H463" t="str">
            <v>0d</v>
          </cell>
          <cell r="I463" t="str">
            <v>0d</v>
          </cell>
          <cell r="J463">
            <v>0</v>
          </cell>
          <cell r="K463" t="str">
            <v>As Late As Possible</v>
          </cell>
          <cell r="M463">
            <v>41419</v>
          </cell>
        </row>
        <row r="464">
          <cell r="C464" t="str">
            <v>7701-C42</v>
          </cell>
          <cell r="D464" t="str">
            <v>Mechanical Completion 7701-C42 Q20 Crane Pedestal Supply System 77GK147 HOLD</v>
          </cell>
          <cell r="E464" t="str">
            <v>T.Q20</v>
          </cell>
          <cell r="G464" t="str">
            <v>7-Day Workweek (10 hours)</v>
          </cell>
          <cell r="H464" t="str">
            <v>0d</v>
          </cell>
          <cell r="I464" t="str">
            <v>0d</v>
          </cell>
          <cell r="J464">
            <v>0</v>
          </cell>
          <cell r="K464" t="str">
            <v>As Late As Possible</v>
          </cell>
          <cell r="M464">
            <v>41422</v>
          </cell>
        </row>
        <row r="465">
          <cell r="C465" t="str">
            <v>7701-C44</v>
          </cell>
          <cell r="D465" t="str">
            <v>Mechanical Completion 7701-C44 Seawater Cooling System</v>
          </cell>
          <cell r="E465" t="str">
            <v>T.L10</v>
          </cell>
          <cell r="G465" t="str">
            <v>7-Day Workweek (10 hours)</v>
          </cell>
          <cell r="H465" t="str">
            <v>0d</v>
          </cell>
          <cell r="I465" t="str">
            <v>0d</v>
          </cell>
          <cell r="J465">
            <v>0</v>
          </cell>
          <cell r="K465" t="str">
            <v>As Late As Possible</v>
          </cell>
          <cell r="M465">
            <v>41422</v>
          </cell>
        </row>
        <row r="466">
          <cell r="C466" t="str">
            <v>7701-C16</v>
          </cell>
          <cell r="D466" t="str">
            <v>Mechanical Completion 7701-C16 N10 North Shaft Supply System 77GA101A/B</v>
          </cell>
          <cell r="E466" t="str">
            <v>H.N10</v>
          </cell>
          <cell r="G466" t="str">
            <v>7-Day Workweek (10 hours)</v>
          </cell>
          <cell r="H466" t="str">
            <v>0d</v>
          </cell>
          <cell r="I466" t="str">
            <v>0d</v>
          </cell>
          <cell r="J466">
            <v>0</v>
          </cell>
          <cell r="K466" t="str">
            <v>As Late As Possible</v>
          </cell>
          <cell r="M466">
            <v>41424</v>
          </cell>
        </row>
        <row r="467">
          <cell r="C467" t="str">
            <v>7701-C47</v>
          </cell>
          <cell r="D467" t="str">
            <v>Mechanical Completion 7701-C47 MOB Boat Enclosure</v>
          </cell>
          <cell r="E467" t="str">
            <v>T.Q30</v>
          </cell>
          <cell r="G467" t="str">
            <v>7-Day Workweek (10 hours)</v>
          </cell>
          <cell r="H467" t="str">
            <v>0d</v>
          </cell>
          <cell r="I467" t="str">
            <v>0d</v>
          </cell>
          <cell r="J467">
            <v>0</v>
          </cell>
          <cell r="K467" t="str">
            <v>As Late As Possible</v>
          </cell>
          <cell r="M467">
            <v>41424</v>
          </cell>
        </row>
        <row r="468">
          <cell r="C468" t="str">
            <v>7701-C38</v>
          </cell>
          <cell r="D468" t="str">
            <v>Mechanical Completion 7701-C38 D10 Offloading Station Area System 77GK141</v>
          </cell>
          <cell r="E468" t="str">
            <v>T.D10</v>
          </cell>
          <cell r="G468" t="str">
            <v>7-Day Workweek (10 hours)</v>
          </cell>
          <cell r="H468" t="str">
            <v>0d</v>
          </cell>
          <cell r="I468" t="str">
            <v>0d</v>
          </cell>
          <cell r="J468">
            <v>0</v>
          </cell>
          <cell r="K468" t="str">
            <v>As Late As Possible</v>
          </cell>
          <cell r="M468">
            <v>41428</v>
          </cell>
        </row>
        <row r="469">
          <cell r="C469" t="str">
            <v>7701-C17</v>
          </cell>
          <cell r="D469" t="str">
            <v>Mechanical Completion 7701-C17 N10 North Shaft Extract System 77GK129A/B</v>
          </cell>
          <cell r="E469" t="str">
            <v>H.N10</v>
          </cell>
          <cell r="G469" t="str">
            <v>7-Day Workweek (10 hours)</v>
          </cell>
          <cell r="H469" t="str">
            <v>0d</v>
          </cell>
          <cell r="I469" t="str">
            <v>0d</v>
          </cell>
          <cell r="J469">
            <v>0</v>
          </cell>
          <cell r="K469" t="str">
            <v>As Late As Possible</v>
          </cell>
          <cell r="M469">
            <v>41429</v>
          </cell>
        </row>
        <row r="470">
          <cell r="C470" t="str">
            <v>7701-C23</v>
          </cell>
          <cell r="D470" t="str">
            <v>Mechanical Completion 7701-C23 N10 Fuel handling room Extract System 77GK130A/B</v>
          </cell>
          <cell r="E470" t="str">
            <v>H.N10</v>
          </cell>
          <cell r="G470" t="str">
            <v>7-Day Workweek (10 hours)</v>
          </cell>
          <cell r="H470" t="str">
            <v>0d</v>
          </cell>
          <cell r="I470" t="str">
            <v>0d</v>
          </cell>
          <cell r="J470">
            <v>0</v>
          </cell>
          <cell r="K470" t="str">
            <v>As Late As Possible</v>
          </cell>
          <cell r="M470">
            <v>41432</v>
          </cell>
        </row>
        <row r="471">
          <cell r="C471" t="str">
            <v>7701-C20</v>
          </cell>
          <cell r="D471" t="str">
            <v>Mechanical Completion 7701-C20 Q30 Workshop &amp; Store Supply System 77GA104A/B</v>
          </cell>
          <cell r="E471" t="str">
            <v>T.Q30</v>
          </cell>
          <cell r="G471" t="str">
            <v>7-Day Workweek (10 hours)</v>
          </cell>
          <cell r="H471" t="str">
            <v>0d</v>
          </cell>
          <cell r="I471" t="str">
            <v>0d</v>
          </cell>
          <cell r="J471">
            <v>0</v>
          </cell>
          <cell r="K471" t="str">
            <v>As Late As Possible</v>
          </cell>
          <cell r="M471">
            <v>41435</v>
          </cell>
        </row>
        <row r="472">
          <cell r="C472" t="str">
            <v>7701-C21</v>
          </cell>
          <cell r="D472" t="str">
            <v>Mechanical Completion 7701-C21 Utility Area Workshop/Stores West Exstract plant System 77GK132A/B</v>
          </cell>
          <cell r="E472" t="str">
            <v>T.Q30</v>
          </cell>
          <cell r="G472" t="str">
            <v>7-Day Workweek (10 hours)</v>
          </cell>
          <cell r="H472" t="str">
            <v>0d</v>
          </cell>
          <cell r="I472" t="str">
            <v>0d</v>
          </cell>
          <cell r="J472">
            <v>0</v>
          </cell>
          <cell r="K472" t="str">
            <v>As Late As Possible</v>
          </cell>
          <cell r="M472">
            <v>41440</v>
          </cell>
        </row>
        <row r="473">
          <cell r="C473" t="str">
            <v>7701-C22</v>
          </cell>
          <cell r="D473" t="str">
            <v>Mechanical Completion 7701-C22 Utility Area Welding Workshop System 77GK133</v>
          </cell>
          <cell r="E473" t="str">
            <v>T.Q30</v>
          </cell>
          <cell r="G473" t="str">
            <v>7-Day Workweek (10 hours)</v>
          </cell>
          <cell r="H473" t="str">
            <v>0d</v>
          </cell>
          <cell r="I473" t="str">
            <v>0d</v>
          </cell>
          <cell r="J473">
            <v>0</v>
          </cell>
          <cell r="K473" t="str">
            <v>As Late As Possible</v>
          </cell>
          <cell r="M473">
            <v>41443</v>
          </cell>
        </row>
        <row r="474">
          <cell r="C474" t="str">
            <v>7701-C24</v>
          </cell>
          <cell r="D474" t="str">
            <v>Mechanical Completion 7701-C24 Utility Area Paint Shop/Stores Extract Plant System 77GK134</v>
          </cell>
          <cell r="E474" t="str">
            <v>T.Q30</v>
          </cell>
          <cell r="G474" t="str">
            <v>7-Day Workweek (10 hours)</v>
          </cell>
          <cell r="H474" t="str">
            <v>0d</v>
          </cell>
          <cell r="I474" t="str">
            <v>0d</v>
          </cell>
          <cell r="J474">
            <v>0</v>
          </cell>
          <cell r="K474" t="str">
            <v>As Late As Possible</v>
          </cell>
          <cell r="M474">
            <v>41445</v>
          </cell>
        </row>
        <row r="475">
          <cell r="C475" t="str">
            <v>7701-C28</v>
          </cell>
          <cell r="D475" t="str">
            <v>Mechanical Completion 7701-C28 Utility Area Production Laboratory Extract Plant System 77GK138</v>
          </cell>
          <cell r="E475" t="str">
            <v>T.Q30</v>
          </cell>
          <cell r="G475" t="str">
            <v>7-Day Workweek (10 hours)</v>
          </cell>
          <cell r="H475" t="str">
            <v>0d</v>
          </cell>
          <cell r="I475" t="str">
            <v>0d</v>
          </cell>
          <cell r="J475">
            <v>0</v>
          </cell>
          <cell r="K475" t="str">
            <v>As Late As Possible</v>
          </cell>
          <cell r="M475">
            <v>41447</v>
          </cell>
        </row>
        <row r="476">
          <cell r="C476" t="str">
            <v>7701-C07</v>
          </cell>
          <cell r="D476" t="str">
            <v>Mechanical Completion 7701-C07 Q40 &amp; LQ Emergency Stairs East Supply System 77GA108A/B</v>
          </cell>
          <cell r="E476" t="str">
            <v>T.L10</v>
          </cell>
          <cell r="G476" t="str">
            <v>7-Day Workweek (10 hours)</v>
          </cell>
          <cell r="H476" t="str">
            <v>0d</v>
          </cell>
          <cell r="I476" t="str">
            <v>0d</v>
          </cell>
          <cell r="J476">
            <v>0</v>
          </cell>
          <cell r="K476" t="str">
            <v>As Late As Possible</v>
          </cell>
          <cell r="M476">
            <v>41449</v>
          </cell>
        </row>
        <row r="477">
          <cell r="C477" t="str">
            <v>7701-C37</v>
          </cell>
          <cell r="D477" t="str">
            <v>Mechanical Completion 7701-C37 Q40 Area Extract East System 77GK140A/B</v>
          </cell>
          <cell r="E477" t="str">
            <v>T.Q40</v>
          </cell>
          <cell r="G477" t="str">
            <v>7-Day Workweek (10 hours)</v>
          </cell>
          <cell r="H477" t="str">
            <v>0d</v>
          </cell>
          <cell r="I477" t="str">
            <v>0d</v>
          </cell>
          <cell r="J477">
            <v>0</v>
          </cell>
          <cell r="K477" t="str">
            <v>As Late As Possible</v>
          </cell>
          <cell r="M477">
            <v>41456</v>
          </cell>
        </row>
        <row r="478">
          <cell r="C478" t="str">
            <v>7701-C08</v>
          </cell>
          <cell r="D478" t="str">
            <v>Mechanical Completion 7701-C08 M30 &amp; LQ Emergency Stairs West Supply System 77GK109A/B</v>
          </cell>
          <cell r="E478" t="str">
            <v>T.L10</v>
          </cell>
          <cell r="G478" t="str">
            <v>7-Day Workweek (10 hours)</v>
          </cell>
          <cell r="H478" t="str">
            <v>0d</v>
          </cell>
          <cell r="I478" t="str">
            <v>0d</v>
          </cell>
          <cell r="J478">
            <v>0</v>
          </cell>
          <cell r="K478" t="str">
            <v>As Late As Possible</v>
          </cell>
          <cell r="M478">
            <v>41459</v>
          </cell>
        </row>
        <row r="479">
          <cell r="C479" t="str">
            <v>7701-C36</v>
          </cell>
          <cell r="D479" t="str">
            <v>Mechanical Completion 7701-C36 M30 Area Extract West System 77GK128A/B</v>
          </cell>
          <cell r="E479" t="str">
            <v>H.M30</v>
          </cell>
          <cell r="G479" t="str">
            <v>7-Day Workweek (10 hours)</v>
          </cell>
          <cell r="H479" t="str">
            <v>0d</v>
          </cell>
          <cell r="I479" t="str">
            <v>0d</v>
          </cell>
          <cell r="J479">
            <v>0</v>
          </cell>
          <cell r="K479" t="str">
            <v>As Late As Possible</v>
          </cell>
          <cell r="M479">
            <v>41466</v>
          </cell>
        </row>
        <row r="480">
          <cell r="C480" t="str">
            <v>7701-C40</v>
          </cell>
          <cell r="D480" t="str">
            <v>Mechanical Completion 7701-C40 LQ Galley Handling Area Extract System 77GK143</v>
          </cell>
          <cell r="E480" t="str">
            <v>T.L10</v>
          </cell>
          <cell r="G480" t="str">
            <v>7-Day Workweek (10 hours)</v>
          </cell>
          <cell r="H480" t="str">
            <v>0d</v>
          </cell>
          <cell r="I480" t="str">
            <v>0d</v>
          </cell>
          <cell r="J480">
            <v>0</v>
          </cell>
          <cell r="K480" t="str">
            <v>As Late As Possible</v>
          </cell>
          <cell r="M480">
            <v>41470</v>
          </cell>
        </row>
        <row r="481">
          <cell r="C481" t="str">
            <v>7701-C43</v>
          </cell>
          <cell r="D481" t="str">
            <v>Mechanical Completion 7701-C43 Hot Water Heating System</v>
          </cell>
          <cell r="E481" t="str">
            <v>T.L10</v>
          </cell>
          <cell r="G481" t="str">
            <v>7-Day Workweek (10 hours)</v>
          </cell>
          <cell r="H481" t="str">
            <v>0d</v>
          </cell>
          <cell r="I481" t="str">
            <v>0d</v>
          </cell>
          <cell r="J481">
            <v>0</v>
          </cell>
          <cell r="K481" t="str">
            <v>Finish On</v>
          </cell>
          <cell r="M481" t="str">
            <v>30-Aug-13*</v>
          </cell>
        </row>
        <row r="482">
          <cell r="C482" t="str">
            <v>7701-C45</v>
          </cell>
          <cell r="D482" t="str">
            <v>Mechanical Completion 7701-C45 LQ Galley Refrigerated Stores</v>
          </cell>
          <cell r="E482" t="str">
            <v>T.L10</v>
          </cell>
          <cell r="G482" t="str">
            <v>7-Day Workweek (10 hours)</v>
          </cell>
          <cell r="H482" t="str">
            <v>0d</v>
          </cell>
          <cell r="I482" t="str">
            <v>0d</v>
          </cell>
          <cell r="J482">
            <v>0</v>
          </cell>
          <cell r="K482" t="str">
            <v>Finish On</v>
          </cell>
          <cell r="M482" t="str">
            <v>30-Aug-13*</v>
          </cell>
        </row>
        <row r="483">
          <cell r="C483" t="str">
            <v>7701-C25</v>
          </cell>
          <cell r="D483" t="str">
            <v>Mechanical Completion 7701-C25 Heat Recovery System LQ. 77PA101A/B</v>
          </cell>
          <cell r="E483" t="str">
            <v>T.L10</v>
          </cell>
          <cell r="G483" t="str">
            <v>7-Day Workweek (10 hours)</v>
          </cell>
          <cell r="H483" t="str">
            <v>0d</v>
          </cell>
          <cell r="I483" t="str">
            <v>0d</v>
          </cell>
          <cell r="J483">
            <v>0</v>
          </cell>
          <cell r="K483" t="str">
            <v>Finish On</v>
          </cell>
          <cell r="M483" t="str">
            <v>30-Aug-13*</v>
          </cell>
        </row>
        <row r="484">
          <cell r="F484">
            <v>0</v>
          </cell>
          <cell r="G484" t="str">
            <v>7-Day Workweek (10 hours)</v>
          </cell>
          <cell r="H484" t="str">
            <v>189d</v>
          </cell>
          <cell r="I484" t="str">
            <v>189d</v>
          </cell>
          <cell r="J484">
            <v>0</v>
          </cell>
          <cell r="L484">
            <v>41365</v>
          </cell>
          <cell r="M484">
            <v>41516</v>
          </cell>
        </row>
        <row r="485">
          <cell r="C485" t="str">
            <v>7901-C01</v>
          </cell>
          <cell r="D485" t="str">
            <v>Mechanical Completion 7901-C01 Panel 79JC001/2 - Node E60 (CER)</v>
          </cell>
          <cell r="E485" t="str">
            <v>T.L10.L12</v>
          </cell>
          <cell r="G485" t="str">
            <v>7-Day Workweek (10 hours)</v>
          </cell>
          <cell r="H485" t="str">
            <v>0d</v>
          </cell>
          <cell r="I485" t="str">
            <v>0d</v>
          </cell>
          <cell r="J485">
            <v>0</v>
          </cell>
          <cell r="K485" t="str">
            <v>As Late As Possible</v>
          </cell>
          <cell r="M485">
            <v>41365</v>
          </cell>
        </row>
        <row r="486">
          <cell r="C486" t="str">
            <v>7901-C02</v>
          </cell>
          <cell r="D486" t="str">
            <v>Mechanical Completion 7901-C02 Panel 79JC003/4 - Node E61 (CER)</v>
          </cell>
          <cell r="E486" t="str">
            <v>T.L10.L12</v>
          </cell>
          <cell r="G486" t="str">
            <v>7-Day Workweek (10 hours)</v>
          </cell>
          <cell r="H486" t="str">
            <v>0d</v>
          </cell>
          <cell r="I486" t="str">
            <v>0d</v>
          </cell>
          <cell r="J486">
            <v>0</v>
          </cell>
          <cell r="K486" t="str">
            <v>As Late As Possible</v>
          </cell>
          <cell r="M486">
            <v>41368</v>
          </cell>
        </row>
        <row r="487">
          <cell r="C487" t="str">
            <v>7901-C05</v>
          </cell>
          <cell r="D487" t="str">
            <v>Mechanical Completion 7901-C05 ESD Junction Boxes and Multicore cables Hull</v>
          </cell>
          <cell r="E487" t="str">
            <v>H.G20</v>
          </cell>
          <cell r="G487" t="str">
            <v>7-Day Workweek (10 hours)</v>
          </cell>
          <cell r="H487" t="str">
            <v>0d</v>
          </cell>
          <cell r="I487" t="str">
            <v>0d</v>
          </cell>
          <cell r="J487">
            <v>0</v>
          </cell>
          <cell r="K487" t="str">
            <v>As Late As Possible</v>
          </cell>
          <cell r="M487">
            <v>41368</v>
          </cell>
        </row>
        <row r="488">
          <cell r="C488" t="str">
            <v>7901-C06</v>
          </cell>
          <cell r="D488" t="str">
            <v>Mechanical Completion 7901-C06 ESD Junction Boxes and Multicore cables Topside</v>
          </cell>
          <cell r="E488" t="str">
            <v>T.P10</v>
          </cell>
          <cell r="G488" t="str">
            <v>7-Day Workweek (10 hours)</v>
          </cell>
          <cell r="H488" t="str">
            <v>0d</v>
          </cell>
          <cell r="I488" t="str">
            <v>0d</v>
          </cell>
          <cell r="J488">
            <v>0</v>
          </cell>
          <cell r="K488" t="str">
            <v>As Late As Possible</v>
          </cell>
          <cell r="M488">
            <v>41368</v>
          </cell>
        </row>
        <row r="489">
          <cell r="C489" t="str">
            <v>7901-C07</v>
          </cell>
          <cell r="D489" t="str">
            <v>Mechanical Completion 7901-C07 ESD Junction Boxes and Multicore cables LQ</v>
          </cell>
          <cell r="E489" t="str">
            <v>T.L10</v>
          </cell>
          <cell r="G489" t="str">
            <v>7-Day Workweek (10 hours)</v>
          </cell>
          <cell r="H489" t="str">
            <v>0d</v>
          </cell>
          <cell r="I489" t="str">
            <v>0d</v>
          </cell>
          <cell r="J489">
            <v>0</v>
          </cell>
          <cell r="K489" t="str">
            <v>As Late As Possible</v>
          </cell>
          <cell r="M489">
            <v>41368</v>
          </cell>
        </row>
        <row r="490">
          <cell r="C490" t="str">
            <v>7901-C03</v>
          </cell>
          <cell r="D490" t="str">
            <v>Mechanical Completion 7901-C03 APS/ESD Pushbuttons</v>
          </cell>
          <cell r="E490" t="str">
            <v>T.P10</v>
          </cell>
          <cell r="G490" t="str">
            <v>7-Day Workweek (10 hours)</v>
          </cell>
          <cell r="H490" t="str">
            <v>0d</v>
          </cell>
          <cell r="I490" t="str">
            <v>0d</v>
          </cell>
          <cell r="J490">
            <v>0</v>
          </cell>
          <cell r="K490" t="str">
            <v>Finish On</v>
          </cell>
          <cell r="M490" t="str">
            <v>30-Aug-13*</v>
          </cell>
        </row>
        <row r="491">
          <cell r="F491">
            <v>0</v>
          </cell>
          <cell r="G491" t="str">
            <v>7-Day Workweek (10 hours)</v>
          </cell>
          <cell r="H491" t="str">
            <v>238d</v>
          </cell>
          <cell r="I491" t="str">
            <v>238d</v>
          </cell>
          <cell r="J491">
            <v>0</v>
          </cell>
          <cell r="L491">
            <v>41326</v>
          </cell>
          <cell r="M491">
            <v>41516</v>
          </cell>
        </row>
        <row r="492">
          <cell r="C492" t="str">
            <v>8001-C02</v>
          </cell>
          <cell r="D492" t="str">
            <v>Mechanical Completion 8001-C02 80EH002 Main switchgear 11kV</v>
          </cell>
          <cell r="E492" t="str">
            <v>T.Q20</v>
          </cell>
          <cell r="G492" t="str">
            <v>7-Day Workweek (10 hours)</v>
          </cell>
          <cell r="H492" t="str">
            <v>0d</v>
          </cell>
          <cell r="I492" t="str">
            <v>0d</v>
          </cell>
          <cell r="J492">
            <v>0</v>
          </cell>
          <cell r="K492" t="str">
            <v>As Late As Possible</v>
          </cell>
          <cell r="M492">
            <v>41326</v>
          </cell>
        </row>
        <row r="493">
          <cell r="C493" t="str">
            <v>8001-C01</v>
          </cell>
          <cell r="D493" t="str">
            <v>Mechanical Completion 8001-C01 80EH001 Main switchgear 110kV</v>
          </cell>
          <cell r="E493" t="str">
            <v>H.M30</v>
          </cell>
          <cell r="G493" t="str">
            <v>7-Day Workweek (10 hours)</v>
          </cell>
          <cell r="H493" t="str">
            <v>0d</v>
          </cell>
          <cell r="I493" t="str">
            <v>0d</v>
          </cell>
          <cell r="J493">
            <v>0</v>
          </cell>
          <cell r="K493" t="str">
            <v>As Late As Possible</v>
          </cell>
          <cell r="M493">
            <v>41345</v>
          </cell>
        </row>
        <row r="494">
          <cell r="C494" t="str">
            <v>8001-C04</v>
          </cell>
          <cell r="D494" t="str">
            <v>Mechanical Completion 8001-C04 Panel 80JC100 - Node L52 (LER Turbine)</v>
          </cell>
          <cell r="E494" t="str">
            <v>T.Q20</v>
          </cell>
          <cell r="G494" t="str">
            <v>7-Day Workweek (10 hours)</v>
          </cell>
          <cell r="H494" t="str">
            <v>0d</v>
          </cell>
          <cell r="I494" t="str">
            <v>0d</v>
          </cell>
          <cell r="J494">
            <v>0</v>
          </cell>
          <cell r="K494" t="str">
            <v>As Late As Possible</v>
          </cell>
          <cell r="M494">
            <v>41359</v>
          </cell>
        </row>
        <row r="495">
          <cell r="C495" t="str">
            <v>8001-C03</v>
          </cell>
          <cell r="D495" t="str">
            <v>Mechanical Completion 8001-C03 80EG001 Turbine Generator</v>
          </cell>
          <cell r="E495" t="str">
            <v>T.Q20</v>
          </cell>
          <cell r="G495" t="str">
            <v>7-Day Workweek (10 hours)</v>
          </cell>
          <cell r="H495" t="str">
            <v>0d</v>
          </cell>
          <cell r="I495" t="str">
            <v>0d</v>
          </cell>
          <cell r="J495">
            <v>0</v>
          </cell>
          <cell r="K495" t="str">
            <v>As Late As Possible</v>
          </cell>
          <cell r="M495">
            <v>41425</v>
          </cell>
        </row>
        <row r="496">
          <cell r="C496" t="str">
            <v>8001-C05</v>
          </cell>
          <cell r="D496" t="str">
            <v>Mechanical Completion 8001-C05 Subsea Cable Pull-In System</v>
          </cell>
          <cell r="E496" t="str">
            <v>H.M30</v>
          </cell>
          <cell r="G496" t="str">
            <v>7-Day Workweek (10 hours)</v>
          </cell>
          <cell r="H496" t="str">
            <v>0d</v>
          </cell>
          <cell r="I496" t="str">
            <v>0d</v>
          </cell>
          <cell r="J496">
            <v>0</v>
          </cell>
          <cell r="K496" t="str">
            <v>Finish On</v>
          </cell>
          <cell r="M496" t="str">
            <v>30-Aug-13*</v>
          </cell>
        </row>
        <row r="497">
          <cell r="F497">
            <v>0</v>
          </cell>
          <cell r="G497" t="str">
            <v>7-Day Workweek (10 hours)</v>
          </cell>
          <cell r="H497" t="str">
            <v>33d</v>
          </cell>
          <cell r="I497" t="str">
            <v>33d</v>
          </cell>
          <cell r="J497">
            <v>0</v>
          </cell>
          <cell r="L497">
            <v>41345</v>
          </cell>
          <cell r="M497">
            <v>41372</v>
          </cell>
        </row>
        <row r="498">
          <cell r="C498" t="str">
            <v>8101-C01</v>
          </cell>
          <cell r="D498" t="str">
            <v>Mechanical Completion 8101-C01 81ED001 Multi ASDS for HV motors (incl. 81ET001A / 81ET001B)</v>
          </cell>
          <cell r="E498" t="str">
            <v>T.Q30</v>
          </cell>
          <cell r="G498" t="str">
            <v>7-Day Workweek (10 hours)</v>
          </cell>
          <cell r="H498" t="str">
            <v>0d</v>
          </cell>
          <cell r="I498" t="str">
            <v>0d</v>
          </cell>
          <cell r="J498">
            <v>0</v>
          </cell>
          <cell r="K498" t="str">
            <v>As Late As Possible</v>
          </cell>
          <cell r="M498">
            <v>41345</v>
          </cell>
        </row>
        <row r="499">
          <cell r="C499" t="str">
            <v>8101-C02</v>
          </cell>
          <cell r="D499" t="str">
            <v>Mechanical Completion 8101-C02 81ED002 Multi ASDS for HV motors (incl. 81ET002A / 81ET002B)</v>
          </cell>
          <cell r="E499" t="str">
            <v>T.Q30</v>
          </cell>
          <cell r="G499" t="str">
            <v>7-Day Workweek (10 hours)</v>
          </cell>
          <cell r="H499" t="str">
            <v>0d</v>
          </cell>
          <cell r="I499" t="str">
            <v>0d</v>
          </cell>
          <cell r="J499">
            <v>0</v>
          </cell>
          <cell r="K499" t="str">
            <v>As Late As Possible</v>
          </cell>
          <cell r="M499">
            <v>41359</v>
          </cell>
        </row>
        <row r="500">
          <cell r="C500" t="str">
            <v>8101-C03</v>
          </cell>
          <cell r="D500" t="str">
            <v>Mechanical Completion 8101-C03 81ED003 ASDS for 3rd stage compressor 27KA003-M01</v>
          </cell>
          <cell r="E500" t="str">
            <v>T.Q30</v>
          </cell>
          <cell r="G500" t="str">
            <v>7-Day Workweek (10 hours)</v>
          </cell>
          <cell r="H500" t="str">
            <v>0d</v>
          </cell>
          <cell r="I500" t="str">
            <v>0d</v>
          </cell>
          <cell r="J500">
            <v>0</v>
          </cell>
          <cell r="K500" t="str">
            <v>As Late As Possible</v>
          </cell>
          <cell r="M500">
            <v>41372</v>
          </cell>
        </row>
        <row r="501">
          <cell r="F501">
            <v>0</v>
          </cell>
          <cell r="G501" t="str">
            <v>7-Day Workweek (10 hours)</v>
          </cell>
          <cell r="H501" t="str">
            <v>101d</v>
          </cell>
          <cell r="I501" t="str">
            <v>101d</v>
          </cell>
          <cell r="J501">
            <v>0</v>
          </cell>
          <cell r="L501">
            <v>41311</v>
          </cell>
          <cell r="M501">
            <v>41391</v>
          </cell>
        </row>
        <row r="502">
          <cell r="C502" t="str">
            <v>8201-C02</v>
          </cell>
          <cell r="D502" t="str">
            <v>Mechanical Completion 8201-C02 82EN002 Hull &amp; marine switchboard 690V</v>
          </cell>
          <cell r="E502" t="str">
            <v>T.Q30.Q34</v>
          </cell>
          <cell r="G502" t="str">
            <v>7-Day Workweek (10 hours)</v>
          </cell>
          <cell r="H502" t="str">
            <v>0d</v>
          </cell>
          <cell r="I502" t="str">
            <v>0d</v>
          </cell>
          <cell r="J502">
            <v>0</v>
          </cell>
          <cell r="K502" t="str">
            <v>As Late As Possible</v>
          </cell>
          <cell r="M502">
            <v>41311</v>
          </cell>
        </row>
        <row r="503">
          <cell r="C503" t="str">
            <v>8201-C04</v>
          </cell>
          <cell r="D503" t="str">
            <v>Mechanical Completion 8201-C04 82EL003 Hull &amp; marine switchboard 400/230V</v>
          </cell>
          <cell r="E503" t="str">
            <v>T.Q30</v>
          </cell>
          <cell r="G503" t="str">
            <v>7-Day Workweek (10 hours)</v>
          </cell>
          <cell r="H503" t="str">
            <v>0d</v>
          </cell>
          <cell r="I503" t="str">
            <v>0d</v>
          </cell>
          <cell r="J503">
            <v>0</v>
          </cell>
          <cell r="K503" t="str">
            <v>As Late As Possible</v>
          </cell>
          <cell r="M503">
            <v>41317</v>
          </cell>
        </row>
        <row r="504">
          <cell r="C504" t="str">
            <v>8201-C10</v>
          </cell>
          <cell r="D504" t="str">
            <v>Mechanical Completion 8201-C10 82ED001 Multi ASDS for LV motors (incl. 82ET003 / 82ET004 / 82ET005 / 82ET006)</v>
          </cell>
          <cell r="E504" t="str">
            <v>T.Q30</v>
          </cell>
          <cell r="G504" t="str">
            <v>7-Day Workweek (10 hours)</v>
          </cell>
          <cell r="H504" t="str">
            <v>0d</v>
          </cell>
          <cell r="I504" t="str">
            <v>0d</v>
          </cell>
          <cell r="J504">
            <v>0</v>
          </cell>
          <cell r="K504" t="str">
            <v>As Late As Possible</v>
          </cell>
          <cell r="M504">
            <v>41317</v>
          </cell>
        </row>
        <row r="505">
          <cell r="C505" t="str">
            <v>8201-C07</v>
          </cell>
          <cell r="D505" t="str">
            <v>Mechanical Completion 8201-C07 82ED002 Mooring &amp; offloading ASDS switchboard 720VDC</v>
          </cell>
          <cell r="E505" t="str">
            <v>T.Q30</v>
          </cell>
          <cell r="G505" t="str">
            <v>7-Day Workweek (10 hours)</v>
          </cell>
          <cell r="H505" t="str">
            <v>0d</v>
          </cell>
          <cell r="I505" t="str">
            <v>0d</v>
          </cell>
          <cell r="J505">
            <v>0</v>
          </cell>
          <cell r="K505" t="str">
            <v>As Late As Possible</v>
          </cell>
          <cell r="M505">
            <v>41317</v>
          </cell>
        </row>
        <row r="506">
          <cell r="C506" t="str">
            <v>8201-C24</v>
          </cell>
          <cell r="D506" t="str">
            <v>Mechanical Completion 8201-C24 82EL021 Normal distr. board North shaft</v>
          </cell>
          <cell r="E506" t="str">
            <v>H.N10</v>
          </cell>
          <cell r="G506" t="str">
            <v>7-Day Workweek (10 hours)</v>
          </cell>
          <cell r="H506" t="str">
            <v>0d</v>
          </cell>
          <cell r="I506" t="str">
            <v>0d</v>
          </cell>
          <cell r="J506">
            <v>0</v>
          </cell>
          <cell r="K506" t="str">
            <v>As Late As Possible</v>
          </cell>
          <cell r="M506">
            <v>41319</v>
          </cell>
        </row>
        <row r="507">
          <cell r="C507" t="str">
            <v>8202-C09</v>
          </cell>
          <cell r="D507" t="str">
            <v>Mechanical Completion 8202-C09 Lighting and Small Power North Shaft Hull, 82EL021</v>
          </cell>
          <cell r="E507" t="str">
            <v>H.N10</v>
          </cell>
          <cell r="G507" t="str">
            <v>7-Day Workweek (10 hours)</v>
          </cell>
          <cell r="H507" t="str">
            <v>0d</v>
          </cell>
          <cell r="I507" t="str">
            <v>0d</v>
          </cell>
          <cell r="J507">
            <v>0</v>
          </cell>
          <cell r="K507" t="str">
            <v>As Late As Possible</v>
          </cell>
          <cell r="M507">
            <v>41319</v>
          </cell>
        </row>
        <row r="508">
          <cell r="C508" t="str">
            <v>8201-C25</v>
          </cell>
          <cell r="D508" t="str">
            <v>Mechanical Completion 8201-C25 82EL022 Normal distr. board North shaft</v>
          </cell>
          <cell r="E508" t="str">
            <v>H.N10</v>
          </cell>
          <cell r="G508" t="str">
            <v>7-Day Workweek (10 hours)</v>
          </cell>
          <cell r="H508" t="str">
            <v>0d</v>
          </cell>
          <cell r="I508" t="str">
            <v>0d</v>
          </cell>
          <cell r="J508">
            <v>0</v>
          </cell>
          <cell r="K508" t="str">
            <v>As Late As Possible</v>
          </cell>
          <cell r="M508">
            <v>41321</v>
          </cell>
        </row>
        <row r="509">
          <cell r="C509" t="str">
            <v>8201-C26</v>
          </cell>
          <cell r="D509" t="str">
            <v>Mechanical Completion 8201-C26 82EL023 Normal distr. board Center shaft</v>
          </cell>
          <cell r="E509" t="str">
            <v>H.G20</v>
          </cell>
          <cell r="G509" t="str">
            <v>7-Day Workweek (10 hours)</v>
          </cell>
          <cell r="H509" t="str">
            <v>0d</v>
          </cell>
          <cell r="I509" t="str">
            <v>0d</v>
          </cell>
          <cell r="J509">
            <v>0</v>
          </cell>
          <cell r="K509" t="str">
            <v>As Late As Possible</v>
          </cell>
          <cell r="M509">
            <v>41323</v>
          </cell>
        </row>
        <row r="510">
          <cell r="C510" t="str">
            <v>8202-C10</v>
          </cell>
          <cell r="D510" t="str">
            <v>Mechanical Completion 8202-C10 Lighting and Small Power Centre Shaft Hull, 82EL023</v>
          </cell>
          <cell r="E510" t="str">
            <v>H.G20</v>
          </cell>
          <cell r="G510" t="str">
            <v>7-Day Workweek (10 hours)</v>
          </cell>
          <cell r="H510" t="str">
            <v>0d</v>
          </cell>
          <cell r="I510" t="str">
            <v>0d</v>
          </cell>
          <cell r="J510">
            <v>0</v>
          </cell>
          <cell r="K510" t="str">
            <v>As Late As Possible</v>
          </cell>
          <cell r="M510">
            <v>41324</v>
          </cell>
        </row>
        <row r="511">
          <cell r="C511" t="str">
            <v>8201-C27</v>
          </cell>
          <cell r="D511" t="str">
            <v>Mechanical Completion 8201-C27 82EL024 Normal distr. board Center shaft</v>
          </cell>
          <cell r="E511" t="str">
            <v>H.G20</v>
          </cell>
          <cell r="G511" t="str">
            <v>7-Day Workweek (10 hours)</v>
          </cell>
          <cell r="H511" t="str">
            <v>0d</v>
          </cell>
          <cell r="I511" t="str">
            <v>0d</v>
          </cell>
          <cell r="J511">
            <v>0</v>
          </cell>
          <cell r="K511" t="str">
            <v>As Late As Possible</v>
          </cell>
          <cell r="M511">
            <v>41325</v>
          </cell>
        </row>
        <row r="512">
          <cell r="C512" t="str">
            <v>8201-C28</v>
          </cell>
          <cell r="D512" t="str">
            <v>Mechanical Completion 8201-C28 82EL003 Back-up MCCB for Lighting &amp; Small power circuits (82EL003)</v>
          </cell>
          <cell r="E512" t="str">
            <v>T.Q30</v>
          </cell>
          <cell r="G512" t="str">
            <v>7-Day Workweek (10 hours)</v>
          </cell>
          <cell r="H512" t="str">
            <v>0d</v>
          </cell>
          <cell r="I512" t="str">
            <v>0d</v>
          </cell>
          <cell r="J512">
            <v>0</v>
          </cell>
          <cell r="K512" t="str">
            <v>As Late As Possible</v>
          </cell>
          <cell r="M512">
            <v>41326</v>
          </cell>
        </row>
        <row r="513">
          <cell r="C513" t="str">
            <v>8202-C11</v>
          </cell>
          <cell r="D513" t="str">
            <v>Mechanical Completion 8202-C11 Lighting and Small Power North Shaft Hull, 82EL022</v>
          </cell>
          <cell r="E513" t="str">
            <v>H.N10</v>
          </cell>
          <cell r="G513" t="str">
            <v>7-Day Workweek (10 hours)</v>
          </cell>
          <cell r="H513" t="str">
            <v>0d</v>
          </cell>
          <cell r="I513" t="str">
            <v>0d</v>
          </cell>
          <cell r="J513">
            <v>0</v>
          </cell>
          <cell r="K513" t="str">
            <v>As Late As Possible</v>
          </cell>
          <cell r="M513">
            <v>41328</v>
          </cell>
        </row>
        <row r="514">
          <cell r="C514" t="str">
            <v>8201-C29</v>
          </cell>
          <cell r="D514" t="str">
            <v>Mechanical Completion 8201-C29 82EL006 Helideck Heat Trace Switchboard</v>
          </cell>
          <cell r="E514" t="str">
            <v>T.H10</v>
          </cell>
          <cell r="G514" t="str">
            <v>7-Day Workweek (10 hours)</v>
          </cell>
          <cell r="H514" t="str">
            <v>0d</v>
          </cell>
          <cell r="I514" t="str">
            <v>0d</v>
          </cell>
          <cell r="J514">
            <v>0</v>
          </cell>
          <cell r="K514" t="str">
            <v>As Late As Possible</v>
          </cell>
          <cell r="M514">
            <v>41331</v>
          </cell>
        </row>
        <row r="515">
          <cell r="C515" t="str">
            <v>8202-C12</v>
          </cell>
          <cell r="D515" t="str">
            <v>Mechanical Completion 8202-C12 Lighting and Small Power Centre Shaft Hull, 82EL024</v>
          </cell>
          <cell r="E515" t="str">
            <v>H.G20</v>
          </cell>
          <cell r="G515" t="str">
            <v>7-Day Workweek (10 hours)</v>
          </cell>
          <cell r="H515" t="str">
            <v>0d</v>
          </cell>
          <cell r="I515" t="str">
            <v>0d</v>
          </cell>
          <cell r="J515">
            <v>0</v>
          </cell>
          <cell r="K515" t="str">
            <v>As Late As Possible</v>
          </cell>
          <cell r="M515">
            <v>41333</v>
          </cell>
        </row>
        <row r="516">
          <cell r="C516" t="str">
            <v>8201-C01</v>
          </cell>
          <cell r="D516" t="str">
            <v>Mechanical Completion 8201-C01 82EN001 Topside switchboard 690V</v>
          </cell>
          <cell r="E516" t="str">
            <v>T.Q30</v>
          </cell>
          <cell r="G516" t="str">
            <v>7-Day Workweek (10 hours)</v>
          </cell>
          <cell r="H516" t="str">
            <v>0d</v>
          </cell>
          <cell r="I516" t="str">
            <v>0d</v>
          </cell>
          <cell r="J516">
            <v>0</v>
          </cell>
          <cell r="K516" t="str">
            <v>As Late As Possible</v>
          </cell>
          <cell r="M516">
            <v>41339</v>
          </cell>
        </row>
        <row r="517">
          <cell r="C517" t="str">
            <v>8201-C03</v>
          </cell>
          <cell r="D517" t="str">
            <v>Mechanical Completion 8201-C03 82EN003 Heat trace &amp; Living quarters switchboard 690V</v>
          </cell>
          <cell r="E517" t="str">
            <v>T.Q20</v>
          </cell>
          <cell r="G517" t="str">
            <v>7-Day Workweek (10 hours)</v>
          </cell>
          <cell r="H517" t="str">
            <v>0d</v>
          </cell>
          <cell r="I517" t="str">
            <v>0d</v>
          </cell>
          <cell r="J517">
            <v>0</v>
          </cell>
          <cell r="K517" t="str">
            <v>As Late As Possible</v>
          </cell>
          <cell r="M517">
            <v>41339</v>
          </cell>
        </row>
        <row r="518">
          <cell r="C518" t="str">
            <v>8201-C05</v>
          </cell>
          <cell r="D518" t="str">
            <v>Mechanical Completion 8201-C05 82EL004 Living quarters switchboard 400/230V</v>
          </cell>
          <cell r="E518" t="str">
            <v>T.L10</v>
          </cell>
          <cell r="G518" t="str">
            <v>7-Day Workweek (10 hours)</v>
          </cell>
          <cell r="H518" t="str">
            <v>0d</v>
          </cell>
          <cell r="I518" t="str">
            <v>0d</v>
          </cell>
          <cell r="J518">
            <v>0</v>
          </cell>
          <cell r="K518" t="str">
            <v>As Late As Possible</v>
          </cell>
          <cell r="M518">
            <v>41345</v>
          </cell>
        </row>
        <row r="519">
          <cell r="C519" t="str">
            <v>8201-C06</v>
          </cell>
          <cell r="D519" t="str">
            <v>Mechanical Completion 8201-C06 82EL001 Topside switchboard 400/230V</v>
          </cell>
          <cell r="E519" t="str">
            <v>T.Q30.Q34</v>
          </cell>
          <cell r="G519" t="str">
            <v>7-Day Workweek (10 hours)</v>
          </cell>
          <cell r="H519" t="str">
            <v>0d</v>
          </cell>
          <cell r="I519" t="str">
            <v>0d</v>
          </cell>
          <cell r="J519">
            <v>0</v>
          </cell>
          <cell r="K519" t="str">
            <v>As Late As Possible</v>
          </cell>
          <cell r="M519">
            <v>41345</v>
          </cell>
        </row>
        <row r="520">
          <cell r="C520" t="str">
            <v>8201-C11</v>
          </cell>
          <cell r="D520" t="str">
            <v>Mechanical Completion 8201-C11 82EL011 Normal distr. board &amp; Normal Lighting &amp; Small power LQ (L11)</v>
          </cell>
          <cell r="E520" t="str">
            <v>T.L10</v>
          </cell>
          <cell r="G520" t="str">
            <v>7-Day Workweek (10 hours)</v>
          </cell>
          <cell r="H520" t="str">
            <v>0d</v>
          </cell>
          <cell r="I520" t="str">
            <v>0d</v>
          </cell>
          <cell r="J520">
            <v>0</v>
          </cell>
          <cell r="K520" t="str">
            <v>As Late As Possible</v>
          </cell>
          <cell r="M520">
            <v>41347</v>
          </cell>
        </row>
        <row r="521">
          <cell r="C521" t="str">
            <v>8202-C01</v>
          </cell>
          <cell r="D521" t="str">
            <v>Mechanical Completion 8202-C01 Lighting &amp; Small power, Topside,Utility Area,A3-2</v>
          </cell>
          <cell r="E521" t="str">
            <v>T.Q30</v>
          </cell>
          <cell r="G521" t="str">
            <v>7-Day Workweek (10 hours)</v>
          </cell>
          <cell r="H521" t="str">
            <v>0d</v>
          </cell>
          <cell r="I521" t="str">
            <v>0d</v>
          </cell>
          <cell r="J521">
            <v>0</v>
          </cell>
          <cell r="K521" t="str">
            <v>As Late As Possible</v>
          </cell>
          <cell r="M521">
            <v>41347</v>
          </cell>
        </row>
        <row r="522">
          <cell r="C522" t="str">
            <v>8201-C12</v>
          </cell>
          <cell r="D522" t="str">
            <v>Mechanical Completion 8201-C12 82EL012 Normal distr. board &amp; Normal Lighting &amp; Small power LQ (L12)</v>
          </cell>
          <cell r="E522" t="str">
            <v>T.L10</v>
          </cell>
          <cell r="G522" t="str">
            <v>7-Day Workweek (10 hours)</v>
          </cell>
          <cell r="H522" t="str">
            <v>0d</v>
          </cell>
          <cell r="I522" t="str">
            <v>0d</v>
          </cell>
          <cell r="J522">
            <v>0</v>
          </cell>
          <cell r="K522" t="str">
            <v>As Late As Possible</v>
          </cell>
          <cell r="M522">
            <v>41352</v>
          </cell>
        </row>
        <row r="523">
          <cell r="C523" t="str">
            <v>8202-C02</v>
          </cell>
          <cell r="D523" t="str">
            <v>Mechanical Completion 8202-C02 Lighting and Small  Power Topside P20,P30,A3-1</v>
          </cell>
          <cell r="E523" t="str">
            <v>T.P20</v>
          </cell>
          <cell r="G523" t="str">
            <v>7-Day Workweek (10 hours)</v>
          </cell>
          <cell r="H523" t="str">
            <v>0d</v>
          </cell>
          <cell r="I523" t="str">
            <v>0d</v>
          </cell>
          <cell r="J523">
            <v>0</v>
          </cell>
          <cell r="K523" t="str">
            <v>As Late As Possible</v>
          </cell>
          <cell r="M523">
            <v>41352</v>
          </cell>
        </row>
        <row r="524">
          <cell r="C524" t="str">
            <v>8201-C13</v>
          </cell>
          <cell r="D524" t="str">
            <v>Mechanical Completion 8201-C13 82EL013 Normal distr. board &amp; Normal Lighting &amp; Small power LQ (L13)</v>
          </cell>
          <cell r="E524" t="str">
            <v>T.L10</v>
          </cell>
          <cell r="G524" t="str">
            <v>7-Day Workweek (10 hours)</v>
          </cell>
          <cell r="H524" t="str">
            <v>0d</v>
          </cell>
          <cell r="I524" t="str">
            <v>0d</v>
          </cell>
          <cell r="J524">
            <v>0</v>
          </cell>
          <cell r="K524" t="str">
            <v>As Late As Possible</v>
          </cell>
          <cell r="M524">
            <v>41356</v>
          </cell>
        </row>
        <row r="525">
          <cell r="C525" t="str">
            <v>8202-C03</v>
          </cell>
          <cell r="D525" t="str">
            <v>Mechanical Completion 8202-C03 Lighting and Small Power Topside P10,A2-2</v>
          </cell>
          <cell r="E525" t="str">
            <v>T.P10</v>
          </cell>
          <cell r="G525" t="str">
            <v>7-Day Workweek (10 hours)</v>
          </cell>
          <cell r="H525" t="str">
            <v>0d</v>
          </cell>
          <cell r="I525" t="str">
            <v>0d</v>
          </cell>
          <cell r="J525">
            <v>0</v>
          </cell>
          <cell r="K525" t="str">
            <v>As Late As Possible</v>
          </cell>
          <cell r="M525">
            <v>41356</v>
          </cell>
        </row>
        <row r="526">
          <cell r="C526" t="str">
            <v>8201-C14</v>
          </cell>
          <cell r="D526" t="str">
            <v>Mechanical Completion 8201-C14 82EL014 Normal distr. board &amp; Normal Lighting &amp; Small power LQ (L14)</v>
          </cell>
          <cell r="E526" t="str">
            <v>T.L10</v>
          </cell>
          <cell r="G526" t="str">
            <v>7-Day Workweek (10 hours)</v>
          </cell>
          <cell r="H526" t="str">
            <v>0d</v>
          </cell>
          <cell r="I526" t="str">
            <v>0d</v>
          </cell>
          <cell r="J526">
            <v>0</v>
          </cell>
          <cell r="K526" t="str">
            <v>As Late As Possible</v>
          </cell>
          <cell r="M526">
            <v>41361</v>
          </cell>
        </row>
        <row r="527">
          <cell r="C527" t="str">
            <v>8202-C04</v>
          </cell>
          <cell r="D527" t="str">
            <v>Mechanical Completion 8202-C04 Lighting and Small Power Topside Main Deck,A2-1</v>
          </cell>
          <cell r="E527" t="str">
            <v>T.P10</v>
          </cell>
          <cell r="G527" t="str">
            <v>7-Day Workweek (10 hours)</v>
          </cell>
          <cell r="H527" t="str">
            <v>0d</v>
          </cell>
          <cell r="I527" t="str">
            <v>0d</v>
          </cell>
          <cell r="J527">
            <v>0</v>
          </cell>
          <cell r="K527" t="str">
            <v>As Late As Possible</v>
          </cell>
          <cell r="M527">
            <v>41361</v>
          </cell>
        </row>
        <row r="528">
          <cell r="C528" t="str">
            <v>8201-C15</v>
          </cell>
          <cell r="D528" t="str">
            <v>Mechanical Completion 8201-C15 82EL015 Normal distr. board &amp; Normal Lighting &amp; Small power LQ (L15)</v>
          </cell>
          <cell r="E528" t="str">
            <v>T.L10</v>
          </cell>
          <cell r="G528" t="str">
            <v>7-Day Workweek (10 hours)</v>
          </cell>
          <cell r="H528" t="str">
            <v>0d</v>
          </cell>
          <cell r="I528" t="str">
            <v>0d</v>
          </cell>
          <cell r="J528">
            <v>0</v>
          </cell>
          <cell r="K528" t="str">
            <v>As Late As Possible</v>
          </cell>
          <cell r="M528">
            <v>41366</v>
          </cell>
        </row>
        <row r="529">
          <cell r="C529" t="str">
            <v>8202-C05</v>
          </cell>
          <cell r="D529" t="str">
            <v>Mechanical Completion 8202-C05 Lighting and Small Power Topside Utility Area,B2-1</v>
          </cell>
          <cell r="E529" t="str">
            <v>T.P10</v>
          </cell>
          <cell r="G529" t="str">
            <v>7-Day Workweek (10 hours)</v>
          </cell>
          <cell r="H529" t="str">
            <v>0d</v>
          </cell>
          <cell r="I529" t="str">
            <v>0d</v>
          </cell>
          <cell r="J529">
            <v>0</v>
          </cell>
          <cell r="K529" t="str">
            <v>As Late As Possible</v>
          </cell>
          <cell r="M529">
            <v>41366</v>
          </cell>
        </row>
        <row r="530">
          <cell r="C530" t="str">
            <v>8201-C16</v>
          </cell>
          <cell r="D530" t="str">
            <v>Mechanical Completion 8201-C16 82EL016 Normal distr. board &amp; Normal Lighting &amp; Small power LQ (L16)</v>
          </cell>
          <cell r="E530" t="str">
            <v>T.L10</v>
          </cell>
          <cell r="G530" t="str">
            <v>7-Day Workweek (10 hours)</v>
          </cell>
          <cell r="H530" t="str">
            <v>0d</v>
          </cell>
          <cell r="I530" t="str">
            <v>0d</v>
          </cell>
          <cell r="J530">
            <v>0</v>
          </cell>
          <cell r="K530" t="str">
            <v>As Late As Possible</v>
          </cell>
          <cell r="M530">
            <v>41370</v>
          </cell>
        </row>
        <row r="531">
          <cell r="C531" t="str">
            <v>8202-C06</v>
          </cell>
          <cell r="D531" t="str">
            <v>Mechanical Completion 8202-C06 Lighting and Small Power Topside socket outlet,B2-2</v>
          </cell>
          <cell r="E531" t="str">
            <v>T.P10</v>
          </cell>
          <cell r="G531" t="str">
            <v>7-Day Workweek (10 hours)</v>
          </cell>
          <cell r="H531" t="str">
            <v>0d</v>
          </cell>
          <cell r="I531" t="str">
            <v>0d</v>
          </cell>
          <cell r="J531">
            <v>0</v>
          </cell>
          <cell r="K531" t="str">
            <v>As Late As Possible</v>
          </cell>
          <cell r="M531">
            <v>41370</v>
          </cell>
        </row>
        <row r="532">
          <cell r="C532" t="str">
            <v>8201-C17</v>
          </cell>
          <cell r="D532" t="str">
            <v>Mechanical Completion 8201-C17 82EL017 Normal distr. board &amp; Normal Lighting &amp; Small power LQ (L17)</v>
          </cell>
          <cell r="E532" t="str">
            <v>T.L10</v>
          </cell>
          <cell r="G532" t="str">
            <v>7-Day Workweek (10 hours)</v>
          </cell>
          <cell r="H532" t="str">
            <v>0d</v>
          </cell>
          <cell r="I532" t="str">
            <v>0d</v>
          </cell>
          <cell r="J532">
            <v>0</v>
          </cell>
          <cell r="K532" t="str">
            <v>As Late As Possible</v>
          </cell>
          <cell r="M532">
            <v>41375</v>
          </cell>
        </row>
        <row r="533">
          <cell r="C533" t="str">
            <v>8202-C07</v>
          </cell>
          <cell r="D533" t="str">
            <v>Mechanical Completion 8202-C07 Lighting and Small Power Topside P20,P30,B3-1</v>
          </cell>
          <cell r="E533" t="str">
            <v>T.P20</v>
          </cell>
          <cell r="G533" t="str">
            <v>7-Day Workweek (10 hours)</v>
          </cell>
          <cell r="H533" t="str">
            <v>0d</v>
          </cell>
          <cell r="I533" t="str">
            <v>0d</v>
          </cell>
          <cell r="J533">
            <v>0</v>
          </cell>
          <cell r="K533" t="str">
            <v>As Late As Possible</v>
          </cell>
          <cell r="M533">
            <v>41375</v>
          </cell>
        </row>
        <row r="534">
          <cell r="C534" t="str">
            <v>8201-C08</v>
          </cell>
          <cell r="D534" t="str">
            <v>Mechanical Completion 8201-C08 82EL002 Heat trace switchboard 400/230V</v>
          </cell>
          <cell r="E534" t="str">
            <v>T.Q20</v>
          </cell>
          <cell r="G534" t="str">
            <v>7-Day Workweek (10 hours)</v>
          </cell>
          <cell r="H534" t="str">
            <v>0d</v>
          </cell>
          <cell r="I534" t="str">
            <v>0d</v>
          </cell>
          <cell r="J534">
            <v>0</v>
          </cell>
          <cell r="K534" t="str">
            <v>As Late As Possible</v>
          </cell>
          <cell r="M534">
            <v>41379</v>
          </cell>
        </row>
        <row r="535">
          <cell r="C535" t="str">
            <v>8201-C09</v>
          </cell>
          <cell r="D535" t="str">
            <v>Mechanical Completion 8201-C09 82EL005 Heat trace switchboard 400/230V</v>
          </cell>
          <cell r="E535" t="str">
            <v>T.Q20</v>
          </cell>
          <cell r="G535" t="str">
            <v>7-Day Workweek (10 hours)</v>
          </cell>
          <cell r="H535" t="str">
            <v>0d</v>
          </cell>
          <cell r="I535" t="str">
            <v>0d</v>
          </cell>
          <cell r="J535">
            <v>0</v>
          </cell>
          <cell r="K535" t="str">
            <v>As Late As Possible</v>
          </cell>
          <cell r="M535">
            <v>41379</v>
          </cell>
        </row>
        <row r="536">
          <cell r="C536" t="str">
            <v>8201-C18</v>
          </cell>
          <cell r="D536" t="str">
            <v>Mechanical Completion 8201-C18 82EL018 Normal distr. board &amp; Normal Lighting &amp; Small power LQ (L18)</v>
          </cell>
          <cell r="E536" t="str">
            <v>T.L10</v>
          </cell>
          <cell r="G536" t="str">
            <v>7-Day Workweek (10 hours)</v>
          </cell>
          <cell r="H536" t="str">
            <v>0d</v>
          </cell>
          <cell r="I536" t="str">
            <v>0d</v>
          </cell>
          <cell r="J536">
            <v>0</v>
          </cell>
          <cell r="K536" t="str">
            <v>As Late As Possible</v>
          </cell>
          <cell r="M536">
            <v>41380</v>
          </cell>
        </row>
        <row r="537">
          <cell r="C537" t="str">
            <v>8202-C08</v>
          </cell>
          <cell r="D537" t="str">
            <v>Mechanical Completion 8202-C08 Lighting and Small Power Topside,P50,B3-2</v>
          </cell>
          <cell r="E537" t="str">
            <v>T.P50</v>
          </cell>
          <cell r="G537" t="str">
            <v>7-Day Workweek (10 hours)</v>
          </cell>
          <cell r="H537" t="str">
            <v>0d</v>
          </cell>
          <cell r="I537" t="str">
            <v>0d</v>
          </cell>
          <cell r="J537">
            <v>0</v>
          </cell>
          <cell r="K537" t="str">
            <v>As Late As Possible</v>
          </cell>
          <cell r="M537">
            <v>41380</v>
          </cell>
        </row>
        <row r="538">
          <cell r="C538" t="str">
            <v>8201-C19</v>
          </cell>
          <cell r="D538" t="str">
            <v>Mechanical Completion 8201-C19 82EL019 Normal distr. board LQ (CER)</v>
          </cell>
          <cell r="E538" t="str">
            <v>T.L10</v>
          </cell>
          <cell r="G538" t="str">
            <v>7-Day Workweek (10 hours)</v>
          </cell>
          <cell r="H538" t="str">
            <v>0d</v>
          </cell>
          <cell r="I538" t="str">
            <v>0d</v>
          </cell>
          <cell r="J538">
            <v>0</v>
          </cell>
          <cell r="K538" t="str">
            <v>As Late As Possible</v>
          </cell>
          <cell r="M538">
            <v>41384</v>
          </cell>
        </row>
        <row r="539">
          <cell r="C539" t="str">
            <v>8201-C20</v>
          </cell>
          <cell r="D539" t="str">
            <v>Mechanical Completion 8201-C20 82EL020 Normal distr. board LQ (CER)</v>
          </cell>
          <cell r="E539" t="str">
            <v>T.L10</v>
          </cell>
          <cell r="G539" t="str">
            <v>7-Day Workweek (10 hours)</v>
          </cell>
          <cell r="H539" t="str">
            <v>0d</v>
          </cell>
          <cell r="I539" t="str">
            <v>0d</v>
          </cell>
          <cell r="J539">
            <v>0</v>
          </cell>
          <cell r="K539" t="str">
            <v>As Late As Possible</v>
          </cell>
          <cell r="M539">
            <v>41387</v>
          </cell>
        </row>
        <row r="540">
          <cell r="C540" t="str">
            <v>8201-C21</v>
          </cell>
          <cell r="D540" t="str">
            <v>Mechanical Completion 8201-C21 82EL007 Laundry distr. board LQ (L13)</v>
          </cell>
          <cell r="E540" t="str">
            <v>T.L10</v>
          </cell>
          <cell r="G540" t="str">
            <v>7-Day Workweek (10 hours)</v>
          </cell>
          <cell r="H540" t="str">
            <v>0d</v>
          </cell>
          <cell r="I540" t="str">
            <v>0d</v>
          </cell>
          <cell r="J540">
            <v>0</v>
          </cell>
          <cell r="K540" t="str">
            <v>As Late As Possible</v>
          </cell>
          <cell r="M540">
            <v>41388</v>
          </cell>
        </row>
        <row r="541">
          <cell r="C541" t="str">
            <v>8201-C22</v>
          </cell>
          <cell r="D541" t="str">
            <v>Mechanical Completion 8201-C22 82EL008 Galley distr. board LQ (L13)</v>
          </cell>
          <cell r="E541" t="str">
            <v>T.L10</v>
          </cell>
          <cell r="G541" t="str">
            <v>7-Day Workweek (10 hours)</v>
          </cell>
          <cell r="H541" t="str">
            <v>0d</v>
          </cell>
          <cell r="I541" t="str">
            <v>0d</v>
          </cell>
          <cell r="J541">
            <v>0</v>
          </cell>
          <cell r="K541" t="str">
            <v>As Late As Possible</v>
          </cell>
          <cell r="M541">
            <v>41390</v>
          </cell>
        </row>
        <row r="542">
          <cell r="C542" t="str">
            <v>8201-C23</v>
          </cell>
          <cell r="D542" t="str">
            <v>Mechanical Completion 8201-C23 82EL009 Reheater distr. board LQ (L11)</v>
          </cell>
          <cell r="E542" t="str">
            <v>T.L10</v>
          </cell>
          <cell r="G542" t="str">
            <v>7-Day Workweek (10 hours)</v>
          </cell>
          <cell r="H542" t="str">
            <v>0d</v>
          </cell>
          <cell r="I542" t="str">
            <v>0d</v>
          </cell>
          <cell r="J542">
            <v>0</v>
          </cell>
          <cell r="K542" t="str">
            <v>As Late As Possible</v>
          </cell>
          <cell r="M542">
            <v>41391</v>
          </cell>
        </row>
        <row r="543">
          <cell r="F543">
            <v>0</v>
          </cell>
          <cell r="G543" t="str">
            <v>7-Day Workweek (10 hours)</v>
          </cell>
          <cell r="H543" t="str">
            <v>130d</v>
          </cell>
          <cell r="I543" t="str">
            <v>130d</v>
          </cell>
          <cell r="J543">
            <v>0</v>
          </cell>
          <cell r="L543">
            <v>41286</v>
          </cell>
          <cell r="M543">
            <v>41390</v>
          </cell>
        </row>
        <row r="544">
          <cell r="C544" t="str">
            <v>8401-C01</v>
          </cell>
          <cell r="D544" t="str">
            <v>Mechanical Completion 8401-C01 84EN001 Emergency switchboard 690V</v>
          </cell>
          <cell r="E544" t="str">
            <v>T.Q40</v>
          </cell>
          <cell r="G544" t="str">
            <v>7-Day Workweek (10 hours)</v>
          </cell>
          <cell r="H544" t="str">
            <v>0d</v>
          </cell>
          <cell r="I544" t="str">
            <v>0d</v>
          </cell>
          <cell r="J544">
            <v>0</v>
          </cell>
          <cell r="M544">
            <v>41286</v>
          </cell>
        </row>
        <row r="545">
          <cell r="C545" t="str">
            <v>8401-C02</v>
          </cell>
          <cell r="D545" t="str">
            <v>Mechanical Completion 8401-C02 84EN002 TG1 utility switchboard 690V</v>
          </cell>
          <cell r="E545" t="str">
            <v>T.Q20.Q24</v>
          </cell>
          <cell r="G545" t="str">
            <v>7-Day Workweek (10 hours)</v>
          </cell>
          <cell r="H545" t="str">
            <v>0d</v>
          </cell>
          <cell r="I545" t="str">
            <v>0d</v>
          </cell>
          <cell r="J545">
            <v>0</v>
          </cell>
          <cell r="M545">
            <v>41299</v>
          </cell>
        </row>
        <row r="546">
          <cell r="C546" t="str">
            <v>8401-C03</v>
          </cell>
          <cell r="D546" t="str">
            <v>Mechanical Completion 8401-C03 84EL001 Emergency switchboard 400/230V</v>
          </cell>
          <cell r="E546" t="str">
            <v>T.Q40</v>
          </cell>
          <cell r="G546" t="str">
            <v>7-Day Workweek (10 hours)</v>
          </cell>
          <cell r="H546" t="str">
            <v>0d</v>
          </cell>
          <cell r="I546" t="str">
            <v>0d</v>
          </cell>
          <cell r="J546">
            <v>0</v>
          </cell>
          <cell r="K546" t="str">
            <v>As Late As Possible</v>
          </cell>
          <cell r="M546">
            <v>41306</v>
          </cell>
        </row>
        <row r="547">
          <cell r="C547" t="str">
            <v>8402-C01</v>
          </cell>
          <cell r="D547" t="str">
            <v>Mechanical Completion 8402-C01 84EL001 Emergency  Lighting &amp; Small power main deck north</v>
          </cell>
          <cell r="E547" t="str">
            <v>H.M10</v>
          </cell>
          <cell r="G547" t="str">
            <v>7-Day Workweek (10 hours)</v>
          </cell>
          <cell r="H547" t="str">
            <v>0d</v>
          </cell>
          <cell r="I547" t="str">
            <v>0d</v>
          </cell>
          <cell r="J547">
            <v>0</v>
          </cell>
          <cell r="K547" t="str">
            <v>As Late As Possible</v>
          </cell>
          <cell r="M547">
            <v>41307</v>
          </cell>
        </row>
        <row r="548">
          <cell r="C548" t="str">
            <v>8402-C02</v>
          </cell>
          <cell r="D548" t="str">
            <v>Mechanical Completion 8402-C02 84EL001 Emergency Lighting &amp; Small power main deck south</v>
          </cell>
          <cell r="E548" t="str">
            <v>T.Q40</v>
          </cell>
          <cell r="G548" t="str">
            <v>7-Day Workweek (10 hours)</v>
          </cell>
          <cell r="H548" t="str">
            <v>0d</v>
          </cell>
          <cell r="I548" t="str">
            <v>0d</v>
          </cell>
          <cell r="J548">
            <v>0</v>
          </cell>
          <cell r="K548" t="str">
            <v>As Late As Possible</v>
          </cell>
          <cell r="M548">
            <v>41312</v>
          </cell>
        </row>
        <row r="549">
          <cell r="C549" t="str">
            <v>8402-C03</v>
          </cell>
          <cell r="D549" t="str">
            <v>Mechanical Completion 8402-C03 84EL001 Emergency Lighting &amp; Small power F10,F20,P10</v>
          </cell>
          <cell r="E549" t="str">
            <v>T.Q40</v>
          </cell>
          <cell r="G549" t="str">
            <v>7-Day Workweek (10 hours)</v>
          </cell>
          <cell r="H549" t="str">
            <v>0d</v>
          </cell>
          <cell r="I549" t="str">
            <v>0d</v>
          </cell>
          <cell r="J549">
            <v>0</v>
          </cell>
          <cell r="K549" t="str">
            <v>As Late As Possible</v>
          </cell>
          <cell r="M549">
            <v>41317</v>
          </cell>
        </row>
        <row r="550">
          <cell r="C550" t="str">
            <v>8402-C04</v>
          </cell>
          <cell r="D550" t="str">
            <v>Mechanical Completion 8402-C04 84EL001 Emergency Lighting &amp; Small power P20,P30</v>
          </cell>
          <cell r="E550" t="str">
            <v>T.Q40</v>
          </cell>
          <cell r="G550" t="str">
            <v>7-Day Workweek (10 hours)</v>
          </cell>
          <cell r="H550" t="str">
            <v>0d</v>
          </cell>
          <cell r="I550" t="str">
            <v>0d</v>
          </cell>
          <cell r="J550">
            <v>0</v>
          </cell>
          <cell r="K550" t="str">
            <v>As Late As Possible</v>
          </cell>
          <cell r="M550">
            <v>41321</v>
          </cell>
        </row>
        <row r="551">
          <cell r="C551" t="str">
            <v>8402-C05</v>
          </cell>
          <cell r="D551" t="str">
            <v>Mechanical Completion 8402-C05 84EL001 Emergency Lighting &amp; Small power Q10,Q20,30,Q40</v>
          </cell>
          <cell r="E551" t="str">
            <v>T.Q40</v>
          </cell>
          <cell r="G551" t="str">
            <v>7-Day Workweek (10 hours)</v>
          </cell>
          <cell r="H551" t="str">
            <v>0d</v>
          </cell>
          <cell r="I551" t="str">
            <v>0d</v>
          </cell>
          <cell r="J551">
            <v>0</v>
          </cell>
          <cell r="K551" t="str">
            <v>As Late As Possible</v>
          </cell>
          <cell r="M551">
            <v>41326</v>
          </cell>
        </row>
        <row r="552">
          <cell r="C552" t="str">
            <v>8401-C05</v>
          </cell>
          <cell r="D552" t="str">
            <v>Mechanical Completion 8401-C05 Panel 84JC100 - Node L53 (EM. Gen. Room)</v>
          </cell>
          <cell r="E552" t="str">
            <v>T.Q30</v>
          </cell>
          <cell r="G552" t="str">
            <v>7-Day Workweek (10 hours)</v>
          </cell>
          <cell r="H552" t="str">
            <v>0d</v>
          </cell>
          <cell r="I552" t="str">
            <v>0d</v>
          </cell>
          <cell r="J552">
            <v>0</v>
          </cell>
          <cell r="K552" t="str">
            <v>As Late As Possible</v>
          </cell>
          <cell r="M552">
            <v>41339</v>
          </cell>
        </row>
        <row r="553">
          <cell r="C553" t="str">
            <v>8401-C04</v>
          </cell>
          <cell r="D553" t="str">
            <v>Mechanical Completion 8401-C04 84EG001 Emergency generator</v>
          </cell>
          <cell r="E553" t="str">
            <v>T.Q30</v>
          </cell>
          <cell r="G553" t="str">
            <v>7-Day Workweek (10 hours)</v>
          </cell>
          <cell r="H553" t="str">
            <v>0d</v>
          </cell>
          <cell r="I553" t="str">
            <v>0d</v>
          </cell>
          <cell r="J553">
            <v>0</v>
          </cell>
          <cell r="K553" t="str">
            <v>As Late As Possible</v>
          </cell>
          <cell r="M553">
            <v>41344</v>
          </cell>
        </row>
        <row r="554">
          <cell r="C554" t="str">
            <v>8401-C07</v>
          </cell>
          <cell r="D554" t="str">
            <v>Mechanical Completion 8401-C07 84EL011 Emergency distr. board &amp; Emergency Lighting &amp; Small power LQ (L11)</v>
          </cell>
          <cell r="E554" t="str">
            <v>T.L10</v>
          </cell>
          <cell r="G554" t="str">
            <v>7-Day Workweek (10 hours)</v>
          </cell>
          <cell r="H554" t="str">
            <v>0d</v>
          </cell>
          <cell r="I554" t="str">
            <v>0d</v>
          </cell>
          <cell r="J554">
            <v>0</v>
          </cell>
          <cell r="K554" t="str">
            <v>As Late As Possible</v>
          </cell>
          <cell r="M554">
            <v>41345</v>
          </cell>
        </row>
        <row r="555">
          <cell r="C555" t="str">
            <v>8401-C08</v>
          </cell>
          <cell r="D555" t="str">
            <v>Mechanical Completion 8401-C08 84EL012 Emergency distr. board &amp; Emergency Lighting &amp; Small power LQ (L12)</v>
          </cell>
          <cell r="E555" t="str">
            <v>T.L10</v>
          </cell>
          <cell r="G555" t="str">
            <v>7-Day Workweek (10 hours)</v>
          </cell>
          <cell r="H555" t="str">
            <v>0d</v>
          </cell>
          <cell r="I555" t="str">
            <v>0d</v>
          </cell>
          <cell r="J555">
            <v>0</v>
          </cell>
          <cell r="K555" t="str">
            <v>As Late As Possible</v>
          </cell>
          <cell r="M555">
            <v>41349</v>
          </cell>
        </row>
        <row r="556">
          <cell r="C556" t="str">
            <v>8401-C09</v>
          </cell>
          <cell r="D556" t="str">
            <v>Mechanical Completion 8401-C09 84EL013 Emergency distr. board &amp; Emergency Lighting &amp; Small power LQ (L13)</v>
          </cell>
          <cell r="E556" t="str">
            <v>T.L10</v>
          </cell>
          <cell r="G556" t="str">
            <v>7-Day Workweek (10 hours)</v>
          </cell>
          <cell r="H556" t="str">
            <v>0d</v>
          </cell>
          <cell r="I556" t="str">
            <v>0d</v>
          </cell>
          <cell r="J556">
            <v>0</v>
          </cell>
          <cell r="K556" t="str">
            <v>As Late As Possible</v>
          </cell>
          <cell r="M556">
            <v>41354</v>
          </cell>
        </row>
        <row r="557">
          <cell r="C557" t="str">
            <v>8401-C10</v>
          </cell>
          <cell r="D557" t="str">
            <v>Mechanical Completion 8401-C10 84EL014 Emergency distr. board &amp; Emergency Lighting &amp; Small power LQ (L14)</v>
          </cell>
          <cell r="E557" t="str">
            <v>T.L10</v>
          </cell>
          <cell r="G557" t="str">
            <v>7-Day Workweek (10 hours)</v>
          </cell>
          <cell r="H557" t="str">
            <v>0d</v>
          </cell>
          <cell r="I557" t="str">
            <v>0d</v>
          </cell>
          <cell r="J557">
            <v>0</v>
          </cell>
          <cell r="K557" t="str">
            <v>As Late As Possible</v>
          </cell>
          <cell r="M557">
            <v>41359</v>
          </cell>
        </row>
        <row r="558">
          <cell r="C558" t="str">
            <v>8401-C11</v>
          </cell>
          <cell r="D558" t="str">
            <v>Mechanical Completion 8401-C11 84EL015 Emergency distr. board &amp; Emergency Lighting &amp; Small power LQ (L15)</v>
          </cell>
          <cell r="E558" t="str">
            <v>T.L10</v>
          </cell>
          <cell r="G558" t="str">
            <v>7-Day Workweek (10 hours)</v>
          </cell>
          <cell r="H558" t="str">
            <v>0d</v>
          </cell>
          <cell r="I558" t="str">
            <v>0d</v>
          </cell>
          <cell r="J558">
            <v>0</v>
          </cell>
          <cell r="K558" t="str">
            <v>As Late As Possible</v>
          </cell>
          <cell r="M558">
            <v>41363</v>
          </cell>
        </row>
        <row r="559">
          <cell r="C559" t="str">
            <v>8401-C12</v>
          </cell>
          <cell r="D559" t="str">
            <v>Mechanical Completion 8401-C12 84EL016 Emergency distr. board &amp; Emergency Lighting &amp; Small power LQ (L16)</v>
          </cell>
          <cell r="E559" t="str">
            <v>T.L10</v>
          </cell>
          <cell r="G559" t="str">
            <v>7-Day Workweek (10 hours)</v>
          </cell>
          <cell r="H559" t="str">
            <v>0d</v>
          </cell>
          <cell r="I559" t="str">
            <v>0d</v>
          </cell>
          <cell r="J559">
            <v>0</v>
          </cell>
          <cell r="K559" t="str">
            <v>As Late As Possible</v>
          </cell>
          <cell r="M559">
            <v>41368</v>
          </cell>
        </row>
        <row r="560">
          <cell r="C560" t="str">
            <v>8401-C13</v>
          </cell>
          <cell r="D560" t="str">
            <v>Mechanical Completion 8401-C13 84EL017 Emergency distr. board &amp; Emergency Lighting &amp; Small power LQ (L17)</v>
          </cell>
          <cell r="E560" t="str">
            <v>T.L10</v>
          </cell>
          <cell r="G560" t="str">
            <v>7-Day Workweek (10 hours)</v>
          </cell>
          <cell r="H560" t="str">
            <v>0d</v>
          </cell>
          <cell r="I560" t="str">
            <v>0d</v>
          </cell>
          <cell r="J560">
            <v>0</v>
          </cell>
          <cell r="K560" t="str">
            <v>As Late As Possible</v>
          </cell>
          <cell r="M560">
            <v>41373</v>
          </cell>
        </row>
        <row r="561">
          <cell r="C561" t="str">
            <v>8401-C14</v>
          </cell>
          <cell r="D561" t="str">
            <v>Mechanical Completion 8401-C14 84EL018 Emergency distr. board &amp; Emergency Lighting &amp; Small power LQ (L18)</v>
          </cell>
          <cell r="E561" t="str">
            <v>T.L10</v>
          </cell>
          <cell r="G561" t="str">
            <v>7-Day Workweek (10 hours)</v>
          </cell>
          <cell r="H561" t="str">
            <v>0d</v>
          </cell>
          <cell r="I561" t="str">
            <v>0d</v>
          </cell>
          <cell r="J561">
            <v>0</v>
          </cell>
          <cell r="K561" t="str">
            <v>As Late As Possible</v>
          </cell>
          <cell r="M561">
            <v>41377</v>
          </cell>
        </row>
        <row r="562">
          <cell r="C562" t="str">
            <v>8401-C15</v>
          </cell>
          <cell r="D562" t="str">
            <v>Mechanical Completion 8401-C15 84EL029 Emengency distr. board North shaft Bus A</v>
          </cell>
          <cell r="E562" t="str">
            <v>H.N10</v>
          </cell>
          <cell r="G562" t="str">
            <v>7-Day Workweek (10 hours)</v>
          </cell>
          <cell r="H562" t="str">
            <v>0d</v>
          </cell>
          <cell r="I562" t="str">
            <v>0d</v>
          </cell>
          <cell r="J562">
            <v>0</v>
          </cell>
          <cell r="K562" t="str">
            <v>As Late As Possible</v>
          </cell>
          <cell r="M562">
            <v>41382</v>
          </cell>
        </row>
        <row r="563">
          <cell r="C563" t="str">
            <v>8401-C16</v>
          </cell>
          <cell r="D563" t="str">
            <v>Mechanical Completion 8401-C16 84EL030 Emengency distr. board North shaft Bus B</v>
          </cell>
          <cell r="E563" t="str">
            <v>H.N10</v>
          </cell>
          <cell r="G563" t="str">
            <v>7-Day Workweek (10 hours)</v>
          </cell>
          <cell r="H563" t="str">
            <v>0d</v>
          </cell>
          <cell r="I563" t="str">
            <v>0d</v>
          </cell>
          <cell r="J563">
            <v>0</v>
          </cell>
          <cell r="K563" t="str">
            <v>As Late As Possible</v>
          </cell>
          <cell r="M563">
            <v>41384</v>
          </cell>
        </row>
        <row r="564">
          <cell r="C564" t="str">
            <v>8402-C06</v>
          </cell>
          <cell r="D564" t="str">
            <v>Mechanical Completion 8402-C06 84EL029 Emergency Lighting &amp; Small power North shaft Bus A</v>
          </cell>
          <cell r="E564" t="str">
            <v>H.N10</v>
          </cell>
          <cell r="G564" t="str">
            <v>7-Day Workweek (10 hours)</v>
          </cell>
          <cell r="H564" t="str">
            <v>0d</v>
          </cell>
          <cell r="I564" t="str">
            <v>0d</v>
          </cell>
          <cell r="J564">
            <v>0</v>
          </cell>
          <cell r="K564" t="str">
            <v>As Late As Possible</v>
          </cell>
          <cell r="M564">
            <v>41384</v>
          </cell>
        </row>
        <row r="565">
          <cell r="C565" t="str">
            <v>8401-C17</v>
          </cell>
          <cell r="D565" t="str">
            <v>Mechanical Completion 8401-C17 84EL031 Emengency distr. board Center shaft Bus A</v>
          </cell>
          <cell r="E565" t="str">
            <v>H.G20</v>
          </cell>
          <cell r="G565" t="str">
            <v>7-Day Workweek (10 hours)</v>
          </cell>
          <cell r="H565" t="str">
            <v>0d</v>
          </cell>
          <cell r="I565" t="str">
            <v>0d</v>
          </cell>
          <cell r="J565">
            <v>0</v>
          </cell>
          <cell r="K565" t="str">
            <v>As Late As Possible</v>
          </cell>
          <cell r="M565">
            <v>41387</v>
          </cell>
        </row>
        <row r="566">
          <cell r="C566" t="str">
            <v>8402-C07</v>
          </cell>
          <cell r="D566" t="str">
            <v>Mechanical Completion 8402-C07 84EL030 Emergency Lighting &amp; Small power North shaft Bus B</v>
          </cell>
          <cell r="E566" t="str">
            <v>H.N10</v>
          </cell>
          <cell r="G566" t="str">
            <v>7-Day Workweek (10 hours)</v>
          </cell>
          <cell r="H566" t="str">
            <v>0d</v>
          </cell>
          <cell r="I566" t="str">
            <v>0d</v>
          </cell>
          <cell r="J566">
            <v>0</v>
          </cell>
          <cell r="K566" t="str">
            <v>As Late As Possible</v>
          </cell>
          <cell r="M566">
            <v>41387</v>
          </cell>
        </row>
        <row r="567">
          <cell r="C567" t="str">
            <v>8401-C18</v>
          </cell>
          <cell r="D567" t="str">
            <v>Mechanical Completion 8401-C18 84EL032 Emengency distr. board Center shaft Bus B</v>
          </cell>
          <cell r="E567" t="str">
            <v>H.G20</v>
          </cell>
          <cell r="G567" t="str">
            <v>7-Day Workweek (10 hours)</v>
          </cell>
          <cell r="H567" t="str">
            <v>0d</v>
          </cell>
          <cell r="I567" t="str">
            <v>0d</v>
          </cell>
          <cell r="J567">
            <v>0</v>
          </cell>
          <cell r="K567" t="str">
            <v>As Late As Possible</v>
          </cell>
          <cell r="M567">
            <v>41388</v>
          </cell>
        </row>
        <row r="568">
          <cell r="C568" t="str">
            <v>8402-C08</v>
          </cell>
          <cell r="D568" t="str">
            <v>Mechanical Completion 8402-C08 84EL031 Emergency Lighting &amp; Small power Center shaft Bus A</v>
          </cell>
          <cell r="E568" t="str">
            <v>H.G20</v>
          </cell>
          <cell r="G568" t="str">
            <v>7-Day Workweek (10 hours)</v>
          </cell>
          <cell r="H568" t="str">
            <v>0d</v>
          </cell>
          <cell r="I568" t="str">
            <v>0d</v>
          </cell>
          <cell r="J568">
            <v>0</v>
          </cell>
          <cell r="K568" t="str">
            <v>As Late As Possible</v>
          </cell>
          <cell r="M568">
            <v>41388</v>
          </cell>
        </row>
        <row r="569">
          <cell r="C569" t="str">
            <v>8402-C09</v>
          </cell>
          <cell r="D569" t="str">
            <v>Mechanical Completion 8402-C09 84EL032 Emergency Lighting &amp; Small power Center shaft Bus B</v>
          </cell>
          <cell r="E569" t="str">
            <v>H.G20</v>
          </cell>
          <cell r="G569" t="str">
            <v>7-Day Workweek (10 hours)</v>
          </cell>
          <cell r="H569" t="str">
            <v>0d</v>
          </cell>
          <cell r="I569" t="str">
            <v>0d</v>
          </cell>
          <cell r="J569">
            <v>0</v>
          </cell>
          <cell r="K569" t="str">
            <v>As Late As Possible</v>
          </cell>
          <cell r="M569">
            <v>41390</v>
          </cell>
        </row>
        <row r="570">
          <cell r="F570">
            <v>0</v>
          </cell>
          <cell r="G570" t="str">
            <v>7-Day Workweek (10 hours)</v>
          </cell>
          <cell r="H570" t="str">
            <v>68d</v>
          </cell>
          <cell r="I570" t="str">
            <v>68d</v>
          </cell>
          <cell r="J570">
            <v>0</v>
          </cell>
          <cell r="L570">
            <v>41286</v>
          </cell>
          <cell r="M570">
            <v>41340</v>
          </cell>
        </row>
        <row r="571">
          <cell r="C571" t="str">
            <v>8502-C01</v>
          </cell>
          <cell r="D571" t="str">
            <v>Mechanical Completion 8502-C01 85ER001B UPS system B 320kVA</v>
          </cell>
          <cell r="E571" t="str">
            <v>T.Q30</v>
          </cell>
          <cell r="G571" t="str">
            <v>7-Day Workweek (10 hours)</v>
          </cell>
          <cell r="H571" t="str">
            <v>0d</v>
          </cell>
          <cell r="I571" t="str">
            <v>0d</v>
          </cell>
          <cell r="J571">
            <v>0</v>
          </cell>
          <cell r="M571">
            <v>41286</v>
          </cell>
        </row>
        <row r="572">
          <cell r="C572" t="str">
            <v>8501-C01</v>
          </cell>
          <cell r="D572" t="str">
            <v>Mechanical Completion 8501-C01 85ER001A UPS system A 320kVA</v>
          </cell>
          <cell r="E572" t="str">
            <v>T.Q30</v>
          </cell>
          <cell r="G572" t="str">
            <v>7-Day Workweek (10 hours)</v>
          </cell>
          <cell r="H572" t="str">
            <v>0d</v>
          </cell>
          <cell r="I572" t="str">
            <v>0d</v>
          </cell>
          <cell r="J572">
            <v>0</v>
          </cell>
          <cell r="K572" t="str">
            <v>As Late As Possible</v>
          </cell>
          <cell r="M572">
            <v>41306</v>
          </cell>
        </row>
        <row r="573">
          <cell r="C573" t="str">
            <v>8501-C02</v>
          </cell>
          <cell r="D573" t="str">
            <v>Mechanical Completion 8501-C02 85EL001A UPS Distr. Board UPS Room</v>
          </cell>
          <cell r="E573" t="str">
            <v>T.Q30</v>
          </cell>
          <cell r="G573" t="str">
            <v>7-Day Workweek (10 hours)</v>
          </cell>
          <cell r="H573" t="str">
            <v>0d</v>
          </cell>
          <cell r="I573" t="str">
            <v>0d</v>
          </cell>
          <cell r="J573">
            <v>0</v>
          </cell>
          <cell r="K573" t="str">
            <v>As Late As Possible</v>
          </cell>
          <cell r="M573">
            <v>41319</v>
          </cell>
        </row>
        <row r="574">
          <cell r="C574" t="str">
            <v>8501-C04</v>
          </cell>
          <cell r="D574" t="str">
            <v>Mechanical Completion 8501-C04 85EL003A UPS Distr. Board (6HR) TER</v>
          </cell>
          <cell r="E574" t="str">
            <v>T.L10.L17</v>
          </cell>
          <cell r="G574" t="str">
            <v>7-Day Workweek (10 hours)</v>
          </cell>
          <cell r="H574" t="str">
            <v>0d</v>
          </cell>
          <cell r="I574" t="str">
            <v>0d</v>
          </cell>
          <cell r="J574">
            <v>0</v>
          </cell>
          <cell r="K574" t="str">
            <v>As Late As Possible</v>
          </cell>
          <cell r="M574">
            <v>41319</v>
          </cell>
        </row>
        <row r="575">
          <cell r="C575" t="str">
            <v>8501-C05</v>
          </cell>
          <cell r="D575" t="str">
            <v>Mechanical Completion 8501-C05 85EL004A UPS Distr. Board TER</v>
          </cell>
          <cell r="E575" t="str">
            <v>T.L10.L17</v>
          </cell>
          <cell r="G575" t="str">
            <v>7-Day Workweek (10 hours)</v>
          </cell>
          <cell r="H575" t="str">
            <v>0d</v>
          </cell>
          <cell r="I575" t="str">
            <v>0d</v>
          </cell>
          <cell r="J575">
            <v>0</v>
          </cell>
          <cell r="K575" t="str">
            <v>As Late As Possible</v>
          </cell>
          <cell r="M575">
            <v>41319</v>
          </cell>
        </row>
        <row r="576">
          <cell r="C576" t="str">
            <v>8501-C03</v>
          </cell>
          <cell r="D576" t="str">
            <v>Mechanical Completion 8501-C03 85EL002A UPS Distr. Board CER</v>
          </cell>
          <cell r="E576" t="str">
            <v>T.L10.L12</v>
          </cell>
          <cell r="G576" t="str">
            <v>7-Day Workweek (10 hours)</v>
          </cell>
          <cell r="H576" t="str">
            <v>0d</v>
          </cell>
          <cell r="I576" t="str">
            <v>0d</v>
          </cell>
          <cell r="J576">
            <v>0</v>
          </cell>
          <cell r="K576" t="str">
            <v>As Late As Possible</v>
          </cell>
          <cell r="M576">
            <v>41332</v>
          </cell>
        </row>
        <row r="577">
          <cell r="C577" t="str">
            <v>8502-C02</v>
          </cell>
          <cell r="D577" t="str">
            <v>Mechanical Completion 8502-C02 85EL001B UPS Distr. Board UPS Room</v>
          </cell>
          <cell r="E577" t="str">
            <v>T.Q30</v>
          </cell>
          <cell r="G577" t="str">
            <v>7-Day Workweek (10 hours)</v>
          </cell>
          <cell r="H577" t="str">
            <v>0d</v>
          </cell>
          <cell r="I577" t="str">
            <v>0d</v>
          </cell>
          <cell r="J577">
            <v>0</v>
          </cell>
          <cell r="K577" t="str">
            <v>As Late As Possible</v>
          </cell>
          <cell r="M577">
            <v>41332</v>
          </cell>
        </row>
        <row r="578">
          <cell r="C578" t="str">
            <v>8502-C03</v>
          </cell>
          <cell r="D578" t="str">
            <v>Mechanical Completion 8502-C03 85EL002B UPS Distr. Board CER</v>
          </cell>
          <cell r="E578" t="str">
            <v>T.L10</v>
          </cell>
          <cell r="G578" t="str">
            <v>7-Day Workweek (10 hours)</v>
          </cell>
          <cell r="H578" t="str">
            <v>0d</v>
          </cell>
          <cell r="I578" t="str">
            <v>0d</v>
          </cell>
          <cell r="J578">
            <v>0</v>
          </cell>
          <cell r="K578" t="str">
            <v>As Late As Possible</v>
          </cell>
          <cell r="M578">
            <v>41332</v>
          </cell>
        </row>
        <row r="579">
          <cell r="C579" t="str">
            <v>8502-C04</v>
          </cell>
          <cell r="D579" t="str">
            <v>Mechanical Completion 8502-C04 85EL003B UPS Distr. Board (6HR) TER</v>
          </cell>
          <cell r="E579" t="str">
            <v>T.L10.L17</v>
          </cell>
          <cell r="G579" t="str">
            <v>7-Day Workweek (10 hours)</v>
          </cell>
          <cell r="H579" t="str">
            <v>0d</v>
          </cell>
          <cell r="I579" t="str">
            <v>0d</v>
          </cell>
          <cell r="J579">
            <v>0</v>
          </cell>
          <cell r="K579" t="str">
            <v>As Late As Possible</v>
          </cell>
          <cell r="M579">
            <v>41332</v>
          </cell>
        </row>
        <row r="580">
          <cell r="C580" t="str">
            <v>8502-C05</v>
          </cell>
          <cell r="D580" t="str">
            <v>Mechanical Completion 8502-C05 85EL004B UPS Distr. Board TER</v>
          </cell>
          <cell r="E580" t="str">
            <v>T.L10.L17</v>
          </cell>
          <cell r="G580" t="str">
            <v>7-Day Workweek (10 hours)</v>
          </cell>
          <cell r="H580" t="str">
            <v>0d</v>
          </cell>
          <cell r="I580" t="str">
            <v>0d</v>
          </cell>
          <cell r="J580">
            <v>0</v>
          </cell>
          <cell r="K580" t="str">
            <v>As Late As Possible</v>
          </cell>
          <cell r="M580">
            <v>41332</v>
          </cell>
        </row>
        <row r="581">
          <cell r="C581" t="str">
            <v>8503-C01</v>
          </cell>
          <cell r="D581" t="str">
            <v>Mechanical Completion 8503-C01 85EL005 UPS Distr. Board</v>
          </cell>
          <cell r="E581" t="str">
            <v>T.Q30</v>
          </cell>
          <cell r="G581" t="str">
            <v>7-Day Workweek (10 hours)</v>
          </cell>
          <cell r="H581" t="str">
            <v>0d</v>
          </cell>
          <cell r="I581" t="str">
            <v>0d</v>
          </cell>
          <cell r="J581">
            <v>0</v>
          </cell>
          <cell r="K581" t="str">
            <v>As Late As Possible</v>
          </cell>
          <cell r="M581">
            <v>41334</v>
          </cell>
        </row>
        <row r="582">
          <cell r="C582" t="str">
            <v>8503-C02</v>
          </cell>
          <cell r="D582" t="str">
            <v>Mechanical Completion 8503-C02 85EL006 UPS Distr. Board</v>
          </cell>
          <cell r="E582" t="str">
            <v>T.L10</v>
          </cell>
          <cell r="G582" t="str">
            <v>7-Day Workweek (10 hours)</v>
          </cell>
          <cell r="H582" t="str">
            <v>0d</v>
          </cell>
          <cell r="I582" t="str">
            <v>0d</v>
          </cell>
          <cell r="J582">
            <v>0</v>
          </cell>
          <cell r="K582" t="str">
            <v>As Late As Possible</v>
          </cell>
          <cell r="M582">
            <v>41335</v>
          </cell>
        </row>
        <row r="583">
          <cell r="C583" t="str">
            <v>8503-C03</v>
          </cell>
          <cell r="D583" t="str">
            <v>Mechanical Completion 8503-C03 85EC100 UPS Helideck Control Panel, Lighting</v>
          </cell>
          <cell r="E583" t="str">
            <v>T.H10</v>
          </cell>
          <cell r="G583" t="str">
            <v>7-Day Workweek (10 hours)</v>
          </cell>
          <cell r="H583" t="str">
            <v>0d</v>
          </cell>
          <cell r="I583" t="str">
            <v>0d</v>
          </cell>
          <cell r="J583">
            <v>0</v>
          </cell>
          <cell r="K583" t="str">
            <v>As Late As Possible</v>
          </cell>
          <cell r="M583">
            <v>41338</v>
          </cell>
        </row>
        <row r="584">
          <cell r="C584" t="str">
            <v>8503-C04</v>
          </cell>
          <cell r="D584" t="str">
            <v>Mechanical Completion 8503-C04 Navigational Aids System</v>
          </cell>
          <cell r="E584" t="str">
            <v>T.L10</v>
          </cell>
          <cell r="G584" t="str">
            <v>7-Day Workweek (10 hours)</v>
          </cell>
          <cell r="H584" t="str">
            <v>0d</v>
          </cell>
          <cell r="I584" t="str">
            <v>0d</v>
          </cell>
          <cell r="J584">
            <v>0</v>
          </cell>
          <cell r="K584" t="str">
            <v>As Late As Possible</v>
          </cell>
          <cell r="M584">
            <v>41340</v>
          </cell>
        </row>
        <row r="585">
          <cell r="F585">
            <v>0</v>
          </cell>
          <cell r="G585" t="str">
            <v>7-Day Workweek (10 hours)</v>
          </cell>
          <cell r="H585" t="str">
            <v>260d</v>
          </cell>
          <cell r="I585" t="str">
            <v>260d</v>
          </cell>
          <cell r="J585">
            <v>0</v>
          </cell>
          <cell r="L585">
            <v>41321</v>
          </cell>
          <cell r="M585">
            <v>41529</v>
          </cell>
        </row>
        <row r="586">
          <cell r="C586" t="str">
            <v>8690-C01</v>
          </cell>
          <cell r="D586" t="str">
            <v>Mechanical Completion 8690-C01 Temporary telecom system</v>
          </cell>
          <cell r="E586" t="str">
            <v>T.L10</v>
          </cell>
          <cell r="G586" t="str">
            <v>7-Day Workweek (10 hours)</v>
          </cell>
          <cell r="H586" t="str">
            <v>0d</v>
          </cell>
          <cell r="I586" t="str">
            <v>0d</v>
          </cell>
          <cell r="J586">
            <v>0</v>
          </cell>
          <cell r="K586" t="str">
            <v>As Late As Possible</v>
          </cell>
          <cell r="M586">
            <v>41321</v>
          </cell>
        </row>
        <row r="587">
          <cell r="C587" t="str">
            <v>8682-C01</v>
          </cell>
          <cell r="D587" t="str">
            <v>Mechanical Completion 8682-C01 Telecom power supply 86RA004A Emergency PA rectifier</v>
          </cell>
          <cell r="E587" t="str">
            <v>T.L10.L17</v>
          </cell>
          <cell r="G587" t="str">
            <v>7-Day Workweek (10 hours)</v>
          </cell>
          <cell r="H587" t="str">
            <v>0d</v>
          </cell>
          <cell r="I587" t="str">
            <v>0d</v>
          </cell>
          <cell r="J587">
            <v>0</v>
          </cell>
          <cell r="K587" t="str">
            <v>As Late As Possible</v>
          </cell>
          <cell r="M587">
            <v>41373</v>
          </cell>
        </row>
        <row r="588">
          <cell r="C588" t="str">
            <v>8681-C01</v>
          </cell>
          <cell r="D588" t="str">
            <v>Mechanical Completion 8681-C01 Main distribution frame</v>
          </cell>
          <cell r="E588" t="str">
            <v>T.L10</v>
          </cell>
          <cell r="G588" t="str">
            <v>7-Day Workweek (10 hours)</v>
          </cell>
          <cell r="H588" t="str">
            <v>0d</v>
          </cell>
          <cell r="I588" t="str">
            <v>0d</v>
          </cell>
          <cell r="J588">
            <v>0</v>
          </cell>
          <cell r="K588" t="str">
            <v>As Late As Possible</v>
          </cell>
          <cell r="M588">
            <v>41373</v>
          </cell>
        </row>
        <row r="589">
          <cell r="C589" t="str">
            <v>8682-C02</v>
          </cell>
          <cell r="D589" t="str">
            <v>Mechanical Completion 8682-C02 Telecom power supply 86RA004B Emergency PA rectifier</v>
          </cell>
          <cell r="E589" t="str">
            <v>T.Q30</v>
          </cell>
          <cell r="G589" t="str">
            <v>7-Day Workweek (10 hours)</v>
          </cell>
          <cell r="H589" t="str">
            <v>0d</v>
          </cell>
          <cell r="I589" t="str">
            <v>0d</v>
          </cell>
          <cell r="J589">
            <v>0</v>
          </cell>
          <cell r="K589" t="str">
            <v>As Late As Possible</v>
          </cell>
          <cell r="M589">
            <v>41386</v>
          </cell>
        </row>
        <row r="590">
          <cell r="C590" t="str">
            <v>8611-C01</v>
          </cell>
          <cell r="D590" t="str">
            <v>Mechanical Completion 8611-C01 Public address and Alarm system A</v>
          </cell>
          <cell r="E590" t="str">
            <v>T.L10.L17</v>
          </cell>
          <cell r="G590" t="str">
            <v>7-Day Workweek (10 hours)</v>
          </cell>
          <cell r="H590" t="str">
            <v>0d</v>
          </cell>
          <cell r="I590" t="str">
            <v>0d</v>
          </cell>
          <cell r="J590">
            <v>0</v>
          </cell>
          <cell r="K590" t="str">
            <v>As Late As Possible</v>
          </cell>
          <cell r="M590">
            <v>41398</v>
          </cell>
        </row>
        <row r="591">
          <cell r="C591" t="str">
            <v>8623-C01</v>
          </cell>
          <cell r="D591" t="str">
            <v>Mechanical Completion 8623-C01 Office Data Network Equipment</v>
          </cell>
          <cell r="E591" t="str">
            <v>T.L10</v>
          </cell>
          <cell r="G591" t="str">
            <v>7-Day Workweek (10 hours)</v>
          </cell>
          <cell r="H591" t="str">
            <v>0d</v>
          </cell>
          <cell r="I591" t="str">
            <v>0d</v>
          </cell>
          <cell r="J591">
            <v>0</v>
          </cell>
          <cell r="K591" t="str">
            <v>As Late As Possible</v>
          </cell>
          <cell r="M591">
            <v>41398</v>
          </cell>
        </row>
        <row r="592">
          <cell r="C592" t="str">
            <v>8641-C01</v>
          </cell>
          <cell r="D592" t="str">
            <v>Mechanical Completion 8641-C01 General radio System</v>
          </cell>
          <cell r="E592" t="str">
            <v>T.L10</v>
          </cell>
          <cell r="G592" t="str">
            <v>7-Day Workweek (10 hours)</v>
          </cell>
          <cell r="H592" t="str">
            <v>0d</v>
          </cell>
          <cell r="I592" t="str">
            <v>0d</v>
          </cell>
          <cell r="J592">
            <v>0</v>
          </cell>
          <cell r="K592" t="str">
            <v>As Late As Possible</v>
          </cell>
          <cell r="M592">
            <v>41398</v>
          </cell>
        </row>
        <row r="593">
          <cell r="C593" t="str">
            <v>8621-C01</v>
          </cell>
          <cell r="D593" t="str">
            <v>Mechanical Completion 8621-C01 PABX and telephone system Hull</v>
          </cell>
          <cell r="E593" t="str">
            <v>H.G20</v>
          </cell>
          <cell r="G593" t="str">
            <v>7-Day Workweek (10 hours)</v>
          </cell>
          <cell r="H593" t="str">
            <v>0d</v>
          </cell>
          <cell r="I593" t="str">
            <v>0d</v>
          </cell>
          <cell r="J593">
            <v>0</v>
          </cell>
          <cell r="K593" t="str">
            <v>As Late As Possible</v>
          </cell>
          <cell r="M593">
            <v>41418</v>
          </cell>
        </row>
        <row r="594">
          <cell r="C594" t="str">
            <v>8622-C01</v>
          </cell>
          <cell r="D594" t="str">
            <v>Mechanical Completion 8622-C01 Multiplexer system</v>
          </cell>
          <cell r="E594" t="str">
            <v>T.L10</v>
          </cell>
          <cell r="G594" t="str">
            <v>7-Day Workweek (10 hours)</v>
          </cell>
          <cell r="H594" t="str">
            <v>0d</v>
          </cell>
          <cell r="I594" t="str">
            <v>0d</v>
          </cell>
          <cell r="J594">
            <v>0</v>
          </cell>
          <cell r="K594" t="str">
            <v>As Late As Possible</v>
          </cell>
          <cell r="M594">
            <v>41418</v>
          </cell>
        </row>
        <row r="595">
          <cell r="C595" t="str">
            <v>8650-C01</v>
          </cell>
          <cell r="D595" t="str">
            <v>Mechanical Completion 8650-C01 SAR and Oil Spill Detection System</v>
          </cell>
          <cell r="E595" t="str">
            <v>T.L10</v>
          </cell>
          <cell r="G595" t="str">
            <v>7-Day Workweek (10 hours)</v>
          </cell>
          <cell r="H595" t="str">
            <v>0d</v>
          </cell>
          <cell r="I595" t="str">
            <v>0d</v>
          </cell>
          <cell r="J595">
            <v>0</v>
          </cell>
          <cell r="K595" t="str">
            <v>As Late As Possible</v>
          </cell>
          <cell r="M595">
            <v>41418</v>
          </cell>
        </row>
        <row r="596">
          <cell r="C596" t="str">
            <v>8652-C01</v>
          </cell>
          <cell r="D596" t="str">
            <v>Mechanical Completion 8652-C01 Meteorological observation system</v>
          </cell>
          <cell r="E596" t="str">
            <v>T.L10</v>
          </cell>
          <cell r="G596" t="str">
            <v>7-Day Workweek (10 hours)</v>
          </cell>
          <cell r="H596" t="str">
            <v>0d</v>
          </cell>
          <cell r="I596" t="str">
            <v>0d</v>
          </cell>
          <cell r="J596">
            <v>0</v>
          </cell>
          <cell r="K596" t="str">
            <v>As Late As Possible</v>
          </cell>
          <cell r="M596">
            <v>41418</v>
          </cell>
        </row>
        <row r="597">
          <cell r="C597" t="str">
            <v>8653-C01</v>
          </cell>
          <cell r="D597" t="str">
            <v>Mechanical Completion 8653-C01 Marine radar system</v>
          </cell>
          <cell r="E597" t="str">
            <v>T.L10</v>
          </cell>
          <cell r="G597" t="str">
            <v>7-Day Workweek (10 hours)</v>
          </cell>
          <cell r="H597" t="str">
            <v>0d</v>
          </cell>
          <cell r="I597" t="str">
            <v>0d</v>
          </cell>
          <cell r="J597">
            <v>0</v>
          </cell>
          <cell r="K597" t="str">
            <v>As Late As Possible</v>
          </cell>
          <cell r="M597">
            <v>41418</v>
          </cell>
        </row>
        <row r="598">
          <cell r="C598" t="str">
            <v>8673-C01</v>
          </cell>
          <cell r="D598" t="str">
            <v>Mechanical Completion 8673-C01 Positioning System</v>
          </cell>
          <cell r="E598" t="str">
            <v>T.L10</v>
          </cell>
          <cell r="G598" t="str">
            <v>7-Day Workweek (10 hours)</v>
          </cell>
          <cell r="H598" t="str">
            <v>0d</v>
          </cell>
          <cell r="I598" t="str">
            <v>0d</v>
          </cell>
          <cell r="J598">
            <v>0</v>
          </cell>
          <cell r="K598" t="str">
            <v>As Late As Possible</v>
          </cell>
          <cell r="M598">
            <v>41418</v>
          </cell>
        </row>
        <row r="599">
          <cell r="C599" t="str">
            <v>8683-C01</v>
          </cell>
          <cell r="D599" t="str">
            <v>Mechanical Completion 8683-C01 Real Time Clock (RTC) System</v>
          </cell>
          <cell r="E599" t="str">
            <v>T.L10</v>
          </cell>
          <cell r="G599" t="str">
            <v>7-Day Workweek (10 hours)</v>
          </cell>
          <cell r="H599" t="str">
            <v>0d</v>
          </cell>
          <cell r="I599" t="str">
            <v>0d</v>
          </cell>
          <cell r="J599">
            <v>0</v>
          </cell>
          <cell r="K599" t="str">
            <v>As Late As Possible</v>
          </cell>
          <cell r="M599">
            <v>41418</v>
          </cell>
        </row>
        <row r="600">
          <cell r="C600" t="str">
            <v>8625-C01</v>
          </cell>
          <cell r="D600" t="str">
            <v>Mechanical Completion 8625-C01 Datacenter system</v>
          </cell>
          <cell r="E600" t="str">
            <v>T.L10</v>
          </cell>
          <cell r="G600" t="str">
            <v>7-Day Workweek (10 hours)</v>
          </cell>
          <cell r="H600" t="str">
            <v>0d</v>
          </cell>
          <cell r="I600" t="str">
            <v>0d</v>
          </cell>
          <cell r="J600">
            <v>0</v>
          </cell>
          <cell r="K600" t="str">
            <v>As Late As Possible</v>
          </cell>
          <cell r="M600">
            <v>41418</v>
          </cell>
        </row>
        <row r="601">
          <cell r="C601" t="str">
            <v>8631-C01</v>
          </cell>
          <cell r="D601" t="str">
            <v>Mechanical Completion 8631-C01 Radio link and Satellite link system</v>
          </cell>
          <cell r="E601" t="str">
            <v>T.L10</v>
          </cell>
          <cell r="G601" t="str">
            <v>7-Day Workweek (10 hours)</v>
          </cell>
          <cell r="H601" t="str">
            <v>0d</v>
          </cell>
          <cell r="I601" t="str">
            <v>0d</v>
          </cell>
          <cell r="J601">
            <v>0</v>
          </cell>
          <cell r="K601" t="str">
            <v>As Late As Possible</v>
          </cell>
          <cell r="M601">
            <v>41431</v>
          </cell>
        </row>
        <row r="602">
          <cell r="C602" t="str">
            <v>8626-C01</v>
          </cell>
          <cell r="D602" t="str">
            <v>Mechanical Completion 8626-C01 Collaboration Room system</v>
          </cell>
          <cell r="E602" t="str">
            <v>T.L10</v>
          </cell>
          <cell r="G602" t="str">
            <v>7-Day Workweek (10 hours)</v>
          </cell>
          <cell r="H602" t="str">
            <v>0d</v>
          </cell>
          <cell r="I602" t="str">
            <v>0d</v>
          </cell>
          <cell r="J602">
            <v>0</v>
          </cell>
          <cell r="K602" t="str">
            <v>As Late As Possible</v>
          </cell>
          <cell r="M602">
            <v>41431</v>
          </cell>
        </row>
        <row r="603">
          <cell r="C603" t="str">
            <v>8684-C01</v>
          </cell>
          <cell r="D603" t="str">
            <v>Mechanical Completion 8684-C01 Telecom Management System</v>
          </cell>
          <cell r="E603" t="str">
            <v>T.L10</v>
          </cell>
          <cell r="G603" t="str">
            <v>7-Day Workweek (10 hours)</v>
          </cell>
          <cell r="H603" t="str">
            <v>0d</v>
          </cell>
          <cell r="I603" t="str">
            <v>0d</v>
          </cell>
          <cell r="J603">
            <v>0</v>
          </cell>
          <cell r="K603" t="str">
            <v>As Late As Possible</v>
          </cell>
          <cell r="M603">
            <v>41446</v>
          </cell>
        </row>
        <row r="604">
          <cell r="C604" t="str">
            <v>8661-C01</v>
          </cell>
          <cell r="D604" t="str">
            <v>Mechanical Completion 8661-C01 Shuttle Tanker Telemetry</v>
          </cell>
          <cell r="E604" t="str">
            <v>T.L10</v>
          </cell>
          <cell r="G604" t="str">
            <v>7-Day Workweek (10 hours)</v>
          </cell>
          <cell r="H604" t="str">
            <v>0d</v>
          </cell>
          <cell r="I604" t="str">
            <v>0d</v>
          </cell>
          <cell r="J604">
            <v>0</v>
          </cell>
          <cell r="K604" t="str">
            <v>As Late As Possible</v>
          </cell>
          <cell r="M604">
            <v>41452</v>
          </cell>
        </row>
        <row r="605">
          <cell r="C605" t="str">
            <v>8611-C02</v>
          </cell>
          <cell r="D605" t="str">
            <v>Mechanical Completion 8611-C02 Public address and Alarm system B</v>
          </cell>
          <cell r="E605" t="str">
            <v>T.Q30</v>
          </cell>
          <cell r="G605" t="str">
            <v>7-Day Workweek (10 hours)</v>
          </cell>
          <cell r="H605" t="str">
            <v>0d</v>
          </cell>
          <cell r="I605" t="str">
            <v>0d</v>
          </cell>
          <cell r="J605">
            <v>0</v>
          </cell>
          <cell r="K605" t="str">
            <v>As Late As Possible</v>
          </cell>
          <cell r="M605">
            <v>41454</v>
          </cell>
        </row>
        <row r="606">
          <cell r="C606" t="str">
            <v>8611-C03</v>
          </cell>
          <cell r="D606" t="str">
            <v>Mechanical Completion 8611-C03 Hull PA/GA A system</v>
          </cell>
          <cell r="E606" t="str">
            <v>H.G20</v>
          </cell>
          <cell r="G606" t="str">
            <v>7-Day Workweek (10 hours)</v>
          </cell>
          <cell r="H606" t="str">
            <v>0d</v>
          </cell>
          <cell r="I606" t="str">
            <v>0d</v>
          </cell>
          <cell r="J606">
            <v>0</v>
          </cell>
          <cell r="K606" t="str">
            <v>As Late As Possible</v>
          </cell>
          <cell r="M606">
            <v>41454</v>
          </cell>
        </row>
        <row r="607">
          <cell r="C607" t="str">
            <v>8644-C01</v>
          </cell>
          <cell r="D607" t="str">
            <v>Mechanical Completion 8644-C01 Marine VHF and mobile telephone base stations</v>
          </cell>
          <cell r="E607" t="str">
            <v>T.L10</v>
          </cell>
          <cell r="G607" t="str">
            <v>7-Day Workweek (10 hours)</v>
          </cell>
          <cell r="H607" t="str">
            <v>0d</v>
          </cell>
          <cell r="I607" t="str">
            <v>0d</v>
          </cell>
          <cell r="J607">
            <v>0</v>
          </cell>
          <cell r="K607" t="str">
            <v>As Late As Possible</v>
          </cell>
          <cell r="M607">
            <v>41459</v>
          </cell>
        </row>
        <row r="608">
          <cell r="C608" t="str">
            <v>8643-C01</v>
          </cell>
          <cell r="D608" t="str">
            <v>Mechanical Completion 8643-C01 Audio and video entertainment system</v>
          </cell>
          <cell r="E608" t="str">
            <v>T.L10</v>
          </cell>
          <cell r="G608" t="str">
            <v>7-Day Workweek (10 hours)</v>
          </cell>
          <cell r="H608" t="str">
            <v>0d</v>
          </cell>
          <cell r="I608" t="str">
            <v>0d</v>
          </cell>
          <cell r="J608">
            <v>0</v>
          </cell>
          <cell r="K608" t="str">
            <v>As Late As Possible</v>
          </cell>
          <cell r="M608">
            <v>41461</v>
          </cell>
        </row>
        <row r="609">
          <cell r="C609" t="str">
            <v>8621-C02</v>
          </cell>
          <cell r="D609" t="str">
            <v>Mechanical Completion 8621-C02 PABX and telephone system LQ</v>
          </cell>
          <cell r="E609" t="str">
            <v>T.L10</v>
          </cell>
          <cell r="G609" t="str">
            <v>7-Day Workweek (10 hours)</v>
          </cell>
          <cell r="H609" t="str">
            <v>0d</v>
          </cell>
          <cell r="I609" t="str">
            <v>0d</v>
          </cell>
          <cell r="J609">
            <v>0</v>
          </cell>
          <cell r="K609" t="str">
            <v>As Late As Possible</v>
          </cell>
          <cell r="M609">
            <v>41461</v>
          </cell>
        </row>
        <row r="610">
          <cell r="C610" t="str">
            <v>8611-C05</v>
          </cell>
          <cell r="D610" t="str">
            <v>Mechanical Completion 8611-C05 LQ PA/GA A system</v>
          </cell>
          <cell r="E610" t="str">
            <v>T.L10</v>
          </cell>
          <cell r="G610" t="str">
            <v>7-Day Workweek (10 hours)</v>
          </cell>
          <cell r="H610" t="str">
            <v>0d</v>
          </cell>
          <cell r="I610" t="str">
            <v>0d</v>
          </cell>
          <cell r="J610">
            <v>0</v>
          </cell>
          <cell r="K610" t="str">
            <v>As Late As Possible</v>
          </cell>
          <cell r="M610">
            <v>41464</v>
          </cell>
        </row>
        <row r="611">
          <cell r="C611" t="str">
            <v>8642-C01</v>
          </cell>
          <cell r="D611" t="str">
            <v>Mechanical Completion 8642-C01 UHF internal radio and paging system</v>
          </cell>
          <cell r="E611" t="str">
            <v>T.L10</v>
          </cell>
          <cell r="G611" t="str">
            <v>7-Day Workweek (10 hours)</v>
          </cell>
          <cell r="H611" t="str">
            <v>0d</v>
          </cell>
          <cell r="I611" t="str">
            <v>0d</v>
          </cell>
          <cell r="J611">
            <v>0</v>
          </cell>
          <cell r="K611" t="str">
            <v>As Late As Possible</v>
          </cell>
          <cell r="M611">
            <v>41468</v>
          </cell>
        </row>
        <row r="612">
          <cell r="C612" t="str">
            <v>8642-C02</v>
          </cell>
          <cell r="D612" t="str">
            <v>Mechanical Completion 8642-C02 External Antenna</v>
          </cell>
          <cell r="E612" t="str">
            <v>T.L10</v>
          </cell>
          <cell r="G612" t="str">
            <v>7-Day Workweek (10 hours)</v>
          </cell>
          <cell r="H612" t="str">
            <v>0d</v>
          </cell>
          <cell r="I612" t="str">
            <v>0d</v>
          </cell>
          <cell r="J612">
            <v>0</v>
          </cell>
          <cell r="K612" t="str">
            <v>As Late As Possible</v>
          </cell>
          <cell r="M612">
            <v>41468</v>
          </cell>
        </row>
        <row r="613">
          <cell r="C613" t="str">
            <v>8611-C07</v>
          </cell>
          <cell r="D613" t="str">
            <v>Mechanical Completion 8611-C07 Topside PA/GA A system</v>
          </cell>
          <cell r="E613" t="str">
            <v>T.P10</v>
          </cell>
          <cell r="G613" t="str">
            <v>7-Day Workweek (10 hours)</v>
          </cell>
          <cell r="H613" t="str">
            <v>0d</v>
          </cell>
          <cell r="I613" t="str">
            <v>0d</v>
          </cell>
          <cell r="J613">
            <v>0</v>
          </cell>
          <cell r="K613" t="str">
            <v>As Late As Possible</v>
          </cell>
          <cell r="M613">
            <v>41473</v>
          </cell>
        </row>
        <row r="614">
          <cell r="C614" t="str">
            <v>8600-C01</v>
          </cell>
          <cell r="D614" t="str">
            <v>Mechanical Completion 8600-C01 General</v>
          </cell>
          <cell r="E614" t="str">
            <v>T.L10.L17</v>
          </cell>
          <cell r="G614" t="str">
            <v>7-Day Workweek (10 hours)</v>
          </cell>
          <cell r="H614" t="str">
            <v>0d</v>
          </cell>
          <cell r="I614" t="str">
            <v>0d</v>
          </cell>
          <cell r="J614">
            <v>0</v>
          </cell>
          <cell r="K614" t="str">
            <v>As Late As Possible</v>
          </cell>
          <cell r="M614">
            <v>41475</v>
          </cell>
        </row>
        <row r="615">
          <cell r="C615" t="str">
            <v>8645-C01</v>
          </cell>
          <cell r="D615" t="str">
            <v>Mechanical Completion 8645-C01 Personnel registration and tracking system (RFID)</v>
          </cell>
          <cell r="E615" t="str">
            <v>T.L10</v>
          </cell>
          <cell r="G615" t="str">
            <v>7-Day Workweek (10 hours)</v>
          </cell>
          <cell r="H615" t="str">
            <v>0d</v>
          </cell>
          <cell r="I615" t="str">
            <v>0d</v>
          </cell>
          <cell r="J615">
            <v>0</v>
          </cell>
          <cell r="K615" t="str">
            <v>As Late As Possible</v>
          </cell>
          <cell r="M615">
            <v>41475</v>
          </cell>
        </row>
        <row r="616">
          <cell r="C616" t="str">
            <v>8651-C01</v>
          </cell>
          <cell r="D616" t="str">
            <v>Mechanical Completion 8651-C01 Closed circuit television system (CCTV) Hull</v>
          </cell>
          <cell r="E616" t="str">
            <v>H.G20.G21</v>
          </cell>
          <cell r="G616" t="str">
            <v>7-Day Workweek (10 hours)</v>
          </cell>
          <cell r="H616" t="str">
            <v>0d</v>
          </cell>
          <cell r="I616" t="str">
            <v>0d</v>
          </cell>
          <cell r="J616">
            <v>0</v>
          </cell>
          <cell r="K616" t="str">
            <v>As Late As Possible</v>
          </cell>
          <cell r="M616">
            <v>41475</v>
          </cell>
        </row>
        <row r="617">
          <cell r="C617" t="str">
            <v>8621-C03</v>
          </cell>
          <cell r="D617" t="str">
            <v>Mechanical Completion 8621-C03 PABX and telephone system Topside</v>
          </cell>
          <cell r="E617" t="str">
            <v>T.P10</v>
          </cell>
          <cell r="G617" t="str">
            <v>7-Day Workweek (10 hours)</v>
          </cell>
          <cell r="H617" t="str">
            <v>0d</v>
          </cell>
          <cell r="I617" t="str">
            <v>0d</v>
          </cell>
          <cell r="J617">
            <v>0</v>
          </cell>
          <cell r="K617" t="str">
            <v>As Late As Possible</v>
          </cell>
          <cell r="M617">
            <v>41475</v>
          </cell>
        </row>
        <row r="618">
          <cell r="C618" t="str">
            <v>8624-C01</v>
          </cell>
          <cell r="D618" t="str">
            <v>Mechanical Completion 8624-C01 Office data and telephone cabling network Hull</v>
          </cell>
          <cell r="E618" t="str">
            <v>H.G20</v>
          </cell>
          <cell r="G618" t="str">
            <v>7-Day Workweek (10 hours)</v>
          </cell>
          <cell r="H618" t="str">
            <v>0d</v>
          </cell>
          <cell r="I618" t="str">
            <v>0d</v>
          </cell>
          <cell r="J618">
            <v>0</v>
          </cell>
          <cell r="K618" t="str">
            <v>As Late As Possible</v>
          </cell>
          <cell r="M618">
            <v>41477</v>
          </cell>
        </row>
        <row r="619">
          <cell r="C619" t="str">
            <v>8636-C01</v>
          </cell>
          <cell r="D619" t="str">
            <v>Mechanical Completion 8636-C01 WiFi System</v>
          </cell>
          <cell r="E619" t="str">
            <v>T.L10</v>
          </cell>
          <cell r="G619" t="str">
            <v>7-Day Workweek (10 hours)</v>
          </cell>
          <cell r="H619" t="str">
            <v>0d</v>
          </cell>
          <cell r="I619" t="str">
            <v>0d</v>
          </cell>
          <cell r="J619">
            <v>0</v>
          </cell>
          <cell r="K619" t="str">
            <v>As Late As Possible</v>
          </cell>
          <cell r="M619">
            <v>41485</v>
          </cell>
        </row>
        <row r="620">
          <cell r="C620" t="str">
            <v>8639-C01</v>
          </cell>
          <cell r="D620" t="str">
            <v>Mechanical Completion 8639-C01 Fibre optical link system</v>
          </cell>
          <cell r="E620" t="str">
            <v>T.L10</v>
          </cell>
          <cell r="G620" t="str">
            <v>7-Day Workweek (10 hours)</v>
          </cell>
          <cell r="H620" t="str">
            <v>0d</v>
          </cell>
          <cell r="I620" t="str">
            <v>0d</v>
          </cell>
          <cell r="J620">
            <v>0</v>
          </cell>
          <cell r="K620" t="str">
            <v>As Late As Possible</v>
          </cell>
          <cell r="M620">
            <v>41488</v>
          </cell>
        </row>
        <row r="621">
          <cell r="C621" t="str">
            <v>8651-C02</v>
          </cell>
          <cell r="D621" t="str">
            <v>Mechanical Completion 8651-C01 Closed circuit television system (CCTV) LQ</v>
          </cell>
          <cell r="E621" t="str">
            <v>T.L10</v>
          </cell>
          <cell r="G621" t="str">
            <v>7-Day Workweek (10 hours)</v>
          </cell>
          <cell r="H621" t="str">
            <v>0d</v>
          </cell>
          <cell r="I621" t="str">
            <v>0d</v>
          </cell>
          <cell r="J621">
            <v>0</v>
          </cell>
          <cell r="K621" t="str">
            <v>As Late As Possible</v>
          </cell>
          <cell r="M621">
            <v>41488</v>
          </cell>
        </row>
        <row r="622">
          <cell r="C622" t="str">
            <v>8624-C02</v>
          </cell>
          <cell r="D622" t="str">
            <v>Mechanical Completion 8624-C02 Office data and telephone cabling network LQ</v>
          </cell>
          <cell r="E622" t="str">
            <v>T.L10</v>
          </cell>
          <cell r="G622" t="str">
            <v>7-Day Workweek (10 hours)</v>
          </cell>
          <cell r="H622" t="str">
            <v>0d</v>
          </cell>
          <cell r="I622" t="str">
            <v>0d</v>
          </cell>
          <cell r="J622">
            <v>0</v>
          </cell>
          <cell r="K622" t="str">
            <v>As Late As Possible</v>
          </cell>
          <cell r="M622">
            <v>41491</v>
          </cell>
        </row>
        <row r="623">
          <cell r="C623" t="str">
            <v>8642-C03</v>
          </cell>
          <cell r="D623" t="str">
            <v>Mechanical Completion 8642-C03 Leak Feeder Hull</v>
          </cell>
          <cell r="E623" t="str">
            <v>H.G20</v>
          </cell>
          <cell r="G623" t="str">
            <v>7-Day Workweek (10 hours)</v>
          </cell>
          <cell r="H623" t="str">
            <v>0d</v>
          </cell>
          <cell r="I623" t="str">
            <v>0d</v>
          </cell>
          <cell r="J623">
            <v>0</v>
          </cell>
          <cell r="K623" t="str">
            <v>As Late As Possible</v>
          </cell>
          <cell r="M623">
            <v>41494</v>
          </cell>
        </row>
        <row r="624">
          <cell r="C624" t="str">
            <v>8642-C04</v>
          </cell>
          <cell r="D624" t="str">
            <v>Mechanical Completion 8642-C04 Leak Feeder LQ</v>
          </cell>
          <cell r="E624" t="str">
            <v>H.G20</v>
          </cell>
          <cell r="G624" t="str">
            <v>7-Day Workweek (10 hours)</v>
          </cell>
          <cell r="H624" t="str">
            <v>0d</v>
          </cell>
          <cell r="I624" t="str">
            <v>0d</v>
          </cell>
          <cell r="J624">
            <v>0</v>
          </cell>
          <cell r="K624" t="str">
            <v>As Late As Possible</v>
          </cell>
          <cell r="M624">
            <v>41500</v>
          </cell>
        </row>
        <row r="625">
          <cell r="C625" t="str">
            <v>8651-C03</v>
          </cell>
          <cell r="D625" t="str">
            <v>Mechanical Completion 8651-C01 Closed circuit television system (CCTV) Topside</v>
          </cell>
          <cell r="E625" t="str">
            <v>T.P10</v>
          </cell>
          <cell r="G625" t="str">
            <v>7-Day Workweek (10 hours)</v>
          </cell>
          <cell r="H625" t="str">
            <v>0d</v>
          </cell>
          <cell r="I625" t="str">
            <v>0d</v>
          </cell>
          <cell r="J625">
            <v>0</v>
          </cell>
          <cell r="K625" t="str">
            <v>As Late As Possible</v>
          </cell>
          <cell r="M625">
            <v>41501</v>
          </cell>
        </row>
        <row r="626">
          <cell r="C626" t="str">
            <v>8624-C03</v>
          </cell>
          <cell r="D626" t="str">
            <v>Mechanical Completion 8624-C03 Office data and telephone cabling network Topside</v>
          </cell>
          <cell r="E626" t="str">
            <v>T.P10</v>
          </cell>
          <cell r="G626" t="str">
            <v>7-Day Workweek (10 hours)</v>
          </cell>
          <cell r="H626" t="str">
            <v>0d</v>
          </cell>
          <cell r="I626" t="str">
            <v>0d</v>
          </cell>
          <cell r="J626">
            <v>0</v>
          </cell>
          <cell r="K626" t="str">
            <v>As Late As Possible</v>
          </cell>
          <cell r="M626">
            <v>41503</v>
          </cell>
        </row>
        <row r="627">
          <cell r="C627" t="str">
            <v>8642-C05</v>
          </cell>
          <cell r="D627" t="str">
            <v>Mechanical Completion 8642-C05 Leak Feeder Topside</v>
          </cell>
          <cell r="E627" t="str">
            <v>T.P10</v>
          </cell>
          <cell r="G627" t="str">
            <v>7-Day Workweek (10 hours)</v>
          </cell>
          <cell r="H627" t="str">
            <v>0d</v>
          </cell>
          <cell r="I627" t="str">
            <v>0d</v>
          </cell>
          <cell r="J627">
            <v>0</v>
          </cell>
          <cell r="K627" t="str">
            <v>As Late As Possible</v>
          </cell>
          <cell r="M627">
            <v>41507</v>
          </cell>
        </row>
        <row r="628">
          <cell r="C628" t="str">
            <v>8611-C04</v>
          </cell>
          <cell r="D628" t="str">
            <v>Mechanical Completion 8611-C04 Hull PA/GA B system</v>
          </cell>
          <cell r="E628" t="str">
            <v>H.G20</v>
          </cell>
          <cell r="G628" t="str">
            <v>7-Day Workweek (10 hours)</v>
          </cell>
          <cell r="H628" t="str">
            <v>0d</v>
          </cell>
          <cell r="I628" t="str">
            <v>0d</v>
          </cell>
          <cell r="J628">
            <v>0</v>
          </cell>
          <cell r="K628" t="str">
            <v>As Late As Possible</v>
          </cell>
          <cell r="M628">
            <v>41510</v>
          </cell>
        </row>
        <row r="629">
          <cell r="C629" t="str">
            <v>8611-C06</v>
          </cell>
          <cell r="D629" t="str">
            <v>Mechanical Completion 8611-C06 LQ PA/GA B system</v>
          </cell>
          <cell r="E629" t="str">
            <v>T.L10</v>
          </cell>
          <cell r="G629" t="str">
            <v>7-Day Workweek (10 hours)</v>
          </cell>
          <cell r="H629" t="str">
            <v>0d</v>
          </cell>
          <cell r="I629" t="str">
            <v>0d</v>
          </cell>
          <cell r="J629">
            <v>0</v>
          </cell>
          <cell r="K629" t="str">
            <v>As Late As Possible</v>
          </cell>
          <cell r="M629">
            <v>41520</v>
          </cell>
        </row>
        <row r="630">
          <cell r="C630" t="str">
            <v>8611-C08</v>
          </cell>
          <cell r="D630" t="str">
            <v>Mechanical Completion 8611-C08 Topside PA/GA B system</v>
          </cell>
          <cell r="E630" t="str">
            <v>T.P10</v>
          </cell>
          <cell r="G630" t="str">
            <v>7-Day Workweek (10 hours)</v>
          </cell>
          <cell r="H630" t="str">
            <v>0d</v>
          </cell>
          <cell r="I630" t="str">
            <v>0d</v>
          </cell>
          <cell r="J630">
            <v>0</v>
          </cell>
          <cell r="K630" t="str">
            <v>As Late As Possible</v>
          </cell>
          <cell r="M630">
            <v>41529</v>
          </cell>
        </row>
        <row r="631">
          <cell r="F631">
            <v>0</v>
          </cell>
          <cell r="G631" t="str">
            <v>7-Day Workweek (10 hours)</v>
          </cell>
          <cell r="H631" t="str">
            <v>153d</v>
          </cell>
          <cell r="I631" t="str">
            <v>153d</v>
          </cell>
          <cell r="J631">
            <v>0</v>
          </cell>
          <cell r="L631">
            <v>41321</v>
          </cell>
          <cell r="M631">
            <v>41443</v>
          </cell>
        </row>
        <row r="632">
          <cell r="C632" t="str">
            <v>8701-C01</v>
          </cell>
          <cell r="D632" t="str">
            <v>Mechanical Completion  8701-C01 Panel 87JC141 - LAN/Switch/FOC  A-network (LER)</v>
          </cell>
          <cell r="E632" t="str">
            <v>T.Q30</v>
          </cell>
          <cell r="G632" t="str">
            <v>7-Day Workweek (10 hours)</v>
          </cell>
          <cell r="H632" t="str">
            <v>0d</v>
          </cell>
          <cell r="I632" t="str">
            <v>0d</v>
          </cell>
          <cell r="J632">
            <v>0</v>
          </cell>
          <cell r="K632" t="str">
            <v>As Late As Possible</v>
          </cell>
          <cell r="M632">
            <v>41321</v>
          </cell>
        </row>
        <row r="633">
          <cell r="C633" t="str">
            <v>8701-C02</v>
          </cell>
          <cell r="D633" t="str">
            <v>Mechanical Completion  8701-C02 Panel 87JC142 - LAN/Switch/FOC  B-network (LER)</v>
          </cell>
          <cell r="E633" t="str">
            <v>T.Q30</v>
          </cell>
          <cell r="G633" t="str">
            <v>7-Day Workweek (10 hours)</v>
          </cell>
          <cell r="H633" t="str">
            <v>0d</v>
          </cell>
          <cell r="I633" t="str">
            <v>0d</v>
          </cell>
          <cell r="J633">
            <v>0</v>
          </cell>
          <cell r="K633" t="str">
            <v>As Late As Possible</v>
          </cell>
          <cell r="M633">
            <v>41321</v>
          </cell>
        </row>
        <row r="634">
          <cell r="C634" t="str">
            <v>8701-C05</v>
          </cell>
          <cell r="D634" t="str">
            <v>Mechanical Completion  8701-C05 Panel 87JC143 - SAS servers (LER)</v>
          </cell>
          <cell r="E634" t="str">
            <v>T.Q30</v>
          </cell>
          <cell r="G634" t="str">
            <v>7-Day Workweek (10 hours)</v>
          </cell>
          <cell r="H634" t="str">
            <v>0d</v>
          </cell>
          <cell r="I634" t="str">
            <v>0d</v>
          </cell>
          <cell r="J634">
            <v>0</v>
          </cell>
          <cell r="K634" t="str">
            <v>As Late As Possible</v>
          </cell>
          <cell r="M634">
            <v>41321</v>
          </cell>
        </row>
        <row r="635">
          <cell r="C635" t="str">
            <v>8704-C02</v>
          </cell>
          <cell r="D635" t="str">
            <v>Mechanical Completion  8704-C02 Operation Equipment (LER)</v>
          </cell>
          <cell r="E635" t="str">
            <v>T.Q30</v>
          </cell>
          <cell r="G635" t="str">
            <v>7-Day Workweek (10 hours)</v>
          </cell>
          <cell r="H635" t="str">
            <v>0d</v>
          </cell>
          <cell r="I635" t="str">
            <v>0d</v>
          </cell>
          <cell r="J635">
            <v>0</v>
          </cell>
          <cell r="K635" t="str">
            <v>As Late As Possible</v>
          </cell>
          <cell r="M635">
            <v>41321</v>
          </cell>
        </row>
        <row r="636">
          <cell r="C636" t="str">
            <v>8701-C18</v>
          </cell>
          <cell r="D636" t="str">
            <v>Mechanical Completion  8701-C18 Panel 87JC012 - Node C12 - 63 Air Compressors and Dryers (PCS) (LER)</v>
          </cell>
          <cell r="E636" t="str">
            <v>T.Q30</v>
          </cell>
          <cell r="G636" t="str">
            <v>7-Day Workweek (10 hours)</v>
          </cell>
          <cell r="H636" t="str">
            <v>0d</v>
          </cell>
          <cell r="I636" t="str">
            <v>0d</v>
          </cell>
          <cell r="J636">
            <v>0</v>
          </cell>
          <cell r="K636" t="str">
            <v>As Late As Possible</v>
          </cell>
          <cell r="M636">
            <v>41325</v>
          </cell>
        </row>
        <row r="637">
          <cell r="C637" t="str">
            <v>8701-C21</v>
          </cell>
          <cell r="D637" t="str">
            <v>Mechanical Completion  8701-C21 Panel 87JC016 - Node C16 - 39 Bunkering - 65 Main HPU (PCS) (LER)</v>
          </cell>
          <cell r="E637" t="str">
            <v>T.Q30</v>
          </cell>
          <cell r="G637" t="str">
            <v>7-Day Workweek (10 hours)</v>
          </cell>
          <cell r="H637" t="str">
            <v>0d</v>
          </cell>
          <cell r="I637" t="str">
            <v>0d</v>
          </cell>
          <cell r="J637">
            <v>0</v>
          </cell>
          <cell r="K637" t="str">
            <v>As Late As Possible</v>
          </cell>
          <cell r="M637">
            <v>41325</v>
          </cell>
        </row>
        <row r="638">
          <cell r="C638" t="str">
            <v>8704-C03</v>
          </cell>
          <cell r="D638" t="str">
            <v>Mechanical Completion  8704-C03 Operation Equipment (Instr. Workshop &amp; Sw. Board Room)</v>
          </cell>
          <cell r="E638" t="str">
            <v>T.Q30</v>
          </cell>
          <cell r="G638" t="str">
            <v>7-Day Workweek (10 hours)</v>
          </cell>
          <cell r="H638" t="str">
            <v>0d</v>
          </cell>
          <cell r="I638" t="str">
            <v>0d</v>
          </cell>
          <cell r="J638">
            <v>0</v>
          </cell>
          <cell r="K638" t="str">
            <v>As Late As Possible</v>
          </cell>
          <cell r="M638">
            <v>41325</v>
          </cell>
        </row>
        <row r="639">
          <cell r="C639" t="str">
            <v>8701-C19</v>
          </cell>
          <cell r="D639" t="str">
            <v>Mechanical Completion  8701-C19 Panel 87JC013 - Node C13 - 43 Vapour recovery - 43 Flare ibnition - 44 Sand cleaning (PC</v>
          </cell>
          <cell r="E639" t="str">
            <v>T.Q30</v>
          </cell>
          <cell r="G639" t="str">
            <v>7-Day Workweek (10 hours)</v>
          </cell>
          <cell r="H639" t="str">
            <v>0d</v>
          </cell>
          <cell r="I639" t="str">
            <v>0d</v>
          </cell>
          <cell r="J639">
            <v>0</v>
          </cell>
          <cell r="K639" t="str">
            <v>As Late As Possible</v>
          </cell>
          <cell r="M639">
            <v>41326</v>
          </cell>
        </row>
        <row r="640">
          <cell r="C640" t="str">
            <v>8701-C22</v>
          </cell>
          <cell r="D640" t="str">
            <v>Mechanical Completion 8701-C22 HVAC Panel 77JC24 Node C17 (LER)</v>
          </cell>
          <cell r="E640" t="str">
            <v>T.Q30</v>
          </cell>
          <cell r="G640" t="str">
            <v>7-Day Workweek (10 hours)</v>
          </cell>
          <cell r="H640" t="str">
            <v>0d</v>
          </cell>
          <cell r="I640" t="str">
            <v>0d</v>
          </cell>
          <cell r="J640">
            <v>0</v>
          </cell>
          <cell r="K640" t="str">
            <v>As Late As Possible</v>
          </cell>
          <cell r="M640">
            <v>41327</v>
          </cell>
        </row>
        <row r="641">
          <cell r="C641" t="str">
            <v>8701-C10</v>
          </cell>
          <cell r="D641" t="str">
            <v>Mechanical Completion  8701-C10 Panel 87JC004 - Node C04 - 40 Cooling medium - 41 heating medium - 45 Fuel gas (PCS) (LE</v>
          </cell>
          <cell r="E641" t="str">
            <v>T.Q30</v>
          </cell>
          <cell r="G641" t="str">
            <v>7-Day Workweek (10 hours)</v>
          </cell>
          <cell r="H641" t="str">
            <v>0d</v>
          </cell>
          <cell r="I641" t="str">
            <v>0d</v>
          </cell>
          <cell r="J641">
            <v>0</v>
          </cell>
          <cell r="K641" t="str">
            <v>As Late As Possible</v>
          </cell>
          <cell r="M641">
            <v>41327</v>
          </cell>
        </row>
        <row r="642">
          <cell r="C642" t="str">
            <v>8701-C12</v>
          </cell>
          <cell r="D642" t="str">
            <v>Mechanical Completion  8701-C12 Panel 87JC006 - Node C06 - 50 Sea water - 71 Fire water (PCS) (LER)</v>
          </cell>
          <cell r="E642" t="str">
            <v>T.Q30</v>
          </cell>
          <cell r="G642" t="str">
            <v>7-Day Workweek (10 hours)</v>
          </cell>
          <cell r="H642" t="str">
            <v>0d</v>
          </cell>
          <cell r="I642" t="str">
            <v>0d</v>
          </cell>
          <cell r="J642">
            <v>0</v>
          </cell>
          <cell r="K642" t="str">
            <v>As Late As Possible</v>
          </cell>
          <cell r="M642">
            <v>41327</v>
          </cell>
        </row>
        <row r="643">
          <cell r="C643" t="str">
            <v>8701-C14</v>
          </cell>
          <cell r="D643" t="str">
            <v>Mechanical Completion  8701-C14 Panel 87JC008 - Node C08 - 47 Chlorination 53 Fresh water 54 Hot water (PCS) (LER)</v>
          </cell>
          <cell r="E643" t="str">
            <v>T.Q30</v>
          </cell>
          <cell r="G643" t="str">
            <v>7-Day Workweek (10 hours)</v>
          </cell>
          <cell r="H643" t="str">
            <v>0d</v>
          </cell>
          <cell r="I643" t="str">
            <v>0d</v>
          </cell>
          <cell r="J643">
            <v>0</v>
          </cell>
          <cell r="K643" t="str">
            <v>As Late As Possible</v>
          </cell>
          <cell r="M643">
            <v>41331</v>
          </cell>
        </row>
        <row r="644">
          <cell r="C644" t="str">
            <v>8701-C23</v>
          </cell>
          <cell r="D644" t="str">
            <v>Mechanical Completion 8701-C23 HVAC Panel 77JC25 Node C18 (LER)</v>
          </cell>
          <cell r="E644" t="str">
            <v>T.Q30</v>
          </cell>
          <cell r="G644" t="str">
            <v>7-Day Workweek (10 hours)</v>
          </cell>
          <cell r="H644" t="str">
            <v>0d</v>
          </cell>
          <cell r="I644" t="str">
            <v>0d</v>
          </cell>
          <cell r="J644">
            <v>0</v>
          </cell>
          <cell r="K644" t="str">
            <v>As Late As Possible</v>
          </cell>
          <cell r="M644">
            <v>41333</v>
          </cell>
        </row>
        <row r="645">
          <cell r="C645" t="str">
            <v>8701-C26</v>
          </cell>
          <cell r="D645" t="str">
            <v>Mechanical Completion  8701-C26 Panel 87JC023 - Node C23 - 53 Fresh water UV sterilizer, Chlorination and Alkaline (PCS)</v>
          </cell>
          <cell r="E645" t="str">
            <v>T.Q30</v>
          </cell>
          <cell r="G645" t="str">
            <v>7-Day Workweek (10 hours)</v>
          </cell>
          <cell r="H645" t="str">
            <v>0d</v>
          </cell>
          <cell r="I645" t="str">
            <v>0d</v>
          </cell>
          <cell r="J645">
            <v>0</v>
          </cell>
          <cell r="K645" t="str">
            <v>As Late As Possible</v>
          </cell>
          <cell r="M645">
            <v>41333</v>
          </cell>
        </row>
        <row r="646">
          <cell r="C646" t="str">
            <v>8701-C25</v>
          </cell>
          <cell r="D646" t="str">
            <v>Mechanical Completion  8701-C25 Panel 87JC020 - Node C20 - 64 Nitrogen Generator and Inert gas (PCS) (LER)</v>
          </cell>
          <cell r="E646" t="str">
            <v>T.Q30</v>
          </cell>
          <cell r="G646" t="str">
            <v>7-Day Workweek (10 hours)</v>
          </cell>
          <cell r="H646" t="str">
            <v>0d</v>
          </cell>
          <cell r="I646" t="str">
            <v>0d</v>
          </cell>
          <cell r="J646">
            <v>0</v>
          </cell>
          <cell r="K646" t="str">
            <v>As Late As Possible</v>
          </cell>
          <cell r="M646">
            <v>41335</v>
          </cell>
        </row>
        <row r="647">
          <cell r="C647" t="str">
            <v>8701-C15</v>
          </cell>
          <cell r="D647" t="str">
            <v>Mechanical Completion  8701-C15 Panel 87JC009 - Node C09 - 56 Open drain - 57 Closed drain (PCS) (LER)</v>
          </cell>
          <cell r="E647" t="str">
            <v>T.Q30</v>
          </cell>
          <cell r="G647" t="str">
            <v>7-Day Workweek (10 hours)</v>
          </cell>
          <cell r="H647" t="str">
            <v>0d</v>
          </cell>
          <cell r="I647" t="str">
            <v>0d</v>
          </cell>
          <cell r="J647">
            <v>0</v>
          </cell>
          <cell r="K647" t="str">
            <v>As Late As Possible</v>
          </cell>
          <cell r="M647">
            <v>41339</v>
          </cell>
        </row>
        <row r="648">
          <cell r="C648" t="str">
            <v>8701-C13</v>
          </cell>
          <cell r="D648" t="str">
            <v>Mechanical Completion  8701-C13 Panel 87JC007 - Node C07 - 52 ballast water (PCS) (LER)</v>
          </cell>
          <cell r="E648" t="str">
            <v>T.Q30</v>
          </cell>
          <cell r="G648" t="str">
            <v>7-Day Workweek (10 hours)</v>
          </cell>
          <cell r="H648" t="str">
            <v>0d</v>
          </cell>
          <cell r="I648" t="str">
            <v>0d</v>
          </cell>
          <cell r="J648">
            <v>0</v>
          </cell>
          <cell r="K648" t="str">
            <v>As Late As Possible</v>
          </cell>
          <cell r="M648">
            <v>41341</v>
          </cell>
        </row>
        <row r="649">
          <cell r="C649" t="str">
            <v>8701-C17</v>
          </cell>
          <cell r="D649" t="str">
            <v>Mechanical Completion  8701-C17 Panel 87JC011 - Node C11 - 62 Diesel oil (PCS) (LER)</v>
          </cell>
          <cell r="E649" t="str">
            <v>T.Q30</v>
          </cell>
          <cell r="G649" t="str">
            <v>7-Day Workweek (10 hours)</v>
          </cell>
          <cell r="H649" t="str">
            <v>0d</v>
          </cell>
          <cell r="I649" t="str">
            <v>0d</v>
          </cell>
          <cell r="J649">
            <v>0</v>
          </cell>
          <cell r="K649" t="str">
            <v>As Late As Possible</v>
          </cell>
          <cell r="M649">
            <v>41345</v>
          </cell>
        </row>
        <row r="650">
          <cell r="C650" t="str">
            <v>8701-C20</v>
          </cell>
          <cell r="D650" t="str">
            <v>Mechanical Completion  8701-C20 Panel 87JC015 - Node C15 - 33 Offloading (PCS) (LER)</v>
          </cell>
          <cell r="E650" t="str">
            <v>T.Q30</v>
          </cell>
          <cell r="G650" t="str">
            <v>7-Day Workweek (10 hours)</v>
          </cell>
          <cell r="H650" t="str">
            <v>0d</v>
          </cell>
          <cell r="I650" t="str">
            <v>0d</v>
          </cell>
          <cell r="J650">
            <v>0</v>
          </cell>
          <cell r="K650" t="str">
            <v>As Late As Possible</v>
          </cell>
          <cell r="M650">
            <v>41345</v>
          </cell>
        </row>
        <row r="651">
          <cell r="C651" t="str">
            <v>8702-C01</v>
          </cell>
          <cell r="D651" t="str">
            <v>Mechanical Completion  8702-C01 Panel 87JC050/51 - Node P30 (PSD) (LER)</v>
          </cell>
          <cell r="E651" t="str">
            <v>T.Q30</v>
          </cell>
          <cell r="G651" t="str">
            <v>7-Day Workweek (10 hours)</v>
          </cell>
          <cell r="H651" t="str">
            <v>0d</v>
          </cell>
          <cell r="I651" t="str">
            <v>0d</v>
          </cell>
          <cell r="J651">
            <v>0</v>
          </cell>
          <cell r="K651" t="str">
            <v>As Late As Possible</v>
          </cell>
          <cell r="M651">
            <v>41347</v>
          </cell>
        </row>
        <row r="652">
          <cell r="C652" t="str">
            <v>8701-C36</v>
          </cell>
          <cell r="D652" t="str">
            <v>Mechanical Completion  8701-C36 PCS Junction Boxes and Multicore cables Hull</v>
          </cell>
          <cell r="E652" t="str">
            <v>H.G20</v>
          </cell>
          <cell r="G652" t="str">
            <v>7-Day Workweek (10 hours)</v>
          </cell>
          <cell r="H652" t="str">
            <v>0d</v>
          </cell>
          <cell r="I652" t="str">
            <v>0d</v>
          </cell>
          <cell r="J652">
            <v>0</v>
          </cell>
          <cell r="K652" t="str">
            <v>As Late As Possible</v>
          </cell>
          <cell r="M652">
            <v>41347</v>
          </cell>
        </row>
        <row r="653">
          <cell r="C653" t="str">
            <v>8701-C37</v>
          </cell>
          <cell r="D653" t="str">
            <v>Mechanical Completion  8701-C37 PCS Junction Boxes and Multicore cables Topside</v>
          </cell>
          <cell r="E653" t="str">
            <v>T.P10</v>
          </cell>
          <cell r="G653" t="str">
            <v>7-Day Workweek (10 hours)</v>
          </cell>
          <cell r="H653" t="str">
            <v>0d</v>
          </cell>
          <cell r="I653" t="str">
            <v>0d</v>
          </cell>
          <cell r="J653">
            <v>0</v>
          </cell>
          <cell r="K653" t="str">
            <v>As Late As Possible</v>
          </cell>
          <cell r="M653">
            <v>41347</v>
          </cell>
        </row>
        <row r="654">
          <cell r="C654" t="str">
            <v>8701-C38</v>
          </cell>
          <cell r="D654" t="str">
            <v>Mechanical Completion  8701-C38 PCS Junction Boxes and Multicore cables LQ</v>
          </cell>
          <cell r="E654" t="str">
            <v>T.L10</v>
          </cell>
          <cell r="G654" t="str">
            <v>7-Day Workweek (10 hours)</v>
          </cell>
          <cell r="H654" t="str">
            <v>0d</v>
          </cell>
          <cell r="I654" t="str">
            <v>0d</v>
          </cell>
          <cell r="J654">
            <v>0</v>
          </cell>
          <cell r="K654" t="str">
            <v>As Late As Possible</v>
          </cell>
          <cell r="M654">
            <v>41347</v>
          </cell>
        </row>
        <row r="655">
          <cell r="C655" t="str">
            <v>8702-C11</v>
          </cell>
          <cell r="D655" t="str">
            <v>Mechanical Completion 8702-C11 PSD Junction Boxes and Multicore cables Hull</v>
          </cell>
          <cell r="E655" t="str">
            <v>H.G20</v>
          </cell>
          <cell r="G655" t="str">
            <v>7-Day Workweek (10 hours)</v>
          </cell>
          <cell r="H655" t="str">
            <v>0d</v>
          </cell>
          <cell r="I655" t="str">
            <v>0d</v>
          </cell>
          <cell r="J655">
            <v>0</v>
          </cell>
          <cell r="K655" t="str">
            <v>As Late As Possible</v>
          </cell>
          <cell r="M655">
            <v>41347</v>
          </cell>
        </row>
        <row r="656">
          <cell r="C656" t="str">
            <v>8702-C12</v>
          </cell>
          <cell r="D656" t="str">
            <v>Mechanical Completion 8702-C12 PSD Junction Boxes and Multicore cables Topside</v>
          </cell>
          <cell r="E656" t="str">
            <v>T.P10</v>
          </cell>
          <cell r="G656" t="str">
            <v>7-Day Workweek (10 hours)</v>
          </cell>
          <cell r="H656" t="str">
            <v>0d</v>
          </cell>
          <cell r="I656" t="str">
            <v>0d</v>
          </cell>
          <cell r="J656">
            <v>0</v>
          </cell>
          <cell r="K656" t="str">
            <v>As Late As Possible</v>
          </cell>
          <cell r="M656">
            <v>41347</v>
          </cell>
        </row>
        <row r="657">
          <cell r="C657" t="str">
            <v>8702-C13</v>
          </cell>
          <cell r="D657" t="str">
            <v>Mechanical Completion 8702-C13 PSD Junction Boxes and Multicore cables LQ</v>
          </cell>
          <cell r="E657" t="str">
            <v>T.L10</v>
          </cell>
          <cell r="G657" t="str">
            <v>7-Day Workweek (10 hours)</v>
          </cell>
          <cell r="H657" t="str">
            <v>0d</v>
          </cell>
          <cell r="I657" t="str">
            <v>0d</v>
          </cell>
          <cell r="J657">
            <v>0</v>
          </cell>
          <cell r="K657" t="str">
            <v>As Late As Possible</v>
          </cell>
          <cell r="M657">
            <v>41347</v>
          </cell>
        </row>
        <row r="658">
          <cell r="C658" t="str">
            <v>8702-C02</v>
          </cell>
          <cell r="D658" t="str">
            <v>Mechanical Completion  8702-C02 Panel 87JC052/53 - Node P31 (PSD) (LER)</v>
          </cell>
          <cell r="E658" t="str">
            <v>T.Q30</v>
          </cell>
          <cell r="G658" t="str">
            <v>7-Day Workweek (10 hours)</v>
          </cell>
          <cell r="H658" t="str">
            <v>0d</v>
          </cell>
          <cell r="I658" t="str">
            <v>0d</v>
          </cell>
          <cell r="J658">
            <v>0</v>
          </cell>
          <cell r="K658" t="str">
            <v>As Late As Possible</v>
          </cell>
          <cell r="M658">
            <v>41349</v>
          </cell>
        </row>
        <row r="659">
          <cell r="C659" t="str">
            <v>8702-C03</v>
          </cell>
          <cell r="D659" t="str">
            <v>Mechanical Completion  8702-C03 Panel 87JC054/55 - Node P32 (PSD) (LER)</v>
          </cell>
          <cell r="E659" t="str">
            <v>T.Q30</v>
          </cell>
          <cell r="G659" t="str">
            <v>7-Day Workweek (10 hours)</v>
          </cell>
          <cell r="H659" t="str">
            <v>0d</v>
          </cell>
          <cell r="I659" t="str">
            <v>0d</v>
          </cell>
          <cell r="J659">
            <v>0</v>
          </cell>
          <cell r="K659" t="str">
            <v>As Late As Possible</v>
          </cell>
          <cell r="M659">
            <v>41353</v>
          </cell>
        </row>
        <row r="660">
          <cell r="C660" t="str">
            <v>8702-C04</v>
          </cell>
          <cell r="D660" t="str">
            <v>Mechanical Completion  8702-C04 Panel 87JC056/57 - Node P33 (PSD) (LER)</v>
          </cell>
          <cell r="E660" t="str">
            <v>T.Q30</v>
          </cell>
          <cell r="G660" t="str">
            <v>7-Day Workweek (10 hours)</v>
          </cell>
          <cell r="H660" t="str">
            <v>0d</v>
          </cell>
          <cell r="I660" t="str">
            <v>0d</v>
          </cell>
          <cell r="J660">
            <v>0</v>
          </cell>
          <cell r="K660" t="str">
            <v>As Late As Possible</v>
          </cell>
          <cell r="M660">
            <v>41355</v>
          </cell>
        </row>
        <row r="661">
          <cell r="C661" t="str">
            <v>8702-C05</v>
          </cell>
          <cell r="D661" t="str">
            <v>Mechanical Completion  8702-C05 Panel 87JC058/59 - Node P34 (PSD) (LER)</v>
          </cell>
          <cell r="E661" t="str">
            <v>T.Q30</v>
          </cell>
          <cell r="G661" t="str">
            <v>7-Day Workweek (10 hours)</v>
          </cell>
          <cell r="H661" t="str">
            <v>0d</v>
          </cell>
          <cell r="I661" t="str">
            <v>0d</v>
          </cell>
          <cell r="J661">
            <v>0</v>
          </cell>
          <cell r="K661" t="str">
            <v>As Late As Possible</v>
          </cell>
          <cell r="M661">
            <v>41359</v>
          </cell>
        </row>
        <row r="662">
          <cell r="C662" t="str">
            <v>8702-C06</v>
          </cell>
          <cell r="D662" t="str">
            <v>Mechanical Completion  8702-C06 Panel 87JC060/61 - Node P35 (PSD) (LER)</v>
          </cell>
          <cell r="E662" t="str">
            <v>T.Q30</v>
          </cell>
          <cell r="G662" t="str">
            <v>7-Day Workweek (10 hours)</v>
          </cell>
          <cell r="H662" t="str">
            <v>0d</v>
          </cell>
          <cell r="I662" t="str">
            <v>0d</v>
          </cell>
          <cell r="J662">
            <v>0</v>
          </cell>
          <cell r="K662" t="str">
            <v>As Late As Possible</v>
          </cell>
          <cell r="M662">
            <v>41361</v>
          </cell>
        </row>
        <row r="663">
          <cell r="C663" t="str">
            <v>8701-C03</v>
          </cell>
          <cell r="D663" t="str">
            <v>Mechanical Completion  8701-C03 Panel 87JC271 - LAN/Switch/FOC  A-network (CER)</v>
          </cell>
          <cell r="E663" t="str">
            <v>T.L10.L12</v>
          </cell>
          <cell r="G663" t="str">
            <v>7-Day Workweek (10 hours)</v>
          </cell>
          <cell r="H663" t="str">
            <v>0d</v>
          </cell>
          <cell r="I663" t="str">
            <v>0d</v>
          </cell>
          <cell r="J663">
            <v>0</v>
          </cell>
          <cell r="K663" t="str">
            <v>As Late As Possible</v>
          </cell>
          <cell r="M663">
            <v>41362</v>
          </cell>
        </row>
        <row r="664">
          <cell r="C664" t="str">
            <v>8701-C04</v>
          </cell>
          <cell r="D664" t="str">
            <v>Mechanical Completion  8701-C04 Panel 87JC272 - LAN/Switch/FOC  B-network (CER)</v>
          </cell>
          <cell r="E664" t="str">
            <v>T.L10.L12</v>
          </cell>
          <cell r="G664" t="str">
            <v>7-Day Workweek (10 hours)</v>
          </cell>
          <cell r="H664" t="str">
            <v>0d</v>
          </cell>
          <cell r="I664" t="str">
            <v>0d</v>
          </cell>
          <cell r="J664">
            <v>0</v>
          </cell>
          <cell r="K664" t="str">
            <v>As Late As Possible</v>
          </cell>
          <cell r="M664">
            <v>41362</v>
          </cell>
        </row>
        <row r="665">
          <cell r="C665" t="str">
            <v>8701-C06</v>
          </cell>
          <cell r="D665" t="str">
            <v>Mechanical Completion  8701-C06 Panel 87JC231 - SAS servers (CER)</v>
          </cell>
          <cell r="E665" t="str">
            <v>T.L10.L12</v>
          </cell>
          <cell r="G665" t="str">
            <v>7-Day Workweek (10 hours)</v>
          </cell>
          <cell r="H665" t="str">
            <v>0d</v>
          </cell>
          <cell r="I665" t="str">
            <v>0d</v>
          </cell>
          <cell r="J665">
            <v>0</v>
          </cell>
          <cell r="K665" t="str">
            <v>As Late As Possible</v>
          </cell>
          <cell r="M665">
            <v>41362</v>
          </cell>
        </row>
        <row r="666">
          <cell r="C666" t="str">
            <v>8702-C07</v>
          </cell>
          <cell r="D666" t="str">
            <v>Mechanical Completion  8702-C07 Panel 87JC062/63 - Node P36 (PSD) (LER)</v>
          </cell>
          <cell r="E666" t="str">
            <v>T.Q30</v>
          </cell>
          <cell r="G666" t="str">
            <v>7-Day Workweek (10 hours)</v>
          </cell>
          <cell r="H666" t="str">
            <v>0d</v>
          </cell>
          <cell r="I666" t="str">
            <v>0d</v>
          </cell>
          <cell r="J666">
            <v>0</v>
          </cell>
          <cell r="K666" t="str">
            <v>As Late As Possible</v>
          </cell>
          <cell r="M666">
            <v>41363</v>
          </cell>
        </row>
        <row r="667">
          <cell r="C667" t="str">
            <v>8701-C24</v>
          </cell>
          <cell r="D667" t="str">
            <v>Mechanical Completion  8701-C24 Panel 87JC019 - Node C19 - AFC / ADT (PCS) (LER)</v>
          </cell>
          <cell r="E667" t="str">
            <v>T.Q30</v>
          </cell>
          <cell r="G667" t="str">
            <v>7-Day Workweek (10 hours)</v>
          </cell>
          <cell r="H667" t="str">
            <v>0d</v>
          </cell>
          <cell r="I667" t="str">
            <v>0d</v>
          </cell>
          <cell r="J667">
            <v>0</v>
          </cell>
          <cell r="K667" t="str">
            <v>As Late As Possible</v>
          </cell>
          <cell r="M667">
            <v>41363</v>
          </cell>
        </row>
        <row r="668">
          <cell r="C668" t="str">
            <v>8703-C01</v>
          </cell>
          <cell r="D668" t="str">
            <v>Mechanical Completion  8703-C01 Panel 87JC232 - Servers for Condition Monitoring (CER)</v>
          </cell>
          <cell r="E668" t="str">
            <v>T.L10</v>
          </cell>
          <cell r="G668" t="str">
            <v>7-Day Workweek (10 hours)</v>
          </cell>
          <cell r="H668" t="str">
            <v>0d</v>
          </cell>
          <cell r="I668" t="str">
            <v>0d</v>
          </cell>
          <cell r="J668">
            <v>0</v>
          </cell>
          <cell r="K668" t="str">
            <v>As Late As Possible</v>
          </cell>
          <cell r="M668">
            <v>41365</v>
          </cell>
        </row>
        <row r="669">
          <cell r="C669" t="str">
            <v>8701-C29</v>
          </cell>
          <cell r="D669" t="str">
            <v>Mechanical Completion  8701-C29 Panel 87JC281 - Server Online Simulator (CER)</v>
          </cell>
          <cell r="E669" t="str">
            <v>T.L10.L12</v>
          </cell>
          <cell r="G669" t="str">
            <v>7-Day Workweek (10 hours)</v>
          </cell>
          <cell r="H669" t="str">
            <v>0d</v>
          </cell>
          <cell r="I669" t="str">
            <v>0d</v>
          </cell>
          <cell r="J669">
            <v>0</v>
          </cell>
          <cell r="K669" t="str">
            <v>As Late As Possible</v>
          </cell>
          <cell r="M669">
            <v>41365</v>
          </cell>
        </row>
        <row r="670">
          <cell r="C670" t="str">
            <v>8704-C01</v>
          </cell>
          <cell r="D670" t="str">
            <v>Mechanical Completion  8704-C01 Panel 87JC241- Screen drivers, OS for EOW, Operation Equipment (CER &amp; Test Room)</v>
          </cell>
          <cell r="E670" t="str">
            <v>T.L10</v>
          </cell>
          <cell r="G670" t="str">
            <v>7-Day Workweek (10 hours)</v>
          </cell>
          <cell r="H670" t="str">
            <v>0d</v>
          </cell>
          <cell r="I670" t="str">
            <v>0d</v>
          </cell>
          <cell r="J670">
            <v>0</v>
          </cell>
          <cell r="K670" t="str">
            <v>As Late As Possible</v>
          </cell>
          <cell r="M670">
            <v>41365</v>
          </cell>
        </row>
        <row r="671">
          <cell r="C671" t="str">
            <v>8702-C08</v>
          </cell>
          <cell r="D671" t="str">
            <v>Mechanical Completion  8702-C08 Panel 87JC064/65 - Node P37 (PSD) (LER)</v>
          </cell>
          <cell r="E671" t="str">
            <v>T.Q30</v>
          </cell>
          <cell r="G671" t="str">
            <v>7-Day Workweek (10 hours)</v>
          </cell>
          <cell r="H671" t="str">
            <v>0d</v>
          </cell>
          <cell r="I671" t="str">
            <v>0d</v>
          </cell>
          <cell r="J671">
            <v>0</v>
          </cell>
          <cell r="K671" t="str">
            <v>As Late As Possible</v>
          </cell>
          <cell r="M671">
            <v>41367</v>
          </cell>
        </row>
        <row r="672">
          <cell r="C672" t="str">
            <v>8703-C04</v>
          </cell>
          <cell r="D672" t="str">
            <v>Mechanical Completion  8703-C04 Panel 87JJ001 - Condition Monitoring / Vibration (PCS) (LER)</v>
          </cell>
          <cell r="E672" t="str">
            <v>T.Q30</v>
          </cell>
          <cell r="G672" t="str">
            <v>7-Day Workweek (10 hours)</v>
          </cell>
          <cell r="H672" t="str">
            <v>0d</v>
          </cell>
          <cell r="I672" t="str">
            <v>0d</v>
          </cell>
          <cell r="J672">
            <v>0</v>
          </cell>
          <cell r="K672" t="str">
            <v>As Late As Possible</v>
          </cell>
          <cell r="M672">
            <v>41368</v>
          </cell>
        </row>
        <row r="673">
          <cell r="C673" t="str">
            <v>8703-C08</v>
          </cell>
          <cell r="D673" t="str">
            <v>Mechanical Completion  8703-C08 Load Computer</v>
          </cell>
          <cell r="E673" t="str">
            <v>T.L10</v>
          </cell>
          <cell r="G673" t="str">
            <v>7-Day Workweek (10 hours)</v>
          </cell>
          <cell r="H673" t="str">
            <v>0d</v>
          </cell>
          <cell r="I673" t="str">
            <v>0d</v>
          </cell>
          <cell r="J673">
            <v>0</v>
          </cell>
          <cell r="K673" t="str">
            <v>As Late As Possible</v>
          </cell>
          <cell r="M673">
            <v>41368</v>
          </cell>
        </row>
        <row r="674">
          <cell r="C674" t="str">
            <v>8703-C10</v>
          </cell>
          <cell r="D674" t="str">
            <v>Mechanical Completion  8703-C10 Panel 87JC221 - SAAS Valve Watch (LER)</v>
          </cell>
          <cell r="E674" t="str">
            <v>T.Q30</v>
          </cell>
          <cell r="G674" t="str">
            <v>7-Day Workweek (10 hours)</v>
          </cell>
          <cell r="H674" t="str">
            <v>0d</v>
          </cell>
          <cell r="I674" t="str">
            <v>0d</v>
          </cell>
          <cell r="J674">
            <v>0</v>
          </cell>
          <cell r="K674" t="str">
            <v>As Late As Possible</v>
          </cell>
          <cell r="M674">
            <v>41368</v>
          </cell>
        </row>
        <row r="675">
          <cell r="C675" t="str">
            <v>8702-C09</v>
          </cell>
          <cell r="D675" t="str">
            <v>Mechanical Completion 8702-C09 Panel 87JC066 - Node P38 (PSD) (LER)</v>
          </cell>
          <cell r="E675" t="str">
            <v>T.Q30</v>
          </cell>
          <cell r="G675" t="str">
            <v>7-Day Workweek (10 hours)</v>
          </cell>
          <cell r="H675" t="str">
            <v>0d</v>
          </cell>
          <cell r="I675" t="str">
            <v>0d</v>
          </cell>
          <cell r="J675">
            <v>0</v>
          </cell>
          <cell r="K675" t="str">
            <v>As Late As Possible</v>
          </cell>
          <cell r="M675">
            <v>41369</v>
          </cell>
        </row>
        <row r="676">
          <cell r="C676" t="str">
            <v>8703-C05</v>
          </cell>
          <cell r="D676" t="str">
            <v>Mechanical Completion  8703-C05 Panel 87JJ002 - Condition Monitoring / Vibration (PCS) (LER)</v>
          </cell>
          <cell r="E676" t="str">
            <v>T.Q30</v>
          </cell>
          <cell r="G676" t="str">
            <v>7-Day Workweek (10 hours)</v>
          </cell>
          <cell r="H676" t="str">
            <v>0d</v>
          </cell>
          <cell r="I676" t="str">
            <v>0d</v>
          </cell>
          <cell r="J676">
            <v>0</v>
          </cell>
          <cell r="K676" t="str">
            <v>As Late As Possible</v>
          </cell>
          <cell r="M676">
            <v>41370</v>
          </cell>
        </row>
        <row r="677">
          <cell r="C677" t="str">
            <v>8703-C09</v>
          </cell>
          <cell r="D677" t="str">
            <v>Mechanical Completion  8703-C09 Panel 87JDxxx - Valve watch application (LER)</v>
          </cell>
          <cell r="E677" t="str">
            <v>T.Q30</v>
          </cell>
          <cell r="G677" t="str">
            <v>7-Day Workweek (10 hours)</v>
          </cell>
          <cell r="H677" t="str">
            <v>0d</v>
          </cell>
          <cell r="I677" t="str">
            <v>0d</v>
          </cell>
          <cell r="J677">
            <v>0</v>
          </cell>
          <cell r="K677" t="str">
            <v>As Late As Possible</v>
          </cell>
          <cell r="M677">
            <v>41370</v>
          </cell>
        </row>
        <row r="678">
          <cell r="C678" t="str">
            <v>8703-C11</v>
          </cell>
          <cell r="D678" t="str">
            <v>Mechanical Completion  8703-C11 Panel 87JC222 - SAAS Valve Watch (LER)</v>
          </cell>
          <cell r="E678" t="str">
            <v>T.Q30</v>
          </cell>
          <cell r="G678" t="str">
            <v>7-Day Workweek (10 hours)</v>
          </cell>
          <cell r="H678" t="str">
            <v>0d</v>
          </cell>
          <cell r="I678" t="str">
            <v>0d</v>
          </cell>
          <cell r="J678">
            <v>0</v>
          </cell>
          <cell r="K678" t="str">
            <v>As Late As Possible</v>
          </cell>
          <cell r="M678">
            <v>41370</v>
          </cell>
        </row>
        <row r="679">
          <cell r="C679" t="str">
            <v>8701-C07</v>
          </cell>
          <cell r="D679" t="str">
            <v>Mechanical Completion  8701-C07 Panel 87JC001 - Node C01 - 16 Topside flowlines, manifolds and pigging (PCS) (LER)</v>
          </cell>
          <cell r="E679" t="str">
            <v>T.Q30</v>
          </cell>
          <cell r="G679" t="str">
            <v>7-Day Workweek (10 hours)</v>
          </cell>
          <cell r="H679" t="str">
            <v>0d</v>
          </cell>
          <cell r="I679" t="str">
            <v>0d</v>
          </cell>
          <cell r="J679">
            <v>0</v>
          </cell>
          <cell r="K679" t="str">
            <v>As Late As Possible</v>
          </cell>
          <cell r="M679">
            <v>41373</v>
          </cell>
        </row>
        <row r="680">
          <cell r="C680" t="str">
            <v>8702-C10</v>
          </cell>
          <cell r="D680" t="str">
            <v>Mechanical Completion 8702-C10 Panel 87JC067 - Node P39 (PSD) (LER)</v>
          </cell>
          <cell r="E680" t="str">
            <v>T.Q30</v>
          </cell>
          <cell r="G680" t="str">
            <v>7-Day Workweek (10 hours)</v>
          </cell>
          <cell r="H680" t="str">
            <v>0d</v>
          </cell>
          <cell r="I680" t="str">
            <v>0d</v>
          </cell>
          <cell r="J680">
            <v>0</v>
          </cell>
          <cell r="K680" t="str">
            <v>As Late As Possible</v>
          </cell>
          <cell r="M680">
            <v>41373</v>
          </cell>
        </row>
        <row r="681">
          <cell r="C681" t="str">
            <v>8703-C06</v>
          </cell>
          <cell r="D681" t="str">
            <v>Mechanical Completion  8703-C06 Panel 87JJ003 - Condition Monitoring / Vibration (PCS) (LER)</v>
          </cell>
          <cell r="E681" t="str">
            <v>T.Q30</v>
          </cell>
          <cell r="G681" t="str">
            <v>7-Day Workweek (10 hours)</v>
          </cell>
          <cell r="H681" t="str">
            <v>0d</v>
          </cell>
          <cell r="I681" t="str">
            <v>0d</v>
          </cell>
          <cell r="J681">
            <v>0</v>
          </cell>
          <cell r="K681" t="str">
            <v>As Late As Possible</v>
          </cell>
          <cell r="M681">
            <v>41373</v>
          </cell>
        </row>
        <row r="682">
          <cell r="C682" t="str">
            <v>8703-C12</v>
          </cell>
          <cell r="D682" t="str">
            <v>Mechanical Completion  8703-C12 Panel 87JC212 - Wireless Hart (PCS) (LER)</v>
          </cell>
          <cell r="E682" t="str">
            <v>T.Q30</v>
          </cell>
          <cell r="G682" t="str">
            <v>7-Day Workweek (10 hours)</v>
          </cell>
          <cell r="H682" t="str">
            <v>0d</v>
          </cell>
          <cell r="I682" t="str">
            <v>0d</v>
          </cell>
          <cell r="J682">
            <v>0</v>
          </cell>
          <cell r="K682" t="str">
            <v>As Late As Possible</v>
          </cell>
          <cell r="M682">
            <v>41373</v>
          </cell>
        </row>
        <row r="683">
          <cell r="C683" t="str">
            <v>8701-C08</v>
          </cell>
          <cell r="D683" t="str">
            <v>Mechanical Completion  8701-C08 Panel 87JC002 - Node C02 - 20 Separation and stabilization (PCS) (LER)</v>
          </cell>
          <cell r="E683" t="str">
            <v>T.Q30</v>
          </cell>
          <cell r="G683" t="str">
            <v>7-Day Workweek (10 hours)</v>
          </cell>
          <cell r="H683" t="str">
            <v>0d</v>
          </cell>
          <cell r="I683" t="str">
            <v>0d</v>
          </cell>
          <cell r="J683">
            <v>0</v>
          </cell>
          <cell r="K683" t="str">
            <v>As Late As Possible</v>
          </cell>
          <cell r="M683">
            <v>41375</v>
          </cell>
        </row>
        <row r="684">
          <cell r="C684" t="str">
            <v>8701-C27</v>
          </cell>
          <cell r="D684" t="str">
            <v>Mechanical Completion  8701-C27 Panel 87JC025 - Node C25/26 - 82 Heat tracing (PCS) (LER)</v>
          </cell>
          <cell r="E684" t="str">
            <v>T.Q30</v>
          </cell>
          <cell r="G684" t="str">
            <v>7-Day Workweek (10 hours)</v>
          </cell>
          <cell r="H684" t="str">
            <v>0d</v>
          </cell>
          <cell r="I684" t="str">
            <v>0d</v>
          </cell>
          <cell r="J684">
            <v>0</v>
          </cell>
          <cell r="K684" t="str">
            <v>As Late As Possible</v>
          </cell>
          <cell r="M684">
            <v>41376</v>
          </cell>
        </row>
        <row r="685">
          <cell r="C685" t="str">
            <v>8703-C07</v>
          </cell>
          <cell r="D685" t="str">
            <v>Mechanical Completion  8703-C07 Panel 87JJ004 - Condition Monitoring / Vibration (PCS) (LER)</v>
          </cell>
          <cell r="E685" t="str">
            <v>T.Q30</v>
          </cell>
          <cell r="G685" t="str">
            <v>7-Day Workweek (10 hours)</v>
          </cell>
          <cell r="H685" t="str">
            <v>0d</v>
          </cell>
          <cell r="I685" t="str">
            <v>0d</v>
          </cell>
          <cell r="J685">
            <v>0</v>
          </cell>
          <cell r="K685" t="str">
            <v>As Late As Possible</v>
          </cell>
          <cell r="M685">
            <v>41376</v>
          </cell>
        </row>
        <row r="686">
          <cell r="C686" t="str">
            <v>8701-C16</v>
          </cell>
          <cell r="D686" t="str">
            <v>Mechanical Completion  8701-C16 Panel 87JC010 - Node C10 - 42 Chemical injection (PCS) (LER)</v>
          </cell>
          <cell r="E686" t="str">
            <v>T.Q30</v>
          </cell>
          <cell r="G686" t="str">
            <v>7-Day Workweek (10 hours)</v>
          </cell>
          <cell r="H686" t="str">
            <v>0d</v>
          </cell>
          <cell r="I686" t="str">
            <v>0d</v>
          </cell>
          <cell r="J686">
            <v>0</v>
          </cell>
          <cell r="K686" t="str">
            <v>As Late As Possible</v>
          </cell>
          <cell r="M686">
            <v>41377</v>
          </cell>
        </row>
        <row r="687">
          <cell r="C687" t="str">
            <v>8703-C13</v>
          </cell>
          <cell r="D687" t="str">
            <v>Mechanical Completion  8703-C13 Panel 87JX141 - Hull Strain Gauge Monitoring (PCS) (LER)</v>
          </cell>
          <cell r="E687" t="str">
            <v>T.Q30</v>
          </cell>
          <cell r="G687" t="str">
            <v>7-Day Workweek (10 hours)</v>
          </cell>
          <cell r="H687" t="str">
            <v>0d</v>
          </cell>
          <cell r="I687" t="str">
            <v>0d</v>
          </cell>
          <cell r="J687">
            <v>0</v>
          </cell>
          <cell r="K687" t="str">
            <v>As Late As Possible</v>
          </cell>
          <cell r="M687">
            <v>41379</v>
          </cell>
        </row>
        <row r="688">
          <cell r="C688" t="str">
            <v>8701-C09</v>
          </cell>
          <cell r="D688" t="str">
            <v>Mechanical Completion  8701-C09 Panel 87JC003 - Node C03 - 29 Water injection (PCS) (LER)</v>
          </cell>
          <cell r="E688" t="str">
            <v>T.Q30</v>
          </cell>
          <cell r="G688" t="str">
            <v>7-Day Workweek (10 hours)</v>
          </cell>
          <cell r="H688" t="str">
            <v>0d</v>
          </cell>
          <cell r="I688" t="str">
            <v>0d</v>
          </cell>
          <cell r="J688">
            <v>0</v>
          </cell>
          <cell r="K688" t="str">
            <v>As Late As Possible</v>
          </cell>
          <cell r="M688">
            <v>41381</v>
          </cell>
        </row>
        <row r="689">
          <cell r="C689" t="str">
            <v>8701-C11</v>
          </cell>
          <cell r="D689" t="str">
            <v>Mechanical Completion  8701-C11 Panel 87JC005 - Node C05 - 46 MEG injection (PCS) (LER)</v>
          </cell>
          <cell r="E689" t="str">
            <v>T.Q30</v>
          </cell>
          <cell r="G689" t="str">
            <v>7-Day Workweek (10 hours)</v>
          </cell>
          <cell r="H689" t="str">
            <v>0d</v>
          </cell>
          <cell r="I689" t="str">
            <v>0d</v>
          </cell>
          <cell r="J689">
            <v>0</v>
          </cell>
          <cell r="K689" t="str">
            <v>As Late As Possible</v>
          </cell>
          <cell r="M689">
            <v>41383</v>
          </cell>
        </row>
        <row r="690">
          <cell r="C690" t="str">
            <v>8705-C01</v>
          </cell>
          <cell r="D690" t="str">
            <v>Mechanical Completion  8705-C01 Panel 87JC101 - Metering cabinet - Stream (LER)</v>
          </cell>
          <cell r="E690" t="str">
            <v>T.Q30</v>
          </cell>
          <cell r="G690" t="str">
            <v>7-Day Workweek (10 hours)</v>
          </cell>
          <cell r="H690" t="str">
            <v>0d</v>
          </cell>
          <cell r="I690" t="str">
            <v>0d</v>
          </cell>
          <cell r="J690">
            <v>0</v>
          </cell>
          <cell r="K690" t="str">
            <v>As Late As Possible</v>
          </cell>
          <cell r="M690">
            <v>41387</v>
          </cell>
        </row>
        <row r="691">
          <cell r="C691" t="str">
            <v>8705-C02</v>
          </cell>
          <cell r="D691" t="str">
            <v>Mechanical Completion  8705-C02 Panel 87JC102 - Metering cabinet - Gas (LER)</v>
          </cell>
          <cell r="E691" t="str">
            <v>T.Q30</v>
          </cell>
          <cell r="G691" t="str">
            <v>7-Day Workweek (10 hours)</v>
          </cell>
          <cell r="H691" t="str">
            <v>0d</v>
          </cell>
          <cell r="I691" t="str">
            <v>0d</v>
          </cell>
          <cell r="J691">
            <v>0</v>
          </cell>
          <cell r="K691" t="str">
            <v>As Late As Possible</v>
          </cell>
          <cell r="M691">
            <v>41389</v>
          </cell>
        </row>
        <row r="692">
          <cell r="C692" t="str">
            <v>8705-C03</v>
          </cell>
          <cell r="D692" t="str">
            <v>Mechanical Completion  8705-C03 Panel 87JC103 - Metering cabinet - Flare (LER)</v>
          </cell>
          <cell r="E692" t="str">
            <v>T.Q30</v>
          </cell>
          <cell r="G692" t="str">
            <v>7-Day Workweek (10 hours)</v>
          </cell>
          <cell r="H692" t="str">
            <v>0d</v>
          </cell>
          <cell r="I692" t="str">
            <v>0d</v>
          </cell>
          <cell r="J692">
            <v>0</v>
          </cell>
          <cell r="K692" t="str">
            <v>As Late As Possible</v>
          </cell>
          <cell r="M692">
            <v>41391</v>
          </cell>
        </row>
        <row r="693">
          <cell r="C693" t="str">
            <v>8701-C32</v>
          </cell>
          <cell r="D693" t="str">
            <v>Mechanical Completion  8701-C32 Panel 87JX111 - Miscellaneous Instrument Analyzers (PCS) (LER)</v>
          </cell>
          <cell r="E693" t="str">
            <v>T.Q30</v>
          </cell>
          <cell r="G693" t="str">
            <v>7-Day Workweek (10 hours)</v>
          </cell>
          <cell r="H693" t="str">
            <v>0d</v>
          </cell>
          <cell r="I693" t="str">
            <v>0d</v>
          </cell>
          <cell r="J693">
            <v>0</v>
          </cell>
          <cell r="K693" t="str">
            <v>As Late As Possible</v>
          </cell>
          <cell r="M693">
            <v>41395</v>
          </cell>
        </row>
        <row r="694">
          <cell r="C694" t="str">
            <v>8701-C33</v>
          </cell>
          <cell r="D694" t="str">
            <v>Mechanical Completion  8701-C33 Panel 87JX112 - Miscellaneous Instrument Analyzers (PCS) (LER)</v>
          </cell>
          <cell r="E694" t="str">
            <v>T.Q30</v>
          </cell>
          <cell r="G694" t="str">
            <v>7-Day Workweek (10 hours)</v>
          </cell>
          <cell r="H694" t="str">
            <v>0d</v>
          </cell>
          <cell r="I694" t="str">
            <v>0d</v>
          </cell>
          <cell r="J694">
            <v>0</v>
          </cell>
          <cell r="K694" t="str">
            <v>As Late As Possible</v>
          </cell>
          <cell r="M694">
            <v>41397</v>
          </cell>
        </row>
        <row r="695">
          <cell r="C695" t="str">
            <v>8701-C34</v>
          </cell>
          <cell r="D695" t="str">
            <v>Mechanical Completion  8701-C34 Panel 87JC027 - Node C29 - 82 Heat tracing (PCS) (LER)</v>
          </cell>
          <cell r="E695" t="str">
            <v>T.Q30</v>
          </cell>
          <cell r="G695" t="str">
            <v>7-Day Workweek (10 hours)</v>
          </cell>
          <cell r="H695" t="str">
            <v>0d</v>
          </cell>
          <cell r="I695" t="str">
            <v>0d</v>
          </cell>
          <cell r="J695">
            <v>0</v>
          </cell>
          <cell r="K695" t="str">
            <v>As Late As Possible</v>
          </cell>
          <cell r="M695">
            <v>41401</v>
          </cell>
        </row>
        <row r="696">
          <cell r="C696" t="str">
            <v>8701-C28</v>
          </cell>
          <cell r="D696" t="str">
            <v>Mechanical Completion  8701-C28 Panel 87JC026 - Node C27/28 - 82 Heat tracing (PCS) (LER)</v>
          </cell>
          <cell r="E696" t="str">
            <v>T.Q30</v>
          </cell>
          <cell r="G696" t="str">
            <v>7-Day Workweek (10 hours)</v>
          </cell>
          <cell r="H696" t="str">
            <v>0d</v>
          </cell>
          <cell r="I696" t="str">
            <v>0d</v>
          </cell>
          <cell r="J696">
            <v>0</v>
          </cell>
          <cell r="K696" t="str">
            <v>As Late As Possible</v>
          </cell>
          <cell r="M696">
            <v>41403</v>
          </cell>
        </row>
        <row r="697">
          <cell r="C697" t="str">
            <v>8701-C30</v>
          </cell>
          <cell r="D697" t="str">
            <v>Mechanical Completion  8701-C30 Panel 87JC151 - Node L50 (PDCS) (LER)</v>
          </cell>
          <cell r="E697" t="str">
            <v>T.Q30</v>
          </cell>
          <cell r="G697" t="str">
            <v>7-Day Workweek (10 hours)</v>
          </cell>
          <cell r="H697" t="str">
            <v>0d</v>
          </cell>
          <cell r="I697" t="str">
            <v>0d</v>
          </cell>
          <cell r="J697">
            <v>0</v>
          </cell>
          <cell r="K697" t="str">
            <v>As Late As Possible</v>
          </cell>
          <cell r="M697">
            <v>41405</v>
          </cell>
        </row>
        <row r="698">
          <cell r="C698" t="str">
            <v>8703-C15</v>
          </cell>
          <cell r="D698" t="str">
            <v>Mechanical Completion  8703-C15 Panel 87JC122 - Subsea Power cable temperature Monitoring system Onshore (DTS) (LER)</v>
          </cell>
          <cell r="E698" t="str">
            <v>T.Q30</v>
          </cell>
          <cell r="G698" t="str">
            <v>7-Day Workweek (10 hours)</v>
          </cell>
          <cell r="H698" t="str">
            <v>0d</v>
          </cell>
          <cell r="I698" t="str">
            <v>0d</v>
          </cell>
          <cell r="J698">
            <v>0</v>
          </cell>
          <cell r="K698" t="str">
            <v>As Late As Possible</v>
          </cell>
          <cell r="M698">
            <v>41410</v>
          </cell>
        </row>
        <row r="699">
          <cell r="C699" t="str">
            <v>8703-C14</v>
          </cell>
          <cell r="D699" t="str">
            <v>Mechanical Completion  8703-C14 Panel 87JC121 - Subsea Power cable temperature Monitoring system Offshore (DTS) (LER)</v>
          </cell>
          <cell r="E699" t="str">
            <v>T.Q30</v>
          </cell>
          <cell r="G699" t="str">
            <v>7-Day Workweek (10 hours)</v>
          </cell>
          <cell r="H699" t="str">
            <v>0d</v>
          </cell>
          <cell r="I699" t="str">
            <v>0d</v>
          </cell>
          <cell r="J699">
            <v>0</v>
          </cell>
          <cell r="K699" t="str">
            <v>As Late As Possible</v>
          </cell>
          <cell r="M699">
            <v>41412</v>
          </cell>
        </row>
        <row r="700">
          <cell r="C700" t="str">
            <v>8703-C16</v>
          </cell>
          <cell r="D700" t="str">
            <v>Mechanical Completion  8703-C16 Information Management System (FDS IO, ch 7)</v>
          </cell>
          <cell r="E700" t="str">
            <v>T.Q30</v>
          </cell>
          <cell r="G700" t="str">
            <v>7-Day Workweek (10 hours)</v>
          </cell>
          <cell r="H700" t="str">
            <v>0d</v>
          </cell>
          <cell r="I700" t="str">
            <v>0d</v>
          </cell>
          <cell r="J700">
            <v>0</v>
          </cell>
          <cell r="K700" t="str">
            <v>As Late As Possible</v>
          </cell>
          <cell r="M700">
            <v>41415</v>
          </cell>
        </row>
        <row r="701">
          <cell r="C701" t="str">
            <v>8703-C17</v>
          </cell>
          <cell r="D701" t="str">
            <v>Mechanical Completion  8703-C17 Conditioning Monitoring (FDS IO, ch 8)</v>
          </cell>
          <cell r="E701" t="str">
            <v>T.Q30</v>
          </cell>
          <cell r="G701" t="str">
            <v>7-Day Workweek (10 hours)</v>
          </cell>
          <cell r="H701" t="str">
            <v>0d</v>
          </cell>
          <cell r="I701" t="str">
            <v>0d</v>
          </cell>
          <cell r="J701">
            <v>0</v>
          </cell>
          <cell r="K701" t="str">
            <v>As Late As Possible</v>
          </cell>
          <cell r="M701">
            <v>41418</v>
          </cell>
        </row>
        <row r="702">
          <cell r="C702" t="str">
            <v>8703-C18</v>
          </cell>
          <cell r="D702" t="str">
            <v>Mechanical Completion  8703-C18 Operational Performance Monitoring (FDS IO, ch 9)</v>
          </cell>
          <cell r="E702" t="str">
            <v>T.Q30</v>
          </cell>
          <cell r="G702" t="str">
            <v>7-Day Workweek (10 hours)</v>
          </cell>
          <cell r="H702" t="str">
            <v>0d</v>
          </cell>
          <cell r="I702" t="str">
            <v>0d</v>
          </cell>
          <cell r="J702">
            <v>0</v>
          </cell>
          <cell r="K702" t="str">
            <v>As Late As Possible</v>
          </cell>
          <cell r="M702">
            <v>41421</v>
          </cell>
        </row>
        <row r="703">
          <cell r="C703" t="str">
            <v>8704-C04</v>
          </cell>
          <cell r="D703" t="str">
            <v>Mechanical Completion 8704-C04 Operational equipment Offloading Panel PC 87JD013 (OSA)</v>
          </cell>
          <cell r="E703" t="str">
            <v>T.D10</v>
          </cell>
          <cell r="G703" t="str">
            <v>7-Day Workweek (10 hours)</v>
          </cell>
          <cell r="H703" t="str">
            <v>0d</v>
          </cell>
          <cell r="I703" t="str">
            <v>0d</v>
          </cell>
          <cell r="J703">
            <v>0</v>
          </cell>
          <cell r="K703" t="str">
            <v>As Late As Possible</v>
          </cell>
          <cell r="M703">
            <v>41424</v>
          </cell>
        </row>
        <row r="704">
          <cell r="C704" t="str">
            <v>8701-C31</v>
          </cell>
          <cell r="D704" t="str">
            <v>Mechanical Completion  8701-C31 Panel 87JC152 - Node L51 (PDCS) (LER)</v>
          </cell>
          <cell r="E704" t="str">
            <v>T.Q30</v>
          </cell>
          <cell r="G704" t="str">
            <v>7-Day Workweek (10 hours)</v>
          </cell>
          <cell r="H704" t="str">
            <v>0d</v>
          </cell>
          <cell r="I704" t="str">
            <v>0d</v>
          </cell>
          <cell r="J704">
            <v>0</v>
          </cell>
          <cell r="K704" t="str">
            <v>As Late As Possible</v>
          </cell>
          <cell r="M704">
            <v>41424</v>
          </cell>
        </row>
        <row r="705">
          <cell r="C705" t="str">
            <v>8701-C39</v>
          </cell>
          <cell r="D705" t="str">
            <v>Mechanical Completion 8701-C39 Panel 87JC154 - Node L59 (PDCS) (LER)</v>
          </cell>
          <cell r="E705" t="str">
            <v>T.Q30</v>
          </cell>
          <cell r="G705" t="str">
            <v>7-Day Workweek (10 hours)</v>
          </cell>
          <cell r="H705" t="str">
            <v>0d</v>
          </cell>
          <cell r="I705" t="str">
            <v>0d</v>
          </cell>
          <cell r="J705">
            <v>0</v>
          </cell>
          <cell r="K705" t="str">
            <v>As Late As Possible</v>
          </cell>
          <cell r="M705">
            <v>41443</v>
          </cell>
        </row>
        <row r="706">
          <cell r="F706">
            <v>0</v>
          </cell>
          <cell r="G706" t="str">
            <v>7-Day Workweek (10 hours)</v>
          </cell>
          <cell r="H706" t="str">
            <v>0d</v>
          </cell>
          <cell r="I706" t="str">
            <v>0d</v>
          </cell>
          <cell r="J706">
            <v>0</v>
          </cell>
          <cell r="L706">
            <v>41299</v>
          </cell>
          <cell r="M706">
            <v>41299</v>
          </cell>
        </row>
        <row r="707">
          <cell r="C707" t="str">
            <v>8801-C01</v>
          </cell>
          <cell r="D707" t="str">
            <v>Mechanical Completion 8801-C01 Earthing</v>
          </cell>
          <cell r="E707" t="str">
            <v>T.Q30</v>
          </cell>
          <cell r="G707" t="str">
            <v>7-Day Workweek (10 hours)</v>
          </cell>
          <cell r="H707" t="str">
            <v>0d</v>
          </cell>
          <cell r="I707" t="str">
            <v>0d</v>
          </cell>
          <cell r="J707">
            <v>0</v>
          </cell>
          <cell r="K707" t="str">
            <v>As Late As Possible</v>
          </cell>
          <cell r="M707">
            <v>41299</v>
          </cell>
        </row>
        <row r="708">
          <cell r="F708">
            <v>0</v>
          </cell>
          <cell r="G708" t="str">
            <v>7-Day Workweek (10 hours)</v>
          </cell>
          <cell r="H708" t="str">
            <v>0d</v>
          </cell>
          <cell r="I708" t="str">
            <v>0d</v>
          </cell>
          <cell r="J708">
            <v>0</v>
          </cell>
          <cell r="L708">
            <v>41502</v>
          </cell>
          <cell r="M708">
            <v>41502</v>
          </cell>
        </row>
        <row r="709">
          <cell r="C709" t="str">
            <v>9101-C01</v>
          </cell>
          <cell r="D709" t="str">
            <v>Mechanical Completion 9101-C01 Panel 91JC001 - Hull Stress Monitoring</v>
          </cell>
          <cell r="E709" t="str">
            <v>H.G20</v>
          </cell>
          <cell r="G709" t="str">
            <v>7-Day Workweek (10 hours)</v>
          </cell>
          <cell r="H709" t="str">
            <v>0d</v>
          </cell>
          <cell r="I709" t="str">
            <v>0d</v>
          </cell>
          <cell r="J709">
            <v>0</v>
          </cell>
          <cell r="K709" t="str">
            <v>As Late As Possible</v>
          </cell>
          <cell r="M709">
            <v>41502</v>
          </cell>
        </row>
        <row r="710">
          <cell r="F710">
            <v>0</v>
          </cell>
          <cell r="G710" t="str">
            <v>7-Day Workweek (10 hours)</v>
          </cell>
          <cell r="H710" t="str">
            <v>1d</v>
          </cell>
          <cell r="I710" t="str">
            <v>1d</v>
          </cell>
          <cell r="J710">
            <v>0</v>
          </cell>
          <cell r="L710">
            <v>41516</v>
          </cell>
          <cell r="M710">
            <v>41516</v>
          </cell>
        </row>
        <row r="711">
          <cell r="C711" t="str">
            <v>9301-C03</v>
          </cell>
          <cell r="D711" t="str">
            <v>Mechanical Completion 9301-C03 Central Vacuum Cleaning System LQ</v>
          </cell>
          <cell r="E711" t="str">
            <v>T.L10</v>
          </cell>
          <cell r="G711" t="str">
            <v>7-Day Workweek (10 hours)</v>
          </cell>
          <cell r="H711" t="str">
            <v>0d</v>
          </cell>
          <cell r="I711" t="str">
            <v>0d</v>
          </cell>
          <cell r="J711">
            <v>0</v>
          </cell>
          <cell r="K711" t="str">
            <v>Finish On</v>
          </cell>
          <cell r="M711" t="str">
            <v>30-Aug-13*</v>
          </cell>
        </row>
        <row r="712">
          <cell r="C712" t="str">
            <v>9301-C02</v>
          </cell>
          <cell r="D712" t="str">
            <v>Mechanical Completion 9301-C02 Central Vacuum Cleaning System Utility Area</v>
          </cell>
          <cell r="E712" t="str">
            <v>T.Q30</v>
          </cell>
          <cell r="G712" t="str">
            <v>7-Day Workweek (10 hours)</v>
          </cell>
          <cell r="H712" t="str">
            <v>0d</v>
          </cell>
          <cell r="I712" t="str">
            <v>0d</v>
          </cell>
          <cell r="J712">
            <v>0</v>
          </cell>
          <cell r="K712" t="str">
            <v>Finish On</v>
          </cell>
          <cell r="M712" t="str">
            <v>30-Aug-13*</v>
          </cell>
        </row>
        <row r="713">
          <cell r="C713" t="str">
            <v>9301-C01</v>
          </cell>
          <cell r="D713" t="str">
            <v>Mechanical Completion 9301-C01 Helideck LQ</v>
          </cell>
          <cell r="E713" t="str">
            <v>T.H10</v>
          </cell>
          <cell r="G713" t="str">
            <v>7-Day Workweek (10 hours)</v>
          </cell>
          <cell r="H713" t="str">
            <v>0d</v>
          </cell>
          <cell r="I713" t="str">
            <v>0d</v>
          </cell>
          <cell r="J713">
            <v>0</v>
          </cell>
          <cell r="K713" t="str">
            <v>Finish On</v>
          </cell>
          <cell r="M713" t="str">
            <v>30-Aug-13*</v>
          </cell>
        </row>
        <row r="714">
          <cell r="F714">
            <v>0</v>
          </cell>
          <cell r="G714" t="str">
            <v>7-Day Workweek (10 hours)</v>
          </cell>
          <cell r="H714" t="str">
            <v>109d</v>
          </cell>
          <cell r="I714" t="str">
            <v>109d</v>
          </cell>
          <cell r="J714">
            <v>0</v>
          </cell>
          <cell r="L714">
            <v>41387</v>
          </cell>
          <cell r="M714">
            <v>41474</v>
          </cell>
        </row>
        <row r="715">
          <cell r="C715" t="str">
            <v>9401-C04</v>
          </cell>
          <cell r="D715" t="str">
            <v>Mechanical Completion 9401-C04 Panel 94JC023 - Node C21/C22 - Mooring (PCS) (LER)</v>
          </cell>
          <cell r="E715" t="str">
            <v>T.Q30</v>
          </cell>
          <cell r="G715" t="str">
            <v>7-Day Workweek (10 hours)</v>
          </cell>
          <cell r="H715" t="str">
            <v>0d</v>
          </cell>
          <cell r="I715" t="str">
            <v>0d</v>
          </cell>
          <cell r="J715">
            <v>0</v>
          </cell>
          <cell r="K715" t="str">
            <v>As Late As Possible</v>
          </cell>
          <cell r="M715">
            <v>41387</v>
          </cell>
        </row>
        <row r="716">
          <cell r="C716" t="str">
            <v>9401-C05</v>
          </cell>
          <cell r="D716" t="str">
            <v>Mechanical Completion 9401-C05 94CT140 HPU for positioning system East</v>
          </cell>
          <cell r="E716" t="str">
            <v>H.M10</v>
          </cell>
          <cell r="G716" t="str">
            <v>7-Day Workweek (10 hours)</v>
          </cell>
          <cell r="H716" t="str">
            <v>0d</v>
          </cell>
          <cell r="I716" t="str">
            <v>0d</v>
          </cell>
          <cell r="J716">
            <v>0</v>
          </cell>
          <cell r="K716" t="str">
            <v>As Late As Possible</v>
          </cell>
          <cell r="M716">
            <v>41390</v>
          </cell>
        </row>
        <row r="717">
          <cell r="C717" t="str">
            <v>9401-C06</v>
          </cell>
          <cell r="D717" t="str">
            <v>Mechanical Completion 9401-C06 94CT240 HPU for positioning system South</v>
          </cell>
          <cell r="E717" t="str">
            <v>H.M20</v>
          </cell>
          <cell r="G717" t="str">
            <v>7-Day Workweek (10 hours)</v>
          </cell>
          <cell r="H717" t="str">
            <v>0d</v>
          </cell>
          <cell r="I717" t="str">
            <v>0d</v>
          </cell>
          <cell r="J717">
            <v>0</v>
          </cell>
          <cell r="K717" t="str">
            <v>As Late As Possible</v>
          </cell>
          <cell r="M717">
            <v>41400</v>
          </cell>
        </row>
        <row r="718">
          <cell r="C718" t="str">
            <v>9401-C07</v>
          </cell>
          <cell r="D718" t="str">
            <v>Mechanical Completion 9401-C07 94CT340 HPU for positioning system West</v>
          </cell>
          <cell r="E718" t="str">
            <v>H.M10</v>
          </cell>
          <cell r="G718" t="str">
            <v>7-Day Workweek (10 hours)</v>
          </cell>
          <cell r="H718" t="str">
            <v>0d</v>
          </cell>
          <cell r="I718" t="str">
            <v>0d</v>
          </cell>
          <cell r="J718">
            <v>0</v>
          </cell>
          <cell r="K718" t="str">
            <v>As Late As Possible</v>
          </cell>
          <cell r="M718">
            <v>41409</v>
          </cell>
        </row>
        <row r="719">
          <cell r="C719" t="str">
            <v>9401-C01</v>
          </cell>
          <cell r="D719" t="str">
            <v>Mechanical Completion 9401-C01 Anker winch and positioning system 94YD001 Easth winch (3st)</v>
          </cell>
          <cell r="E719" t="str">
            <v>H.M10</v>
          </cell>
          <cell r="G719" t="str">
            <v>7-Day Workweek (10 hours)</v>
          </cell>
          <cell r="H719" t="str">
            <v>0d</v>
          </cell>
          <cell r="I719" t="str">
            <v>0d</v>
          </cell>
          <cell r="J719">
            <v>0</v>
          </cell>
          <cell r="K719" t="str">
            <v>As Late As Possible</v>
          </cell>
          <cell r="M719">
            <v>41418</v>
          </cell>
        </row>
        <row r="720">
          <cell r="C720" t="str">
            <v>9401-C02</v>
          </cell>
          <cell r="D720" t="str">
            <v>Mechanical Completion 9401-C02 Anker winch and positioning system 94YD005 South winch (3st)</v>
          </cell>
          <cell r="E720" t="str">
            <v>H.M20</v>
          </cell>
          <cell r="G720" t="str">
            <v>7-Day Workweek (10 hours)</v>
          </cell>
          <cell r="H720" t="str">
            <v>0d</v>
          </cell>
          <cell r="I720" t="str">
            <v>0d</v>
          </cell>
          <cell r="J720">
            <v>0</v>
          </cell>
          <cell r="K720" t="str">
            <v>As Late As Possible</v>
          </cell>
          <cell r="M720">
            <v>41422</v>
          </cell>
        </row>
        <row r="721">
          <cell r="C721" t="str">
            <v>9401-C03</v>
          </cell>
          <cell r="D721" t="str">
            <v>Mechanical Completion 9401-C03 Anker winch and positioning system 94YD009 West winch (5st)</v>
          </cell>
          <cell r="E721" t="str">
            <v>H.M10</v>
          </cell>
          <cell r="G721" t="str">
            <v>7-Day Workweek (10 hours)</v>
          </cell>
          <cell r="H721" t="str">
            <v>0d</v>
          </cell>
          <cell r="I721" t="str">
            <v>0d</v>
          </cell>
          <cell r="J721">
            <v>0</v>
          </cell>
          <cell r="K721" t="str">
            <v>As Late As Possible</v>
          </cell>
          <cell r="M721">
            <v>41425</v>
          </cell>
        </row>
        <row r="722">
          <cell r="C722" t="str">
            <v>9401-C08</v>
          </cell>
          <cell r="D722" t="str">
            <v>Mechanical Completion 9401-C08 Chain Tensioner Unit, East</v>
          </cell>
          <cell r="E722" t="str">
            <v>H.M10</v>
          </cell>
          <cell r="G722" t="str">
            <v>7-Day Workweek (10 hours)</v>
          </cell>
          <cell r="H722" t="str">
            <v>0d</v>
          </cell>
          <cell r="I722" t="str">
            <v>0d</v>
          </cell>
          <cell r="J722">
            <v>0</v>
          </cell>
          <cell r="K722" t="str">
            <v>As Late As Possible</v>
          </cell>
          <cell r="M722">
            <v>41452</v>
          </cell>
        </row>
        <row r="723">
          <cell r="C723" t="str">
            <v>9401-C09</v>
          </cell>
          <cell r="D723" t="str">
            <v>Mechanical Completion 9401-C09 Chain Tensioner Unit, South</v>
          </cell>
          <cell r="E723" t="str">
            <v>H.M20</v>
          </cell>
          <cell r="G723" t="str">
            <v>7-Day Workweek (10 hours)</v>
          </cell>
          <cell r="H723" t="str">
            <v>0d</v>
          </cell>
          <cell r="I723" t="str">
            <v>0d</v>
          </cell>
          <cell r="J723">
            <v>0</v>
          </cell>
          <cell r="K723" t="str">
            <v>As Late As Possible</v>
          </cell>
          <cell r="M723">
            <v>41463</v>
          </cell>
        </row>
        <row r="724">
          <cell r="C724" t="str">
            <v>9401-C11</v>
          </cell>
          <cell r="D724" t="str">
            <v>Mechanical Completion 9401-C11 Auxilliary Winches for Towing/Mooring Line handling</v>
          </cell>
          <cell r="E724" t="str">
            <v>H.M10</v>
          </cell>
          <cell r="G724" t="str">
            <v>7-Day Workweek (10 hours)</v>
          </cell>
          <cell r="H724" t="str">
            <v>0d</v>
          </cell>
          <cell r="I724" t="str">
            <v>0d</v>
          </cell>
          <cell r="J724">
            <v>0</v>
          </cell>
          <cell r="K724" t="str">
            <v>As Late As Possible</v>
          </cell>
          <cell r="M724">
            <v>41463</v>
          </cell>
        </row>
        <row r="725">
          <cell r="C725" t="str">
            <v>9401-C12</v>
          </cell>
          <cell r="D725" t="str">
            <v>Mechanical Completion 9401-C12 EFCS/Chain stopper, East</v>
          </cell>
          <cell r="E725" t="str">
            <v>H.M10</v>
          </cell>
          <cell r="G725" t="str">
            <v>7-Day Workweek (10 hours)</v>
          </cell>
          <cell r="H725" t="str">
            <v>0d</v>
          </cell>
          <cell r="I725" t="str">
            <v>0d</v>
          </cell>
          <cell r="J725">
            <v>0</v>
          </cell>
          <cell r="K725" t="str">
            <v>As Late As Possible</v>
          </cell>
          <cell r="M725">
            <v>41463</v>
          </cell>
        </row>
        <row r="726">
          <cell r="C726" t="str">
            <v>9401-C13</v>
          </cell>
          <cell r="D726" t="str">
            <v>Mechanical Completion 9401-C13 EFCS/Chain stopper, South</v>
          </cell>
          <cell r="E726" t="str">
            <v>H.M20</v>
          </cell>
          <cell r="G726" t="str">
            <v>7-Day Workweek (10 hours)</v>
          </cell>
          <cell r="H726" t="str">
            <v>0d</v>
          </cell>
          <cell r="I726" t="str">
            <v>0d</v>
          </cell>
          <cell r="J726">
            <v>0</v>
          </cell>
          <cell r="K726" t="str">
            <v>As Late As Possible</v>
          </cell>
          <cell r="M726">
            <v>41467</v>
          </cell>
        </row>
        <row r="727">
          <cell r="C727" t="str">
            <v>9401-C14</v>
          </cell>
          <cell r="D727" t="str">
            <v>Mechanical Completion 9401-C14 EFCS/Chain stopper, West</v>
          </cell>
          <cell r="E727" t="str">
            <v>H.M10</v>
          </cell>
          <cell r="G727" t="str">
            <v>7-Day Workweek (10 hours)</v>
          </cell>
          <cell r="H727" t="str">
            <v>0d</v>
          </cell>
          <cell r="I727" t="str">
            <v>0d</v>
          </cell>
          <cell r="J727">
            <v>0</v>
          </cell>
          <cell r="K727" t="str">
            <v>As Late As Possible</v>
          </cell>
          <cell r="M727">
            <v>41472</v>
          </cell>
        </row>
        <row r="728">
          <cell r="C728" t="str">
            <v>9401-C10</v>
          </cell>
          <cell r="D728" t="str">
            <v>Mechanical Completion 9401-C10 Chain Tensioner Unit, West</v>
          </cell>
          <cell r="E728" t="str">
            <v>H.M10</v>
          </cell>
          <cell r="G728" t="str">
            <v>7-Day Workweek (10 hours)</v>
          </cell>
          <cell r="H728" t="str">
            <v>0d</v>
          </cell>
          <cell r="I728" t="str">
            <v>0d</v>
          </cell>
          <cell r="J728">
            <v>0</v>
          </cell>
          <cell r="K728" t="str">
            <v>As Late As Possible</v>
          </cell>
          <cell r="M728">
            <v>41474</v>
          </cell>
        </row>
        <row r="729">
          <cell r="F729">
            <v>0</v>
          </cell>
          <cell r="G729" t="str">
            <v>7-Day Workweek (10 hours)</v>
          </cell>
          <cell r="H729" t="str">
            <v>15d</v>
          </cell>
          <cell r="I729" t="str">
            <v>15d</v>
          </cell>
          <cell r="J729">
            <v>0</v>
          </cell>
          <cell r="L729">
            <v>41505</v>
          </cell>
          <cell r="M729">
            <v>41516</v>
          </cell>
        </row>
        <row r="730">
          <cell r="C730" t="str">
            <v>9701-C04</v>
          </cell>
          <cell r="D730" t="str">
            <v>Mechanical Completion 9701-C04 Watertight sliding doors (Hull)</v>
          </cell>
          <cell r="E730" t="str">
            <v>H.G20</v>
          </cell>
          <cell r="G730" t="str">
            <v>7-Day Workweek (10 hours)</v>
          </cell>
          <cell r="H730" t="str">
            <v>0d</v>
          </cell>
          <cell r="I730" t="str">
            <v>0d</v>
          </cell>
          <cell r="J730">
            <v>0</v>
          </cell>
          <cell r="K730" t="str">
            <v>Finish On</v>
          </cell>
          <cell r="M730" t="str">
            <v>19-Aug-13*</v>
          </cell>
        </row>
        <row r="731">
          <cell r="C731" t="str">
            <v>9701-C01</v>
          </cell>
          <cell r="D731" t="str">
            <v>Mechanical Completion 9701-C01 Accomodation Systems LQ</v>
          </cell>
          <cell r="E731" t="str">
            <v>T.L10</v>
          </cell>
          <cell r="G731" t="str">
            <v>7-Day Workweek (10 hours)</v>
          </cell>
          <cell r="H731" t="str">
            <v>0d</v>
          </cell>
          <cell r="I731" t="str">
            <v>0d</v>
          </cell>
          <cell r="J731">
            <v>0</v>
          </cell>
          <cell r="K731" t="str">
            <v>Finish On</v>
          </cell>
          <cell r="M731" t="str">
            <v>30-Aug-13*</v>
          </cell>
        </row>
        <row r="732">
          <cell r="C732" t="str">
            <v>9701-C02</v>
          </cell>
          <cell r="D732" t="str">
            <v>Mechanical Completion 9701-C02 Galley Equipment</v>
          </cell>
          <cell r="E732" t="str">
            <v>T.L10</v>
          </cell>
          <cell r="G732" t="str">
            <v>7-Day Workweek (10 hours)</v>
          </cell>
          <cell r="H732" t="str">
            <v>0d</v>
          </cell>
          <cell r="I732" t="str">
            <v>0d</v>
          </cell>
          <cell r="J732">
            <v>0</v>
          </cell>
          <cell r="K732" t="str">
            <v>Finish On</v>
          </cell>
          <cell r="M732" t="str">
            <v>30-Aug-13*</v>
          </cell>
        </row>
        <row r="733">
          <cell r="C733" t="str">
            <v>9701-C03</v>
          </cell>
          <cell r="D733" t="str">
            <v>Mechanical Completion 9701-C03 Laundry Equipment</v>
          </cell>
          <cell r="E733" t="str">
            <v>T.L10</v>
          </cell>
          <cell r="G733" t="str">
            <v>7-Day Workweek (10 hours)</v>
          </cell>
          <cell r="H733" t="str">
            <v>0d</v>
          </cell>
          <cell r="I733" t="str">
            <v>0d</v>
          </cell>
          <cell r="J733">
            <v>0</v>
          </cell>
          <cell r="K733" t="str">
            <v>Finish On</v>
          </cell>
          <cell r="M733" t="str">
            <v>30-Aug-13*</v>
          </cell>
        </row>
        <row r="734">
          <cell r="F734">
            <v>0</v>
          </cell>
          <cell r="G734" t="str">
            <v>7-Day Workweek (10 hours)</v>
          </cell>
          <cell r="H734" t="str">
            <v>0d</v>
          </cell>
          <cell r="I734" t="str">
            <v>0d</v>
          </cell>
          <cell r="J734">
            <v>0</v>
          </cell>
          <cell r="L734">
            <v>41479</v>
          </cell>
          <cell r="M734">
            <v>41479</v>
          </cell>
        </row>
        <row r="735">
          <cell r="C735" t="str">
            <v>9801-C01</v>
          </cell>
          <cell r="D735" t="str">
            <v>Mechanical Completion 9801-C01 Cathodic protection of Ballast tanks</v>
          </cell>
          <cell r="E735" t="str">
            <v>H.B10</v>
          </cell>
          <cell r="G735" t="str">
            <v>7-Day Workweek (10 hours)</v>
          </cell>
          <cell r="H735" t="str">
            <v>0d</v>
          </cell>
          <cell r="I735" t="str">
            <v>0d</v>
          </cell>
          <cell r="J735">
            <v>0</v>
          </cell>
          <cell r="K735" t="str">
            <v>As Late As Possible</v>
          </cell>
          <cell r="M735">
            <v>41479</v>
          </cell>
        </row>
        <row r="736">
          <cell r="F736">
            <v>0</v>
          </cell>
          <cell r="H736" t="str">
            <v>99d</v>
          </cell>
          <cell r="I736" t="str">
            <v>99d</v>
          </cell>
          <cell r="J736">
            <v>0</v>
          </cell>
          <cell r="L736">
            <v>41465</v>
          </cell>
          <cell r="M736">
            <v>41568</v>
          </cell>
        </row>
        <row r="737">
          <cell r="C737" t="str">
            <v>9901-C04</v>
          </cell>
          <cell r="D737" t="str">
            <v>Mechanical Completion 9901-C04 C10 &amp; C20 Cargo Tanks North &amp; South</v>
          </cell>
          <cell r="E737" t="str">
            <v>H.C10</v>
          </cell>
          <cell r="G737" t="str">
            <v>7-Day Workweek (10 hours)</v>
          </cell>
          <cell r="H737" t="str">
            <v>0d</v>
          </cell>
          <cell r="I737" t="str">
            <v>0d</v>
          </cell>
          <cell r="J737">
            <v>0</v>
          </cell>
          <cell r="K737" t="str">
            <v>As Late As Possible</v>
          </cell>
          <cell r="M737">
            <v>41465</v>
          </cell>
        </row>
        <row r="738">
          <cell r="C738" t="str">
            <v>9901-C39</v>
          </cell>
          <cell r="D738" t="str">
            <v>Mechanical Completion 9901-C39 D10 Offloading Station Area EL:44.000 to 69.000</v>
          </cell>
          <cell r="E738" t="str">
            <v>T.D10</v>
          </cell>
          <cell r="G738" t="str">
            <v>7-Day Workweek (10 hours)</v>
          </cell>
          <cell r="H738" t="str">
            <v>0d</v>
          </cell>
          <cell r="I738" t="str">
            <v>0d</v>
          </cell>
          <cell r="J738">
            <v>0</v>
          </cell>
          <cell r="K738" t="str">
            <v>As Late As Possible</v>
          </cell>
          <cell r="M738">
            <v>41466</v>
          </cell>
        </row>
        <row r="739">
          <cell r="C739" t="str">
            <v>9901-C10</v>
          </cell>
          <cell r="D739" t="str">
            <v>Mechanical Completion 9901-C10 R10 Riser Area</v>
          </cell>
          <cell r="E739" t="str">
            <v>T.P10</v>
          </cell>
          <cell r="G739" t="str">
            <v>7-Day Workweek (10 hours)</v>
          </cell>
          <cell r="H739" t="str">
            <v>0d</v>
          </cell>
          <cell r="I739" t="str">
            <v>0d</v>
          </cell>
          <cell r="J739">
            <v>0</v>
          </cell>
          <cell r="K739" t="str">
            <v>As Late As Possible</v>
          </cell>
          <cell r="M739">
            <v>41480</v>
          </cell>
        </row>
        <row r="740">
          <cell r="C740" t="str">
            <v>9901-C03</v>
          </cell>
          <cell r="D740" t="str">
            <v>Mechanical Completion 9901-C03 B10 &amp; B20 Ballast Tanks North &amp; South</v>
          </cell>
          <cell r="E740" t="str">
            <v>H.B10</v>
          </cell>
          <cell r="G740" t="str">
            <v>7-Day Workweek (10 hours)</v>
          </cell>
          <cell r="H740" t="str">
            <v>0d</v>
          </cell>
          <cell r="I740" t="str">
            <v>0d</v>
          </cell>
          <cell r="J740">
            <v>0</v>
          </cell>
          <cell r="K740" t="str">
            <v>As Late As Possible</v>
          </cell>
          <cell r="M740">
            <v>41487</v>
          </cell>
        </row>
        <row r="741">
          <cell r="C741" t="str">
            <v>9901-C28</v>
          </cell>
          <cell r="D741" t="str">
            <v>Mechanical Completion 9901-C28 Normal Heat tracing for piping (system)</v>
          </cell>
          <cell r="G741" t="str">
            <v>6-Day Workweek (10 hrs)</v>
          </cell>
          <cell r="H741" t="str">
            <v>0d</v>
          </cell>
          <cell r="I741" t="str">
            <v>0d</v>
          </cell>
          <cell r="J741">
            <v>0</v>
          </cell>
          <cell r="K741" t="str">
            <v>Finish On</v>
          </cell>
          <cell r="M741" t="str">
            <v>12-Aug-13*</v>
          </cell>
        </row>
        <row r="742">
          <cell r="C742" t="str">
            <v>9901-C11</v>
          </cell>
          <cell r="D742" t="str">
            <v>Mechanical Completion 9901-C11 Z10 Main Material handling route. El: 50,000 EL:55,500kk EL:60,000 EL: 69,000 and EL:76,0</v>
          </cell>
          <cell r="E742" t="str">
            <v>T.Z10</v>
          </cell>
          <cell r="G742" t="str">
            <v>7-Day Workweek (10 hours)</v>
          </cell>
          <cell r="H742" t="str">
            <v>0d</v>
          </cell>
          <cell r="I742" t="str">
            <v>0d</v>
          </cell>
          <cell r="J742">
            <v>0</v>
          </cell>
          <cell r="K742" t="str">
            <v>Finish On</v>
          </cell>
          <cell r="M742" t="str">
            <v>30-Aug-13*</v>
          </cell>
        </row>
        <row r="743">
          <cell r="C743" t="str">
            <v>9901-C42</v>
          </cell>
          <cell r="D743" t="str">
            <v>Mechanical Completion 9901-C42 External Hull El. 00.000 to El. + 31.500 - Sea Chests and Caissons</v>
          </cell>
          <cell r="G743" t="str">
            <v>7-Day Workweek (10 hours)</v>
          </cell>
          <cell r="H743" t="str">
            <v>0d</v>
          </cell>
          <cell r="I743" t="str">
            <v>0d</v>
          </cell>
          <cell r="J743">
            <v>0</v>
          </cell>
          <cell r="K743" t="str">
            <v>Finish On</v>
          </cell>
          <cell r="M743" t="str">
            <v>30-Aug-13*</v>
          </cell>
        </row>
        <row r="744">
          <cell r="C744" t="str">
            <v>9901-C21</v>
          </cell>
          <cell r="D744" t="str">
            <v>Mechanical Completion 9901-C21 P40, P50, P60 and P70. EL:60.000 Level 1</v>
          </cell>
          <cell r="E744" t="str">
            <v>T.P40</v>
          </cell>
          <cell r="G744" t="str">
            <v>7-Day Workweek (10 hours)</v>
          </cell>
          <cell r="H744" t="str">
            <v>0d</v>
          </cell>
          <cell r="I744" t="str">
            <v>0d</v>
          </cell>
          <cell r="J744">
            <v>0</v>
          </cell>
          <cell r="K744" t="str">
            <v>As Late As Possible</v>
          </cell>
          <cell r="M744">
            <v>41516</v>
          </cell>
        </row>
        <row r="745">
          <cell r="C745" t="str">
            <v>9901-C22</v>
          </cell>
          <cell r="D745" t="str">
            <v>Mechanical Completion 9901-C22 Q10, Q20, Q30 and Q40. EL:64,500 Utility deck</v>
          </cell>
          <cell r="E745" t="str">
            <v>T.Q10</v>
          </cell>
          <cell r="G745" t="str">
            <v>7-Day Workweek (10 hours)</v>
          </cell>
          <cell r="H745" t="str">
            <v>0d</v>
          </cell>
          <cell r="I745" t="str">
            <v>0d</v>
          </cell>
          <cell r="J745">
            <v>0</v>
          </cell>
          <cell r="K745" t="str">
            <v>As Late As Possible</v>
          </cell>
          <cell r="M745">
            <v>41516</v>
          </cell>
        </row>
        <row r="746">
          <cell r="C746" t="str">
            <v>9901-C23</v>
          </cell>
          <cell r="D746" t="str">
            <v>Mechanical Completion 9901-C23 Q10, Q20, Q30 and Q40. EL:69,000 Level 2</v>
          </cell>
          <cell r="E746" t="str">
            <v>T.Q10</v>
          </cell>
          <cell r="G746" t="str">
            <v>7-Day Workweek (10 hours)</v>
          </cell>
          <cell r="H746" t="str">
            <v>0d</v>
          </cell>
          <cell r="I746" t="str">
            <v>0d</v>
          </cell>
          <cell r="J746">
            <v>0</v>
          </cell>
          <cell r="K746" t="str">
            <v>As Late As Possible</v>
          </cell>
          <cell r="M746">
            <v>41516</v>
          </cell>
        </row>
        <row r="747">
          <cell r="C747" t="str">
            <v>9901-C24</v>
          </cell>
          <cell r="D747" t="str">
            <v>Mechanical Completion 9901-C24 P10, P20, P30 and F10 EL:69,000 Level 2</v>
          </cell>
          <cell r="E747" t="str">
            <v>T.P10</v>
          </cell>
          <cell r="G747" t="str">
            <v>7-Day Workweek (10 hours)</v>
          </cell>
          <cell r="H747" t="str">
            <v>0d</v>
          </cell>
          <cell r="I747" t="str">
            <v>0d</v>
          </cell>
          <cell r="J747">
            <v>0</v>
          </cell>
          <cell r="K747" t="str">
            <v>As Late As Possible</v>
          </cell>
          <cell r="M747">
            <v>41516</v>
          </cell>
        </row>
        <row r="748">
          <cell r="C748" t="str">
            <v>9901-C25</v>
          </cell>
          <cell r="D748" t="str">
            <v>Mechanical Completion 9901-C25 P40, P50, P60 and P70. EL:69.000 Level 2</v>
          </cell>
          <cell r="E748" t="str">
            <v>T.P30</v>
          </cell>
          <cell r="G748" t="str">
            <v>7-Day Workweek (10 hours)</v>
          </cell>
          <cell r="H748" t="str">
            <v>0d</v>
          </cell>
          <cell r="I748" t="str">
            <v>0d</v>
          </cell>
          <cell r="J748">
            <v>0</v>
          </cell>
          <cell r="K748" t="str">
            <v>As Late As Possible</v>
          </cell>
          <cell r="M748">
            <v>41516</v>
          </cell>
        </row>
        <row r="749">
          <cell r="C749" t="str">
            <v>9901-C26</v>
          </cell>
          <cell r="D749" t="str">
            <v>Mechanical Completion 9901-C26 Spare Storage Area. Z10, Totetank Laydown Area EL:76.000</v>
          </cell>
          <cell r="E749" t="str">
            <v>T.P20</v>
          </cell>
          <cell r="G749" t="str">
            <v>7-Day Workweek (10 hours)</v>
          </cell>
          <cell r="H749" t="str">
            <v>0d</v>
          </cell>
          <cell r="I749" t="str">
            <v>0d</v>
          </cell>
          <cell r="J749">
            <v>0</v>
          </cell>
          <cell r="K749" t="str">
            <v>As Late As Possible</v>
          </cell>
          <cell r="M749">
            <v>41516</v>
          </cell>
        </row>
        <row r="750">
          <cell r="C750" t="str">
            <v>9901-C32</v>
          </cell>
          <cell r="D750" t="str">
            <v>Mechanical Completion 9901-C32 L14 Living Quarter, level 4</v>
          </cell>
          <cell r="E750" t="str">
            <v>T.L10.L14</v>
          </cell>
          <cell r="G750" t="str">
            <v>7-Day Workweek (10 hours)</v>
          </cell>
          <cell r="H750" t="str">
            <v>0d</v>
          </cell>
          <cell r="I750" t="str">
            <v>0d</v>
          </cell>
          <cell r="J750">
            <v>0</v>
          </cell>
          <cell r="K750" t="str">
            <v>Finish On</v>
          </cell>
          <cell r="M750" t="str">
            <v>30-Aug-13*</v>
          </cell>
        </row>
        <row r="751">
          <cell r="C751" t="str">
            <v>9901-C33</v>
          </cell>
          <cell r="D751" t="str">
            <v>Mechanical Completion 9901-C33 L15 Living Quarter, level 5</v>
          </cell>
          <cell r="E751" t="str">
            <v>T.L10.L15</v>
          </cell>
          <cell r="G751" t="str">
            <v>7-Day Workweek (10 hours)</v>
          </cell>
          <cell r="H751" t="str">
            <v>0d</v>
          </cell>
          <cell r="I751" t="str">
            <v>0d</v>
          </cell>
          <cell r="J751">
            <v>0</v>
          </cell>
          <cell r="K751" t="str">
            <v>Finish On</v>
          </cell>
          <cell r="M751" t="str">
            <v>30-Aug-13*</v>
          </cell>
        </row>
        <row r="752">
          <cell r="C752" t="str">
            <v>9901-C41</v>
          </cell>
          <cell r="D752" t="str">
            <v>Mechanical Completion 9901-C41 F20 Flare Boom All Flare Structure</v>
          </cell>
          <cell r="E752" t="str">
            <v>T.F20</v>
          </cell>
          <cell r="G752" t="str">
            <v>7-Day Workweek (10 hours)</v>
          </cell>
          <cell r="H752" t="str">
            <v>0d</v>
          </cell>
          <cell r="I752" t="str">
            <v>0d</v>
          </cell>
          <cell r="J752">
            <v>0</v>
          </cell>
          <cell r="K752" t="str">
            <v>As Late As Possible</v>
          </cell>
          <cell r="M752">
            <v>41516</v>
          </cell>
        </row>
        <row r="753">
          <cell r="C753" t="str">
            <v>9901-C17</v>
          </cell>
          <cell r="D753" t="str">
            <v>Mechanical Completion 9901-C17 P40, P50, P60 and P70. EL:50.000 Process Deck</v>
          </cell>
          <cell r="E753" t="str">
            <v>T.P40</v>
          </cell>
          <cell r="G753" t="str">
            <v>7-Day Workweek (10 hours)</v>
          </cell>
          <cell r="H753" t="str">
            <v>0d</v>
          </cell>
          <cell r="I753" t="str">
            <v>0d</v>
          </cell>
          <cell r="J753">
            <v>0</v>
          </cell>
          <cell r="K753" t="str">
            <v>Finish On</v>
          </cell>
          <cell r="M753" t="str">
            <v>30-Aug-13*</v>
          </cell>
        </row>
        <row r="754">
          <cell r="C754" t="str">
            <v>9901-C18</v>
          </cell>
          <cell r="D754" t="str">
            <v>Mechanical Completion 9901-C18 Q10, Q20, Q30 and Q40. EL:55,500 Utility deck</v>
          </cell>
          <cell r="E754" t="str">
            <v>T.Q10</v>
          </cell>
          <cell r="G754" t="str">
            <v>7-Day Workweek (10 hours)</v>
          </cell>
          <cell r="H754" t="str">
            <v>0d</v>
          </cell>
          <cell r="I754" t="str">
            <v>0d</v>
          </cell>
          <cell r="J754">
            <v>0</v>
          </cell>
          <cell r="K754" t="str">
            <v>Finish On</v>
          </cell>
          <cell r="M754" t="str">
            <v>30-Aug-13*</v>
          </cell>
        </row>
        <row r="755">
          <cell r="C755" t="str">
            <v>9901-C36</v>
          </cell>
          <cell r="D755" t="str">
            <v>Mechanical Completion 9901-C36 L18 Living Quarter, level 8</v>
          </cell>
          <cell r="E755" t="str">
            <v>T.L10.L18</v>
          </cell>
          <cell r="G755" t="str">
            <v>7-Day Workweek (10 hours)</v>
          </cell>
          <cell r="H755" t="str">
            <v>0d</v>
          </cell>
          <cell r="I755" t="str">
            <v>0d</v>
          </cell>
          <cell r="J755">
            <v>0</v>
          </cell>
          <cell r="K755" t="str">
            <v>Finish On</v>
          </cell>
          <cell r="M755" t="str">
            <v>30-Aug-13*</v>
          </cell>
        </row>
        <row r="756">
          <cell r="C756" t="str">
            <v>9901-C37</v>
          </cell>
          <cell r="D756" t="str">
            <v>Mechanical Completion 9901-C37 L19 Living Quarter, level 9</v>
          </cell>
          <cell r="E756" t="str">
            <v>T.L10.L19</v>
          </cell>
          <cell r="G756" t="str">
            <v>7-Day Workweek (10 hours)</v>
          </cell>
          <cell r="H756" t="str">
            <v>0d</v>
          </cell>
          <cell r="I756" t="str">
            <v>0d</v>
          </cell>
          <cell r="J756">
            <v>0</v>
          </cell>
          <cell r="K756" t="str">
            <v>Finish On</v>
          </cell>
          <cell r="M756" t="str">
            <v>30-Aug-13*</v>
          </cell>
        </row>
        <row r="757">
          <cell r="C757" t="str">
            <v>9901-C30</v>
          </cell>
          <cell r="D757" t="str">
            <v>Mechanical Completion 9901-C30 L12 Living Quarter, level 2</v>
          </cell>
          <cell r="E757" t="str">
            <v>T.L10.L12</v>
          </cell>
          <cell r="G757" t="str">
            <v>7-Day Workweek (10 hours)</v>
          </cell>
          <cell r="H757" t="str">
            <v>0d</v>
          </cell>
          <cell r="I757" t="str">
            <v>0d</v>
          </cell>
          <cell r="J757">
            <v>0</v>
          </cell>
          <cell r="K757" t="str">
            <v>Finish On</v>
          </cell>
          <cell r="M757" t="str">
            <v>30-Aug-13*</v>
          </cell>
        </row>
        <row r="758">
          <cell r="C758" t="str">
            <v>9901-C31</v>
          </cell>
          <cell r="D758" t="str">
            <v>Mechanical Completion 9901-C31 L13 Living Quarter, level 3</v>
          </cell>
          <cell r="E758" t="str">
            <v>T.L10.L13</v>
          </cell>
          <cell r="G758" t="str">
            <v>7-Day Workweek (10 hours)</v>
          </cell>
          <cell r="H758" t="str">
            <v>0d</v>
          </cell>
          <cell r="I758" t="str">
            <v>0d</v>
          </cell>
          <cell r="J758">
            <v>0</v>
          </cell>
          <cell r="K758" t="str">
            <v>Finish On</v>
          </cell>
          <cell r="M758" t="str">
            <v>30-Aug-13*</v>
          </cell>
        </row>
        <row r="759">
          <cell r="C759" t="str">
            <v>9901-C15</v>
          </cell>
          <cell r="D759" t="str">
            <v>Mechanical Completion 9901-C15 Q10, Q20, Q30 and Q40. EL:50,000 Process deck</v>
          </cell>
          <cell r="E759" t="str">
            <v>T.Q10</v>
          </cell>
          <cell r="G759" t="str">
            <v>7-Day Workweek (10 hours)</v>
          </cell>
          <cell r="H759" t="str">
            <v>0d</v>
          </cell>
          <cell r="I759" t="str">
            <v>0d</v>
          </cell>
          <cell r="J759">
            <v>0</v>
          </cell>
          <cell r="K759" t="str">
            <v>Finish On</v>
          </cell>
          <cell r="M759" t="str">
            <v>30-Aug-13*</v>
          </cell>
        </row>
        <row r="760">
          <cell r="C760" t="str">
            <v>9901-C16</v>
          </cell>
          <cell r="D760" t="str">
            <v>Mechanical Completion 9901-C16 P10, P20, P30 and F10 EL:50,000 Process deck</v>
          </cell>
          <cell r="E760" t="str">
            <v>T.P10</v>
          </cell>
          <cell r="G760" t="str">
            <v>7-Day Workweek (10 hours)</v>
          </cell>
          <cell r="H760" t="str">
            <v>0d</v>
          </cell>
          <cell r="I760" t="str">
            <v>0d</v>
          </cell>
          <cell r="J760">
            <v>0</v>
          </cell>
          <cell r="K760" t="str">
            <v>Finish On</v>
          </cell>
          <cell r="M760" t="str">
            <v>30-Aug-13*</v>
          </cell>
        </row>
        <row r="761">
          <cell r="C761" t="str">
            <v>9901-C34</v>
          </cell>
          <cell r="D761" t="str">
            <v>Mechanical Completion 9901-C34 L16 Living Quarter, level 6</v>
          </cell>
          <cell r="E761" t="str">
            <v>T.L10.L16</v>
          </cell>
          <cell r="G761" t="str">
            <v>7-Day Workweek (10 hours)</v>
          </cell>
          <cell r="H761" t="str">
            <v>0d</v>
          </cell>
          <cell r="I761" t="str">
            <v>0d</v>
          </cell>
          <cell r="J761">
            <v>0</v>
          </cell>
          <cell r="K761" t="str">
            <v>Finish On</v>
          </cell>
          <cell r="M761" t="str">
            <v>30-Aug-13*</v>
          </cell>
        </row>
        <row r="762">
          <cell r="C762" t="str">
            <v>9901-C35</v>
          </cell>
          <cell r="D762" t="str">
            <v>Mechanical Completion 9901-C35 L17 Living Quarter, level 7</v>
          </cell>
          <cell r="E762" t="str">
            <v>T.L10.L17</v>
          </cell>
          <cell r="G762" t="str">
            <v>7-Day Workweek (10 hours)</v>
          </cell>
          <cell r="H762" t="str">
            <v>0d</v>
          </cell>
          <cell r="I762" t="str">
            <v>0d</v>
          </cell>
          <cell r="J762">
            <v>0</v>
          </cell>
          <cell r="K762" t="str">
            <v>Finish On</v>
          </cell>
          <cell r="M762" t="str">
            <v>30-Aug-13*</v>
          </cell>
        </row>
        <row r="763">
          <cell r="C763" t="str">
            <v>9901-C19</v>
          </cell>
          <cell r="D763" t="str">
            <v>Mechanical Completion 9901-C19 Q10, Q20, Q30 and Q40. EL:60,000 Level 1</v>
          </cell>
          <cell r="E763" t="str">
            <v>T.Q10</v>
          </cell>
          <cell r="G763" t="str">
            <v>7-Day Workweek (10 hours)</v>
          </cell>
          <cell r="H763" t="str">
            <v>0d</v>
          </cell>
          <cell r="I763" t="str">
            <v>0d</v>
          </cell>
          <cell r="J763">
            <v>0</v>
          </cell>
          <cell r="K763" t="str">
            <v>Finish On</v>
          </cell>
          <cell r="M763" t="str">
            <v>30-Aug-13*</v>
          </cell>
        </row>
        <row r="764">
          <cell r="C764" t="str">
            <v>9901-C20</v>
          </cell>
          <cell r="D764" t="str">
            <v>Mechanical Completion 9901-C20 P10, P20, P30 and F10 EL:60,000 Level 1</v>
          </cell>
          <cell r="E764" t="str">
            <v>T.P10</v>
          </cell>
          <cell r="G764" t="str">
            <v>7-Day Workweek (10 hours)</v>
          </cell>
          <cell r="H764" t="str">
            <v>0d</v>
          </cell>
          <cell r="I764" t="str">
            <v>0d</v>
          </cell>
          <cell r="J764">
            <v>0</v>
          </cell>
          <cell r="K764" t="str">
            <v>Finish On</v>
          </cell>
          <cell r="M764" t="str">
            <v>30-Aug-13*</v>
          </cell>
        </row>
        <row r="765">
          <cell r="C765" t="str">
            <v>9901-C27</v>
          </cell>
          <cell r="D765" t="str">
            <v>Mechanical Completion 9901-C27 H10 Helideck EL: 76,700</v>
          </cell>
          <cell r="E765" t="str">
            <v>T.H10</v>
          </cell>
          <cell r="G765" t="str">
            <v>7-Day Workweek (10 hours)</v>
          </cell>
          <cell r="H765" t="str">
            <v>0d</v>
          </cell>
          <cell r="I765" t="str">
            <v>0d</v>
          </cell>
          <cell r="J765">
            <v>0</v>
          </cell>
          <cell r="K765" t="str">
            <v>Finish On</v>
          </cell>
          <cell r="M765" t="str">
            <v>30-Aug-13*</v>
          </cell>
        </row>
        <row r="766">
          <cell r="C766" t="str">
            <v>9901-C29</v>
          </cell>
          <cell r="D766" t="str">
            <v>Mechanical Completion 9901-C29 L11 Living Quarter, level 1</v>
          </cell>
          <cell r="E766" t="str">
            <v>T.L10.L11</v>
          </cell>
          <cell r="G766" t="str">
            <v>7-Day Workweek (10 hours)</v>
          </cell>
          <cell r="H766" t="str">
            <v>0d</v>
          </cell>
          <cell r="I766" t="str">
            <v>0d</v>
          </cell>
          <cell r="J766">
            <v>0</v>
          </cell>
          <cell r="K766" t="str">
            <v>Finish On</v>
          </cell>
          <cell r="M766" t="str">
            <v>30-Aug-13*</v>
          </cell>
        </row>
        <row r="767">
          <cell r="C767" t="str">
            <v>9901-C38</v>
          </cell>
          <cell r="D767" t="str">
            <v>Mechanical Completion 9901-C38 L20 Living Quarter, level 10 (Weather Deck)</v>
          </cell>
          <cell r="E767" t="str">
            <v>T.L20</v>
          </cell>
          <cell r="G767" t="str">
            <v>7-Day Workweek (10 hours)</v>
          </cell>
          <cell r="H767" t="str">
            <v>0d</v>
          </cell>
          <cell r="I767" t="str">
            <v>0d</v>
          </cell>
          <cell r="J767">
            <v>0</v>
          </cell>
          <cell r="K767" t="str">
            <v>Finish On</v>
          </cell>
          <cell r="M767" t="str">
            <v>30-Aug-13*</v>
          </cell>
        </row>
        <row r="768">
          <cell r="C768" t="str">
            <v>9901-C06</v>
          </cell>
          <cell r="D768" t="str">
            <v>Mechanical Completion 9901-C06 P40, P50, P60 and P70. EL:55.500 Utility Deck</v>
          </cell>
          <cell r="E768" t="str">
            <v>T.P10</v>
          </cell>
          <cell r="G768" t="str">
            <v>7-Day Workweek (10 hours)</v>
          </cell>
          <cell r="H768" t="str">
            <v>0d</v>
          </cell>
          <cell r="I768" t="str">
            <v>0d</v>
          </cell>
          <cell r="J768">
            <v>0</v>
          </cell>
          <cell r="K768" t="str">
            <v>As Late As Possible</v>
          </cell>
          <cell r="M768">
            <v>41517</v>
          </cell>
        </row>
        <row r="769">
          <cell r="C769" t="str">
            <v>9901-C08</v>
          </cell>
          <cell r="D769" t="str">
            <v>Mechanical Completion 9901-C08 P40, P50, P60 and P70. EL:64.500 Utility Deck</v>
          </cell>
          <cell r="E769" t="str">
            <v>T.P10</v>
          </cell>
          <cell r="G769" t="str">
            <v>7-Day Workweek (10 hours)</v>
          </cell>
          <cell r="H769" t="str">
            <v>0d</v>
          </cell>
          <cell r="I769" t="str">
            <v>0d</v>
          </cell>
          <cell r="J769">
            <v>0</v>
          </cell>
          <cell r="K769" t="str">
            <v>As Late As Possible</v>
          </cell>
          <cell r="M769">
            <v>41517</v>
          </cell>
        </row>
        <row r="770">
          <cell r="C770" t="str">
            <v>9901-C09</v>
          </cell>
          <cell r="D770" t="str">
            <v>Mechanical Completion 9901-C09 Normal Heat tracing for Area</v>
          </cell>
          <cell r="G770" t="str">
            <v>6-Day Workweek (10 hrs)</v>
          </cell>
          <cell r="H770" t="str">
            <v>0d</v>
          </cell>
          <cell r="I770" t="str">
            <v>0d</v>
          </cell>
          <cell r="J770">
            <v>0</v>
          </cell>
          <cell r="K770" t="str">
            <v>Finish On</v>
          </cell>
          <cell r="M770" t="str">
            <v>02-Sep-13*</v>
          </cell>
        </row>
        <row r="771">
          <cell r="C771" t="str">
            <v>9901-C13</v>
          </cell>
          <cell r="D771" t="str">
            <v>Mechanical Completion 9901-C13 M30, GIS Room / Riser Hang-Off Area</v>
          </cell>
          <cell r="E771" t="str">
            <v>H.M30</v>
          </cell>
          <cell r="G771" t="str">
            <v>7-Day Workweek (10 hours)</v>
          </cell>
          <cell r="H771" t="str">
            <v>0d</v>
          </cell>
          <cell r="I771" t="str">
            <v>0d</v>
          </cell>
          <cell r="J771">
            <v>0</v>
          </cell>
          <cell r="K771" t="str">
            <v>As Late As Possible</v>
          </cell>
          <cell r="M771">
            <v>41550</v>
          </cell>
        </row>
        <row r="772">
          <cell r="C772" t="str">
            <v>9901-C14</v>
          </cell>
          <cell r="D772" t="str">
            <v>Mechanical Completion 9901-C14 Emergency Heat tracing for Area</v>
          </cell>
          <cell r="G772" t="str">
            <v>6-Day Workweek (10 hrs)</v>
          </cell>
          <cell r="H772" t="str">
            <v>0d</v>
          </cell>
          <cell r="I772" t="str">
            <v>0d</v>
          </cell>
          <cell r="J772">
            <v>0</v>
          </cell>
          <cell r="K772" t="str">
            <v>As Late As Possible</v>
          </cell>
          <cell r="M772">
            <v>41557</v>
          </cell>
        </row>
        <row r="773">
          <cell r="C773" t="str">
            <v>9901-C01</v>
          </cell>
          <cell r="D773" t="str">
            <v>Mechanical Completion 9901-C01 G10 &amp; G20 Center Shaft Area EL:0.000 to 40.000</v>
          </cell>
          <cell r="E773" t="str">
            <v>H.G10</v>
          </cell>
          <cell r="G773" t="str">
            <v>7-Day Workweek (10 hours)</v>
          </cell>
          <cell r="H773" t="str">
            <v>0d</v>
          </cell>
          <cell r="I773" t="str">
            <v>0d</v>
          </cell>
          <cell r="J773">
            <v>0</v>
          </cell>
          <cell r="K773" t="str">
            <v>As Late As Possible</v>
          </cell>
          <cell r="M773">
            <v>41562</v>
          </cell>
        </row>
        <row r="774">
          <cell r="C774" t="str">
            <v>9901-C40</v>
          </cell>
          <cell r="D774" t="str">
            <v>Mechanical Completion 9901-C40 Emergency Heat tracing for piping (system)</v>
          </cell>
          <cell r="G774" t="str">
            <v>6-Day Workweek (10 hrs)</v>
          </cell>
          <cell r="H774" t="str">
            <v>0d</v>
          </cell>
          <cell r="I774" t="str">
            <v>0d</v>
          </cell>
          <cell r="J774">
            <v>0</v>
          </cell>
          <cell r="K774" t="str">
            <v>As Late As Possible</v>
          </cell>
          <cell r="M774">
            <v>41563</v>
          </cell>
        </row>
        <row r="775">
          <cell r="C775" t="str">
            <v>9901-C02</v>
          </cell>
          <cell r="D775" t="str">
            <v>Mechanical Completion 9901-C02 N10 North Shaft Area EL:0.000 to 40.000</v>
          </cell>
          <cell r="E775" t="str">
            <v>H.N10</v>
          </cell>
          <cell r="G775" t="str">
            <v>7-Day Workweek (10 hours)</v>
          </cell>
          <cell r="H775" t="str">
            <v>0d</v>
          </cell>
          <cell r="I775" t="str">
            <v>0d</v>
          </cell>
          <cell r="J775">
            <v>0</v>
          </cell>
          <cell r="K775" t="str">
            <v>As Late As Possible</v>
          </cell>
          <cell r="M775">
            <v>41564</v>
          </cell>
        </row>
        <row r="776">
          <cell r="C776" t="str">
            <v>9901-C05</v>
          </cell>
          <cell r="D776" t="str">
            <v>Mechanical Completion 9901-C05 P10, P20, P30 and F10 EL:55.500 Utility Deck</v>
          </cell>
          <cell r="E776" t="str">
            <v>T.P10</v>
          </cell>
          <cell r="G776" t="str">
            <v>7-Day Workweek (10 hours)</v>
          </cell>
          <cell r="H776" t="str">
            <v>0d</v>
          </cell>
          <cell r="I776" t="str">
            <v>0d</v>
          </cell>
          <cell r="J776">
            <v>0</v>
          </cell>
          <cell r="K776" t="str">
            <v>As Late As Possible</v>
          </cell>
          <cell r="M776">
            <v>41566</v>
          </cell>
        </row>
        <row r="777">
          <cell r="C777" t="str">
            <v>9901-C07</v>
          </cell>
          <cell r="D777" t="str">
            <v>Mechanical Completion 9901-C07 P10, P20, P30 and F10 EL:64.500 Utility Deck</v>
          </cell>
          <cell r="E777" t="str">
            <v>T.P10</v>
          </cell>
          <cell r="G777" t="str">
            <v>7-Day Workweek (10 hours)</v>
          </cell>
          <cell r="H777" t="str">
            <v>0d</v>
          </cell>
          <cell r="I777" t="str">
            <v>0d</v>
          </cell>
          <cell r="J777">
            <v>0</v>
          </cell>
          <cell r="K777" t="str">
            <v>As Late As Possible</v>
          </cell>
          <cell r="M777">
            <v>41566</v>
          </cell>
        </row>
        <row r="778">
          <cell r="C778" t="str">
            <v>9901-C12</v>
          </cell>
          <cell r="D778" t="str">
            <v>Mechanical Completion 9901-C12 M10, M20 Main Deck North and South</v>
          </cell>
          <cell r="E778" t="str">
            <v>H.M10</v>
          </cell>
          <cell r="G778" t="str">
            <v>7-Day Workweek (10 hours)</v>
          </cell>
          <cell r="H778" t="str">
            <v>0d</v>
          </cell>
          <cell r="I778" t="str">
            <v>0d</v>
          </cell>
          <cell r="J778">
            <v>0</v>
          </cell>
          <cell r="K778" t="str">
            <v>As Late As Possible</v>
          </cell>
          <cell r="M778">
            <v>41568</v>
          </cell>
        </row>
      </sheetData>
      <sheetData sheetId="2"/>
      <sheetData sheetId="3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HI RFC Sequnce"/>
      <sheetName val="Eni Comm Baseline 1.0 RFC Dates"/>
      <sheetName val="ProCosys RFC Dates"/>
      <sheetName val="Sheet1"/>
    </sheetNames>
    <sheetDataSet>
      <sheetData sheetId="0" refreshError="1"/>
      <sheetData sheetId="1">
        <row r="1">
          <cell r="B1" t="str">
            <v>Sub-System / Comm Pkg</v>
          </cell>
          <cell r="C1" t="str">
            <v>Activity Name</v>
          </cell>
          <cell r="D1" t="str">
            <v>Main Area</v>
          </cell>
          <cell r="E1" t="str">
            <v>Original Duration</v>
          </cell>
          <cell r="F1" t="str">
            <v>Start</v>
          </cell>
          <cell r="G1" t="str">
            <v>Finish</v>
          </cell>
          <cell r="H1" t="str">
            <v>Eni RFC 
Sequence</v>
          </cell>
        </row>
        <row r="2">
          <cell r="B2" t="str">
            <v>8401-C01</v>
          </cell>
          <cell r="C2" t="str">
            <v>Mechanical Completion 8401-C01 84EN001 Emergency switchboard 690V</v>
          </cell>
          <cell r="D2" t="str">
            <v>T.Q40</v>
          </cell>
          <cell r="E2" t="str">
            <v>0d</v>
          </cell>
          <cell r="G2">
            <v>41286</v>
          </cell>
          <cell r="H2">
            <v>1</v>
          </cell>
        </row>
        <row r="3">
          <cell r="B3" t="str">
            <v>8502-C01</v>
          </cell>
          <cell r="C3" t="str">
            <v>Mechanical Completion 8502-C01 85ER001B UPS system B 320kVA</v>
          </cell>
          <cell r="D3" t="str">
            <v>T.Q30</v>
          </cell>
          <cell r="E3" t="str">
            <v>0d</v>
          </cell>
          <cell r="G3">
            <v>41286</v>
          </cell>
          <cell r="H3">
            <v>2</v>
          </cell>
        </row>
        <row r="4">
          <cell r="B4" t="str">
            <v>7701-C30</v>
          </cell>
          <cell r="C4" t="str">
            <v>Mechanical Completion 7701-C30 Q40 Emergency switchgear room DX Cooling Unit 77GB102A/B</v>
          </cell>
          <cell r="D4" t="str">
            <v>T.Q40</v>
          </cell>
          <cell r="E4" t="str">
            <v>0d</v>
          </cell>
          <cell r="G4">
            <v>41292</v>
          </cell>
          <cell r="H4">
            <v>3</v>
          </cell>
        </row>
        <row r="5">
          <cell r="B5" t="str">
            <v>7701-C31</v>
          </cell>
          <cell r="C5" t="str">
            <v>Mechanical Completion 7701-C31 Q30 LER DX Cooling Unit 77GB103A/B</v>
          </cell>
          <cell r="D5" t="str">
            <v>T.Q30</v>
          </cell>
          <cell r="E5" t="str">
            <v>0d</v>
          </cell>
          <cell r="G5">
            <v>41295</v>
          </cell>
          <cell r="H5">
            <v>4</v>
          </cell>
        </row>
        <row r="6">
          <cell r="B6" t="str">
            <v>7701-C29</v>
          </cell>
          <cell r="C6" t="str">
            <v>Mechanical Completion 7701-C29 Q40 Emergency switchgear room DX Cooling Unit 77GB109A/B</v>
          </cell>
          <cell r="D6" t="str">
            <v>T.Q40</v>
          </cell>
          <cell r="E6" t="str">
            <v>0d</v>
          </cell>
          <cell r="G6">
            <v>41298</v>
          </cell>
          <cell r="H6">
            <v>5</v>
          </cell>
        </row>
        <row r="7">
          <cell r="B7" t="str">
            <v>8401-C02</v>
          </cell>
          <cell r="C7" t="str">
            <v>Mechanical Completion 8401-C02 84EN002 TG1 utility switchboard 690V</v>
          </cell>
          <cell r="D7" t="str">
            <v>T.Q20.Q24</v>
          </cell>
          <cell r="E7" t="str">
            <v>0d</v>
          </cell>
          <cell r="G7">
            <v>41299</v>
          </cell>
          <cell r="H7">
            <v>6</v>
          </cell>
        </row>
        <row r="8">
          <cell r="B8" t="str">
            <v>8801-C01</v>
          </cell>
          <cell r="C8" t="str">
            <v>Mechanical Completion 8801-C01 Earthing</v>
          </cell>
          <cell r="D8" t="str">
            <v>T.Q30</v>
          </cell>
          <cell r="E8" t="str">
            <v>0d</v>
          </cell>
          <cell r="G8">
            <v>41299</v>
          </cell>
          <cell r="H8">
            <v>7</v>
          </cell>
        </row>
        <row r="9">
          <cell r="B9" t="str">
            <v>4001-C01</v>
          </cell>
          <cell r="C9" t="str">
            <v>Mechanical Completion 4001-C01 Cooling Medium Expansion Vessel, 40VL001 &amp; Coolers 40HB001A/B &amp; Distribution</v>
          </cell>
          <cell r="D9" t="str">
            <v>H.M20</v>
          </cell>
          <cell r="E9" t="str">
            <v>0d</v>
          </cell>
          <cell r="G9">
            <v>41306</v>
          </cell>
          <cell r="H9">
            <v>8</v>
          </cell>
        </row>
        <row r="10">
          <cell r="B10" t="str">
            <v>8401-C03</v>
          </cell>
          <cell r="C10" t="str">
            <v>Mechanical Completion 8401-C03 84EL001 Emergency switchboard 400/230V</v>
          </cell>
          <cell r="D10" t="str">
            <v>T.Q40</v>
          </cell>
          <cell r="E10" t="str">
            <v>0d</v>
          </cell>
          <cell r="G10">
            <v>41306</v>
          </cell>
          <cell r="H10">
            <v>9</v>
          </cell>
        </row>
        <row r="11">
          <cell r="B11" t="str">
            <v>8501-C01</v>
          </cell>
          <cell r="C11" t="str">
            <v>Mechanical Completion 8501-C01 85ER001A UPS system A 320kVA</v>
          </cell>
          <cell r="D11" t="str">
            <v>T.Q30</v>
          </cell>
          <cell r="E11" t="str">
            <v>0d</v>
          </cell>
          <cell r="G11">
            <v>41306</v>
          </cell>
          <cell r="H11">
            <v>10</v>
          </cell>
        </row>
        <row r="12">
          <cell r="B12" t="str">
            <v>8402-C01</v>
          </cell>
          <cell r="C12" t="str">
            <v>Mechanical Completion 8402-C01 84EL001 Emergency  Lighting &amp; Small power main deck north</v>
          </cell>
          <cell r="D12" t="str">
            <v>H.M10</v>
          </cell>
          <cell r="E12" t="str">
            <v>0d</v>
          </cell>
          <cell r="G12">
            <v>41307</v>
          </cell>
          <cell r="H12">
            <v>11</v>
          </cell>
        </row>
        <row r="13">
          <cell r="B13" t="str">
            <v>8201-C02</v>
          </cell>
          <cell r="C13" t="str">
            <v>Mechanical Completion 8201-C02 82EN002 Hull &amp; marine switchboard 690V</v>
          </cell>
          <cell r="D13" t="str">
            <v>T.Q30.Q34</v>
          </cell>
          <cell r="E13" t="str">
            <v>0d</v>
          </cell>
          <cell r="G13">
            <v>41311</v>
          </cell>
          <cell r="H13">
            <v>12</v>
          </cell>
        </row>
        <row r="14">
          <cell r="B14" t="str">
            <v>8402-C02</v>
          </cell>
          <cell r="C14" t="str">
            <v>Mechanical Completion 8402-C02 84EL001 Emergency Lighting &amp; Small power main deck south</v>
          </cell>
          <cell r="D14" t="str">
            <v>T.Q40</v>
          </cell>
          <cell r="E14" t="str">
            <v>0d</v>
          </cell>
          <cell r="G14">
            <v>41312</v>
          </cell>
          <cell r="H14">
            <v>13</v>
          </cell>
        </row>
        <row r="15">
          <cell r="B15" t="str">
            <v>5001-C07</v>
          </cell>
          <cell r="C15" t="str">
            <v>Mechanical Completion 5001-C07 Sea Water Lift Filters (50CA002A/B/C), &amp; Sea Water Headers</v>
          </cell>
          <cell r="D15" t="str">
            <v>H.G20</v>
          </cell>
          <cell r="E15" t="str">
            <v>0d</v>
          </cell>
          <cell r="G15">
            <v>41316</v>
          </cell>
          <cell r="H15">
            <v>14</v>
          </cell>
        </row>
        <row r="16">
          <cell r="B16" t="str">
            <v>6301-C05</v>
          </cell>
          <cell r="C16" t="str">
            <v>Mechanical Completion 6301-C05 Instrument &amp; Service Air receiver &amp; Distribution, Hull</v>
          </cell>
          <cell r="D16" t="str">
            <v>H.G20</v>
          </cell>
          <cell r="E16" t="str">
            <v>0d</v>
          </cell>
          <cell r="G16">
            <v>41316</v>
          </cell>
          <cell r="H16">
            <v>15</v>
          </cell>
        </row>
        <row r="17">
          <cell r="B17" t="str">
            <v>8201-C04</v>
          </cell>
          <cell r="C17" t="str">
            <v>Mechanical Completion 8201-C04 82EL003 Hull &amp; marine switchboard 400/230V</v>
          </cell>
          <cell r="D17" t="str">
            <v>T.Q30</v>
          </cell>
          <cell r="E17" t="str">
            <v>0d</v>
          </cell>
          <cell r="G17">
            <v>41317</v>
          </cell>
          <cell r="H17">
            <v>16</v>
          </cell>
        </row>
        <row r="18">
          <cell r="B18" t="str">
            <v>8201-C07</v>
          </cell>
          <cell r="C18" t="str">
            <v>Mechanical Completion 8201-C07 82ED002 Mooring &amp; offloading ASDS switchboard 720VDC</v>
          </cell>
          <cell r="D18" t="str">
            <v>T.Q30</v>
          </cell>
          <cell r="E18" t="str">
            <v>0d</v>
          </cell>
          <cell r="G18">
            <v>41317</v>
          </cell>
          <cell r="H18">
            <v>17</v>
          </cell>
        </row>
        <row r="19">
          <cell r="B19" t="str">
            <v>8201-C10</v>
          </cell>
          <cell r="C19" t="str">
            <v>Mechanical Completion 8201-C10 82ED001 Multi ASDS for LV motors (incl. 82ET003 / 82ET004 / 82ET005 / 82ET006)</v>
          </cell>
          <cell r="D19" t="str">
            <v>T.Q30</v>
          </cell>
          <cell r="E19" t="str">
            <v>0d</v>
          </cell>
          <cell r="G19">
            <v>41317</v>
          </cell>
          <cell r="H19">
            <v>18</v>
          </cell>
        </row>
        <row r="20">
          <cell r="B20" t="str">
            <v>8402-C03</v>
          </cell>
          <cell r="C20" t="str">
            <v>Mechanical Completion 8402-C03 84EL001 Emergency Lighting &amp; Small power F10,F20,P10</v>
          </cell>
          <cell r="D20" t="str">
            <v>T.Q40</v>
          </cell>
          <cell r="E20" t="str">
            <v>0d</v>
          </cell>
          <cell r="G20">
            <v>41317</v>
          </cell>
          <cell r="H20">
            <v>19</v>
          </cell>
        </row>
        <row r="21">
          <cell r="B21" t="str">
            <v>8201-C24</v>
          </cell>
          <cell r="C21" t="str">
            <v>Mechanical Completion 8201-C24 82EL021 Normal distr. board North shaft</v>
          </cell>
          <cell r="D21" t="str">
            <v>H.N10</v>
          </cell>
          <cell r="E21" t="str">
            <v>0d</v>
          </cell>
          <cell r="G21">
            <v>41319</v>
          </cell>
          <cell r="H21">
            <v>20</v>
          </cell>
        </row>
        <row r="22">
          <cell r="B22" t="str">
            <v>8202-C09</v>
          </cell>
          <cell r="C22" t="str">
            <v>Mechanical Completion 8202-C09 Lighting and Small Power North Shaft Hull, 82EL021</v>
          </cell>
          <cell r="D22" t="str">
            <v>H.N10</v>
          </cell>
          <cell r="E22" t="str">
            <v>0d</v>
          </cell>
          <cell r="G22">
            <v>41319</v>
          </cell>
          <cell r="H22">
            <v>21</v>
          </cell>
        </row>
        <row r="23">
          <cell r="B23" t="str">
            <v>8501-C02</v>
          </cell>
          <cell r="C23" t="str">
            <v>Mechanical Completion 8501-C02 85EL001A UPS Distr. Board UPS Room</v>
          </cell>
          <cell r="D23" t="str">
            <v>T.Q30</v>
          </cell>
          <cell r="E23" t="str">
            <v>0d</v>
          </cell>
          <cell r="G23">
            <v>41319</v>
          </cell>
          <cell r="H23">
            <v>22</v>
          </cell>
        </row>
        <row r="24">
          <cell r="B24" t="str">
            <v>8501-C04</v>
          </cell>
          <cell r="C24" t="str">
            <v>Mechanical Completion 8501-C04 85EL003A UPS Distr. Board (6HR) TER</v>
          </cell>
          <cell r="D24" t="str">
            <v>T.L10.L17</v>
          </cell>
          <cell r="E24" t="str">
            <v>0d</v>
          </cell>
          <cell r="G24">
            <v>41319</v>
          </cell>
          <cell r="H24">
            <v>23</v>
          </cell>
        </row>
        <row r="25">
          <cell r="B25" t="str">
            <v>8501-C05</v>
          </cell>
          <cell r="C25" t="str">
            <v>Mechanical Completion 8501-C05 85EL004A UPS Distr. Board TER</v>
          </cell>
          <cell r="D25" t="str">
            <v>T.L10.L17</v>
          </cell>
          <cell r="E25" t="str">
            <v>0d</v>
          </cell>
          <cell r="G25">
            <v>41319</v>
          </cell>
          <cell r="H25">
            <v>24</v>
          </cell>
        </row>
        <row r="26">
          <cell r="B26" t="str">
            <v>7701-C34</v>
          </cell>
          <cell r="C26" t="str">
            <v>Mechanical Completion 7701-C34 LQ-CER DX Cooling Unit 77GB105A/B</v>
          </cell>
          <cell r="D26" t="str">
            <v>T.L10</v>
          </cell>
          <cell r="E26" t="str">
            <v>0d</v>
          </cell>
          <cell r="G26">
            <v>41321</v>
          </cell>
          <cell r="H26">
            <v>25</v>
          </cell>
        </row>
        <row r="27">
          <cell r="B27" t="str">
            <v>8201-C25</v>
          </cell>
          <cell r="C27" t="str">
            <v>Mechanical Completion 8201-C25 82EL022 Normal distr. board North shaft</v>
          </cell>
          <cell r="D27" t="str">
            <v>H.N10</v>
          </cell>
          <cell r="E27" t="str">
            <v>0d</v>
          </cell>
          <cell r="G27">
            <v>41321</v>
          </cell>
          <cell r="H27">
            <v>26</v>
          </cell>
        </row>
        <row r="28">
          <cell r="B28" t="str">
            <v>8402-C04</v>
          </cell>
          <cell r="C28" t="str">
            <v>Mechanical Completion 8402-C04 84EL001 Emergency Lighting &amp; Small power P20,P30</v>
          </cell>
          <cell r="D28" t="str">
            <v>T.Q40</v>
          </cell>
          <cell r="E28" t="str">
            <v>0d</v>
          </cell>
          <cell r="G28">
            <v>41321</v>
          </cell>
          <cell r="H28">
            <v>27</v>
          </cell>
        </row>
        <row r="29">
          <cell r="B29" t="str">
            <v>8690-C01</v>
          </cell>
          <cell r="C29" t="str">
            <v>Mechanical Completion 8690-C01 Temporary telecom system</v>
          </cell>
          <cell r="D29" t="str">
            <v>T.L10</v>
          </cell>
          <cell r="E29" t="str">
            <v>0d</v>
          </cell>
          <cell r="G29">
            <v>41321</v>
          </cell>
          <cell r="H29">
            <v>28</v>
          </cell>
        </row>
        <row r="30">
          <cell r="B30" t="str">
            <v>8701-C01</v>
          </cell>
          <cell r="C30" t="str">
            <v>Mechanical Completion  8701-C01 Panel 87JC141 - LAN/Switch/FOC  A-network (LER)</v>
          </cell>
          <cell r="D30" t="str">
            <v>T.Q30</v>
          </cell>
          <cell r="E30" t="str">
            <v>0d</v>
          </cell>
          <cell r="G30">
            <v>41321</v>
          </cell>
          <cell r="H30">
            <v>29</v>
          </cell>
        </row>
        <row r="31">
          <cell r="B31" t="str">
            <v>8701-C02</v>
          </cell>
          <cell r="C31" t="str">
            <v>Mechanical Completion  8701-C02 Panel 87JC142 - LAN/Switch/FOC  B-network (LER)</v>
          </cell>
          <cell r="D31" t="str">
            <v>T.Q30</v>
          </cell>
          <cell r="E31" t="str">
            <v>0d</v>
          </cell>
          <cell r="G31">
            <v>41321</v>
          </cell>
          <cell r="H31">
            <v>30</v>
          </cell>
        </row>
        <row r="32">
          <cell r="B32" t="str">
            <v>8701-C05</v>
          </cell>
          <cell r="C32" t="str">
            <v>Mechanical Completion  8701-C05 Panel 87JC143 - SAS servers (LER)</v>
          </cell>
          <cell r="D32" t="str">
            <v>T.Q30</v>
          </cell>
          <cell r="E32" t="str">
            <v>0d</v>
          </cell>
          <cell r="G32">
            <v>41321</v>
          </cell>
          <cell r="H32">
            <v>31</v>
          </cell>
        </row>
        <row r="33">
          <cell r="B33" t="str">
            <v>8704-C02</v>
          </cell>
          <cell r="C33" t="str">
            <v>Mechanical Completion  8704-C02 Operation Equipment (LER)</v>
          </cell>
          <cell r="D33" t="str">
            <v>T.Q30</v>
          </cell>
          <cell r="E33" t="str">
            <v>0d</v>
          </cell>
          <cell r="G33">
            <v>41321</v>
          </cell>
          <cell r="H33">
            <v>32</v>
          </cell>
        </row>
        <row r="34">
          <cell r="B34" t="str">
            <v>8201-C26</v>
          </cell>
          <cell r="C34" t="str">
            <v>Mechanical Completion 8201-C26 82EL023 Normal distr. board Center shaft</v>
          </cell>
          <cell r="D34" t="str">
            <v>H.G20</v>
          </cell>
          <cell r="E34" t="str">
            <v>0d</v>
          </cell>
          <cell r="G34">
            <v>41323</v>
          </cell>
          <cell r="H34">
            <v>33</v>
          </cell>
        </row>
        <row r="35">
          <cell r="B35" t="str">
            <v>8202-C10</v>
          </cell>
          <cell r="C35" t="str">
            <v>Mechanical Completion 8202-C10 Lighting and Small Power Centre Shaft Hull, 82EL023</v>
          </cell>
          <cell r="D35" t="str">
            <v>H.G20</v>
          </cell>
          <cell r="E35" t="str">
            <v>0d</v>
          </cell>
          <cell r="G35">
            <v>41324</v>
          </cell>
          <cell r="H35">
            <v>34</v>
          </cell>
        </row>
        <row r="36">
          <cell r="B36" t="str">
            <v>7701-C32</v>
          </cell>
          <cell r="C36" t="str">
            <v>Mechanical Completion 7701-C32 LQ-CCR DX Cooling Unit 77GB104</v>
          </cell>
          <cell r="D36" t="str">
            <v>T.L10</v>
          </cell>
          <cell r="E36" t="str">
            <v>0d</v>
          </cell>
          <cell r="G36">
            <v>41325</v>
          </cell>
          <cell r="H36">
            <v>35</v>
          </cell>
        </row>
        <row r="37">
          <cell r="B37" t="str">
            <v>8201-C27</v>
          </cell>
          <cell r="C37" t="str">
            <v>Mechanical Completion 8201-C27 82EL024 Normal distr. board Center shaft</v>
          </cell>
          <cell r="D37" t="str">
            <v>H.G20</v>
          </cell>
          <cell r="E37" t="str">
            <v>0d</v>
          </cell>
          <cell r="G37">
            <v>41325</v>
          </cell>
          <cell r="H37">
            <v>36</v>
          </cell>
        </row>
        <row r="38">
          <cell r="B38" t="str">
            <v>8701-C18</v>
          </cell>
          <cell r="C38" t="str">
            <v>Mechanical Completion  8701-C18 Panel 87JC012 - Node C12 - 63 Air Compressors and Dryers (PCS) (LER)</v>
          </cell>
          <cell r="D38" t="str">
            <v>T.Q30</v>
          </cell>
          <cell r="E38" t="str">
            <v>0d</v>
          </cell>
          <cell r="G38">
            <v>41325</v>
          </cell>
          <cell r="H38">
            <v>37</v>
          </cell>
        </row>
        <row r="39">
          <cell r="B39" t="str">
            <v>8701-C21</v>
          </cell>
          <cell r="C39" t="str">
            <v>Mechanical Completion  8701-C21 Panel 87JC016 - Node C16 - 39 Bunkering - 65 Main HPU (PCS) (LER)</v>
          </cell>
          <cell r="D39" t="str">
            <v>T.Q30</v>
          </cell>
          <cell r="E39" t="str">
            <v>0d</v>
          </cell>
          <cell r="G39">
            <v>41325</v>
          </cell>
          <cell r="H39">
            <v>38</v>
          </cell>
        </row>
        <row r="40">
          <cell r="B40" t="str">
            <v>8704-C03</v>
          </cell>
          <cell r="C40" t="str">
            <v>Mechanical Completion  8704-C03 Operation Equipment (Instr. Workshop &amp; Sw. Board Room)</v>
          </cell>
          <cell r="D40" t="str">
            <v>T.Q30</v>
          </cell>
          <cell r="E40" t="str">
            <v>0d</v>
          </cell>
          <cell r="G40">
            <v>41325</v>
          </cell>
          <cell r="H40">
            <v>39</v>
          </cell>
        </row>
        <row r="41">
          <cell r="B41" t="str">
            <v>8001-C02</v>
          </cell>
          <cell r="C41" t="str">
            <v>Mechanical Completion 8001-C02 80EH002 Main switchgear 11kV</v>
          </cell>
          <cell r="D41" t="str">
            <v>T.Q20</v>
          </cell>
          <cell r="E41" t="str">
            <v>0d</v>
          </cell>
          <cell r="G41">
            <v>41326</v>
          </cell>
          <cell r="H41">
            <v>40</v>
          </cell>
        </row>
        <row r="42">
          <cell r="B42" t="str">
            <v>8201-C28</v>
          </cell>
          <cell r="C42" t="str">
            <v>Mechanical Completion 8201-C28 82EL003 Back-up MCCB for Lighting &amp; Small power circuits (82EL003)</v>
          </cell>
          <cell r="D42" t="str">
            <v>T.Q30</v>
          </cell>
          <cell r="E42" t="str">
            <v>0d</v>
          </cell>
          <cell r="G42">
            <v>41326</v>
          </cell>
          <cell r="H42">
            <v>41</v>
          </cell>
        </row>
        <row r="43">
          <cell r="B43" t="str">
            <v>8402-C05</v>
          </cell>
          <cell r="C43" t="str">
            <v>Mechanical Completion 8402-C05 84EL001 Emergency Lighting &amp; Small power Q10,Q20,30,Q40</v>
          </cell>
          <cell r="D43" t="str">
            <v>T.Q40</v>
          </cell>
          <cell r="E43" t="str">
            <v>0d</v>
          </cell>
          <cell r="G43">
            <v>41326</v>
          </cell>
          <cell r="H43">
            <v>42</v>
          </cell>
        </row>
        <row r="44">
          <cell r="B44" t="str">
            <v>8701-C19</v>
          </cell>
          <cell r="C44" t="str">
            <v>Mechanical Completion  8701-C19 Panel 87JC013 - Node C13 - 43 Vapour recovery - 43 Flare ibnition - 44 Sand cleaning (PC</v>
          </cell>
          <cell r="D44" t="str">
            <v>T.Q30</v>
          </cell>
          <cell r="E44" t="str">
            <v>0d</v>
          </cell>
          <cell r="G44">
            <v>41326</v>
          </cell>
          <cell r="H44">
            <v>43</v>
          </cell>
        </row>
        <row r="45">
          <cell r="B45" t="str">
            <v>8701-C10</v>
          </cell>
          <cell r="C45" t="str">
            <v>Mechanical Completion  8701-C10 Panel 87JC004 - Node C04 - 40 Cooling medium - 41 heating medium - 45 Fuel gas (PCS) (LE</v>
          </cell>
          <cell r="D45" t="str">
            <v>T.Q30</v>
          </cell>
          <cell r="E45" t="str">
            <v>0d</v>
          </cell>
          <cell r="G45">
            <v>41327</v>
          </cell>
          <cell r="H45">
            <v>44</v>
          </cell>
        </row>
        <row r="46">
          <cell r="B46" t="str">
            <v>8701-C12</v>
          </cell>
          <cell r="C46" t="str">
            <v>Mechanical Completion  8701-C12 Panel 87JC006 - Node C06 - 50 Sea water - 71 Fire water (PCS) (LER)</v>
          </cell>
          <cell r="D46" t="str">
            <v>T.Q30</v>
          </cell>
          <cell r="E46" t="str">
            <v>0d</v>
          </cell>
          <cell r="G46">
            <v>41327</v>
          </cell>
          <cell r="H46">
            <v>45</v>
          </cell>
        </row>
        <row r="47">
          <cell r="B47" t="str">
            <v>8701-C22</v>
          </cell>
          <cell r="C47" t="str">
            <v>Mechanical Completion 8701-C22 HVAC Panel 77JC24 Node C17 (LER)</v>
          </cell>
          <cell r="D47" t="str">
            <v>T.Q30</v>
          </cell>
          <cell r="E47" t="str">
            <v>0d</v>
          </cell>
          <cell r="G47">
            <v>41327</v>
          </cell>
          <cell r="H47">
            <v>46</v>
          </cell>
        </row>
        <row r="48">
          <cell r="B48" t="str">
            <v>4301-C01</v>
          </cell>
          <cell r="C48" t="str">
            <v>Mechanical Completion 4301-C01 HP flare header</v>
          </cell>
          <cell r="D48" t="str">
            <v>T.F10</v>
          </cell>
          <cell r="E48" t="str">
            <v>0d</v>
          </cell>
          <cell r="G48">
            <v>41328</v>
          </cell>
          <cell r="H48">
            <v>47</v>
          </cell>
        </row>
        <row r="49">
          <cell r="B49" t="str">
            <v>8202-C11</v>
          </cell>
          <cell r="C49" t="str">
            <v>Mechanical Completion 8202-C11 Lighting and Small Power North Shaft Hull, 82EL022</v>
          </cell>
          <cell r="D49" t="str">
            <v>H.N10</v>
          </cell>
          <cell r="E49" t="str">
            <v>0d</v>
          </cell>
          <cell r="G49">
            <v>41328</v>
          </cell>
          <cell r="H49">
            <v>48</v>
          </cell>
        </row>
        <row r="50">
          <cell r="B50" t="str">
            <v>6301-C10</v>
          </cell>
          <cell r="C50" t="str">
            <v>Mechanical Completion 6301-C10 Instrument Air Distribution, Topside</v>
          </cell>
          <cell r="D50" t="str">
            <v>T.P10</v>
          </cell>
          <cell r="E50" t="str">
            <v>0d</v>
          </cell>
          <cell r="G50">
            <v>41330</v>
          </cell>
          <cell r="H50">
            <v>49</v>
          </cell>
        </row>
        <row r="51">
          <cell r="B51" t="str">
            <v>4001-C02</v>
          </cell>
          <cell r="C51" t="str">
            <v>Mechanical Completion 4001-C02 Cooling Medium Make-Up Pump 40PA002 and Tank 40TA001</v>
          </cell>
          <cell r="D51" t="str">
            <v>H.G20</v>
          </cell>
          <cell r="E51" t="str">
            <v>0d</v>
          </cell>
          <cell r="G51">
            <v>41331</v>
          </cell>
          <cell r="H51">
            <v>50</v>
          </cell>
        </row>
        <row r="52">
          <cell r="B52" t="str">
            <v>5001-C02</v>
          </cell>
          <cell r="C52" t="str">
            <v>Mechanical Completion 5001-C02 Emergency Seawater Cooling Pumps, 50PA005</v>
          </cell>
          <cell r="D52" t="str">
            <v>H.N10</v>
          </cell>
          <cell r="E52" t="str">
            <v>0d</v>
          </cell>
          <cell r="G52">
            <v>41331</v>
          </cell>
          <cell r="H52">
            <v>51</v>
          </cell>
        </row>
        <row r="53">
          <cell r="B53" t="str">
            <v>5001-C06</v>
          </cell>
          <cell r="C53" t="str">
            <v>Mechanical Completion 5001-C06 Sea Water Cooling Filters (50CA001A/B), &amp; Sea Water Cooling Headers</v>
          </cell>
          <cell r="D53" t="str">
            <v>H.N10</v>
          </cell>
          <cell r="E53" t="str">
            <v>0d</v>
          </cell>
          <cell r="G53">
            <v>41331</v>
          </cell>
          <cell r="H53">
            <v>52</v>
          </cell>
        </row>
        <row r="54">
          <cell r="B54" t="str">
            <v>6301-C01</v>
          </cell>
          <cell r="C54" t="str">
            <v>Mechanical Completion 6301-C01 Air compressors A, 63KC001A</v>
          </cell>
          <cell r="D54" t="str">
            <v>H.G20</v>
          </cell>
          <cell r="E54" t="str">
            <v>0d</v>
          </cell>
          <cell r="G54">
            <v>41331</v>
          </cell>
          <cell r="H54">
            <v>53</v>
          </cell>
        </row>
        <row r="55">
          <cell r="B55" t="str">
            <v>6301-C04</v>
          </cell>
          <cell r="C55" t="str">
            <v>Mechanical Completion 6301-C04 Air Dryers, 63XX001</v>
          </cell>
          <cell r="D55" t="str">
            <v>H.G20</v>
          </cell>
          <cell r="E55" t="str">
            <v>0d</v>
          </cell>
          <cell r="G55">
            <v>41331</v>
          </cell>
          <cell r="H55">
            <v>54</v>
          </cell>
        </row>
        <row r="56">
          <cell r="B56" t="str">
            <v>8201-C29</v>
          </cell>
          <cell r="C56" t="str">
            <v>Mechanical Completion 8201-C29 82EL006 Helideck Heat Trace Switchboard</v>
          </cell>
          <cell r="D56" t="str">
            <v>T.H10</v>
          </cell>
          <cell r="E56" t="str">
            <v>0d</v>
          </cell>
          <cell r="G56">
            <v>41331</v>
          </cell>
          <cell r="H56">
            <v>55</v>
          </cell>
        </row>
        <row r="57">
          <cell r="B57" t="str">
            <v>8701-C14</v>
          </cell>
          <cell r="C57" t="str">
            <v>Mechanical Completion  8701-C14 Panel 87JC008 - Node C08 - 47 Chlorination 53 Fresh water 54 Hot water (PCS) (LER)</v>
          </cell>
          <cell r="D57" t="str">
            <v>T.Q30</v>
          </cell>
          <cell r="E57" t="str">
            <v>0d</v>
          </cell>
          <cell r="G57">
            <v>41331</v>
          </cell>
          <cell r="H57">
            <v>56</v>
          </cell>
        </row>
        <row r="58">
          <cell r="B58" t="str">
            <v>8501-C03</v>
          </cell>
          <cell r="C58" t="str">
            <v>Mechanical Completion 8501-C03 85EL002A UPS Distr. Board CER</v>
          </cell>
          <cell r="D58" t="str">
            <v>T.L10.L12</v>
          </cell>
          <cell r="E58" t="str">
            <v>0d</v>
          </cell>
          <cell r="G58">
            <v>41332</v>
          </cell>
          <cell r="H58">
            <v>57</v>
          </cell>
        </row>
        <row r="59">
          <cell r="B59" t="str">
            <v>8502-C02</v>
          </cell>
          <cell r="C59" t="str">
            <v>Mechanical Completion 8502-C02 85EL001B UPS Distr. Board UPS Room</v>
          </cell>
          <cell r="D59" t="str">
            <v>T.Q30</v>
          </cell>
          <cell r="E59" t="str">
            <v>0d</v>
          </cell>
          <cell r="G59">
            <v>41332</v>
          </cell>
          <cell r="H59">
            <v>58</v>
          </cell>
        </row>
        <row r="60">
          <cell r="B60" t="str">
            <v>8502-C03</v>
          </cell>
          <cell r="C60" t="str">
            <v>Mechanical Completion 8502-C03 85EL002B UPS Distr. Board CER</v>
          </cell>
          <cell r="D60" t="str">
            <v>T.L10</v>
          </cell>
          <cell r="E60" t="str">
            <v>0d</v>
          </cell>
          <cell r="G60">
            <v>41332</v>
          </cell>
          <cell r="H60">
            <v>59</v>
          </cell>
        </row>
        <row r="61">
          <cell r="B61" t="str">
            <v>8502-C04</v>
          </cell>
          <cell r="C61" t="str">
            <v>Mechanical Completion 8502-C04 85EL003B UPS Distr. Board (6HR) TER</v>
          </cell>
          <cell r="D61" t="str">
            <v>T.L10.L17</v>
          </cell>
          <cell r="E61" t="str">
            <v>0d</v>
          </cell>
          <cell r="G61">
            <v>41332</v>
          </cell>
          <cell r="H61">
            <v>60</v>
          </cell>
        </row>
        <row r="62">
          <cell r="B62" t="str">
            <v>8502-C05</v>
          </cell>
          <cell r="C62" t="str">
            <v>Mechanical Completion 8502-C05 85EL004B UPS Distr. Board TER</v>
          </cell>
          <cell r="D62" t="str">
            <v>T.L10.L17</v>
          </cell>
          <cell r="E62" t="str">
            <v>0d</v>
          </cell>
          <cell r="G62">
            <v>41332</v>
          </cell>
          <cell r="H62">
            <v>61</v>
          </cell>
        </row>
        <row r="63">
          <cell r="B63" t="str">
            <v>8202-C12</v>
          </cell>
          <cell r="C63" t="str">
            <v>Mechanical Completion 8202-C12 Lighting and Small Power Centre Shaft Hull, 82EL024</v>
          </cell>
          <cell r="D63" t="str">
            <v>H.G20</v>
          </cell>
          <cell r="E63" t="str">
            <v>0d</v>
          </cell>
          <cell r="G63">
            <v>41333</v>
          </cell>
          <cell r="H63">
            <v>62</v>
          </cell>
        </row>
        <row r="64">
          <cell r="B64" t="str">
            <v>8701-C23</v>
          </cell>
          <cell r="C64" t="str">
            <v>Mechanical Completion 8701-C23 HVAC Panel 77JC25 Node C18 (LER)</v>
          </cell>
          <cell r="D64" t="str">
            <v>T.Q30</v>
          </cell>
          <cell r="E64" t="str">
            <v>0d</v>
          </cell>
          <cell r="G64">
            <v>41333</v>
          </cell>
          <cell r="H64">
            <v>63</v>
          </cell>
        </row>
        <row r="65">
          <cell r="B65" t="str">
            <v>8701-C26</v>
          </cell>
          <cell r="C65" t="str">
            <v>Mechanical Completion  8701-C26 Panel 87JC023 - Node C23 - 53 Fresh water UV sterilizer, Chlorination and Alkaline (PCS)</v>
          </cell>
          <cell r="D65" t="str">
            <v>T.Q30</v>
          </cell>
          <cell r="E65" t="str">
            <v>0d</v>
          </cell>
          <cell r="G65">
            <v>41333</v>
          </cell>
          <cell r="H65">
            <v>64</v>
          </cell>
        </row>
        <row r="66">
          <cell r="B66" t="str">
            <v>3301-C01</v>
          </cell>
          <cell r="C66" t="str">
            <v>Mechanical Completion 3301-C01 Cargo ringmain</v>
          </cell>
          <cell r="D66" t="str">
            <v>H.M10</v>
          </cell>
          <cell r="E66" t="str">
            <v>0d</v>
          </cell>
          <cell r="G66">
            <v>41334</v>
          </cell>
          <cell r="H66">
            <v>65</v>
          </cell>
        </row>
        <row r="67">
          <cell r="B67" t="str">
            <v>4001-C04</v>
          </cell>
          <cell r="C67" t="str">
            <v>Mechanical Completion 4001-C04 Cooling Medium Cirkulation Pump 40PA001A</v>
          </cell>
          <cell r="D67" t="str">
            <v>H.M10</v>
          </cell>
          <cell r="E67" t="str">
            <v>0d</v>
          </cell>
          <cell r="G67">
            <v>41334</v>
          </cell>
          <cell r="H67">
            <v>66</v>
          </cell>
        </row>
        <row r="68">
          <cell r="B68" t="str">
            <v>7601-C05</v>
          </cell>
          <cell r="C68" t="str">
            <v>Mechanical Completion 7601-C05 Miscellaneous Lifesaving Equipment</v>
          </cell>
          <cell r="D68" t="str">
            <v>T.L10</v>
          </cell>
          <cell r="E68" t="str">
            <v>0d</v>
          </cell>
          <cell r="G68">
            <v>41334</v>
          </cell>
          <cell r="H68">
            <v>67</v>
          </cell>
        </row>
        <row r="69">
          <cell r="B69" t="str">
            <v>7601-C06</v>
          </cell>
          <cell r="C69" t="str">
            <v>Mechanical Completion 7601-C06 Miscellaneous Safety Equipment</v>
          </cell>
          <cell r="D69" t="str">
            <v>T.L10</v>
          </cell>
          <cell r="E69" t="str">
            <v>0d</v>
          </cell>
          <cell r="G69">
            <v>41334</v>
          </cell>
          <cell r="H69">
            <v>68</v>
          </cell>
        </row>
        <row r="70">
          <cell r="B70" t="str">
            <v>7601-C07</v>
          </cell>
          <cell r="C70" t="str">
            <v>Mechanical Completion 7601-C07 Miscellaneous Medical Equipment</v>
          </cell>
          <cell r="D70" t="str">
            <v>T.L10</v>
          </cell>
          <cell r="E70" t="str">
            <v>0d</v>
          </cell>
          <cell r="G70">
            <v>41334</v>
          </cell>
          <cell r="H70">
            <v>69</v>
          </cell>
        </row>
        <row r="71">
          <cell r="B71" t="str">
            <v>8503-C01</v>
          </cell>
          <cell r="C71" t="str">
            <v>Mechanical Completion 8503-C01 85EL005 UPS Distr. Board</v>
          </cell>
          <cell r="D71" t="str">
            <v>T.Q30</v>
          </cell>
          <cell r="E71" t="str">
            <v>0d</v>
          </cell>
          <cell r="G71">
            <v>41334</v>
          </cell>
          <cell r="H71">
            <v>70</v>
          </cell>
        </row>
        <row r="72">
          <cell r="B72" t="str">
            <v>5001-C04</v>
          </cell>
          <cell r="C72" t="str">
            <v>Mechanical Completion 5001-C04 Emergency Seawater Cooling Pumps, 50PA006</v>
          </cell>
          <cell r="D72" t="str">
            <v>H.G20</v>
          </cell>
          <cell r="E72" t="str">
            <v>0d</v>
          </cell>
          <cell r="G72">
            <v>41335</v>
          </cell>
          <cell r="H72">
            <v>71</v>
          </cell>
        </row>
        <row r="73">
          <cell r="B73" t="str">
            <v>6301-C02</v>
          </cell>
          <cell r="C73" t="str">
            <v>Mechanical Completion 6301-C02 Air compressors B, 63KC001B</v>
          </cell>
          <cell r="D73" t="str">
            <v>H.G20</v>
          </cell>
          <cell r="E73" t="str">
            <v>0d</v>
          </cell>
          <cell r="G73">
            <v>41335</v>
          </cell>
          <cell r="H73">
            <v>72</v>
          </cell>
        </row>
        <row r="74">
          <cell r="B74" t="str">
            <v>6401-C02</v>
          </cell>
          <cell r="C74" t="str">
            <v>Mechanical Completion 6401-C02 Nitrogen Receiver &amp; Nitrogen Distribution</v>
          </cell>
          <cell r="D74" t="str">
            <v>H.G20</v>
          </cell>
          <cell r="E74" t="str">
            <v>0d</v>
          </cell>
          <cell r="G74">
            <v>41335</v>
          </cell>
          <cell r="H74">
            <v>73</v>
          </cell>
        </row>
        <row r="75">
          <cell r="B75" t="str">
            <v>8503-C02</v>
          </cell>
          <cell r="C75" t="str">
            <v>Mechanical Completion 8503-C02 85EL006 UPS Distr. Board</v>
          </cell>
          <cell r="D75" t="str">
            <v>T.L10</v>
          </cell>
          <cell r="E75" t="str">
            <v>0d</v>
          </cell>
          <cell r="G75">
            <v>41335</v>
          </cell>
          <cell r="H75">
            <v>74</v>
          </cell>
        </row>
        <row r="76">
          <cell r="B76" t="str">
            <v>8701-C25</v>
          </cell>
          <cell r="C76" t="str">
            <v>Mechanical Completion  8701-C25 Panel 87JC020 - Node C20 - 64 Nitrogen Generator and Inert gas (PCS) (LER)</v>
          </cell>
          <cell r="D76" t="str">
            <v>T.Q30</v>
          </cell>
          <cell r="E76" t="str">
            <v>0d</v>
          </cell>
          <cell r="G76">
            <v>41335</v>
          </cell>
          <cell r="H76">
            <v>75</v>
          </cell>
        </row>
        <row r="77">
          <cell r="B77" t="str">
            <v>8503-C03</v>
          </cell>
          <cell r="C77" t="str">
            <v>Mechanical Completion 8503-C03 85EC100 UPS Helideck Control Panel, Lighting</v>
          </cell>
          <cell r="D77" t="str">
            <v>T.H10</v>
          </cell>
          <cell r="E77" t="str">
            <v>0d</v>
          </cell>
          <cell r="G77">
            <v>41338</v>
          </cell>
          <cell r="H77">
            <v>76</v>
          </cell>
        </row>
        <row r="78">
          <cell r="B78" t="str">
            <v>2301-C02</v>
          </cell>
          <cell r="C78" t="str">
            <v>Mechanical Completion 2301-C02 1 st Stage Recomp Recycle Pumps, 23PA001A/B</v>
          </cell>
          <cell r="D78" t="str">
            <v>H.M20</v>
          </cell>
          <cell r="E78" t="str">
            <v>0d</v>
          </cell>
          <cell r="G78">
            <v>41339</v>
          </cell>
          <cell r="H78">
            <v>77</v>
          </cell>
        </row>
        <row r="79">
          <cell r="B79" t="str">
            <v>4001-C06</v>
          </cell>
          <cell r="C79" t="str">
            <v>Mechanical Completion 4001-C06 Cooling Medium Cirkulation Pump 40PA001B</v>
          </cell>
          <cell r="D79" t="str">
            <v>H.M20</v>
          </cell>
          <cell r="E79" t="str">
            <v>0d</v>
          </cell>
          <cell r="G79">
            <v>41339</v>
          </cell>
          <cell r="H79">
            <v>78</v>
          </cell>
        </row>
        <row r="80">
          <cell r="B80" t="str">
            <v>7701-C33</v>
          </cell>
          <cell r="C80" t="str">
            <v>Mechanical Completion 7701-C33 Q30 UPS A &amp; B System 77GB106A /B</v>
          </cell>
          <cell r="D80" t="str">
            <v>T.Q30</v>
          </cell>
          <cell r="E80" t="str">
            <v>0d</v>
          </cell>
          <cell r="G80">
            <v>41339</v>
          </cell>
          <cell r="H80">
            <v>79</v>
          </cell>
        </row>
        <row r="81">
          <cell r="B81" t="str">
            <v>8201-C01</v>
          </cell>
          <cell r="C81" t="str">
            <v>Mechanical Completion 8201-C01 82EN001 Topside switchboard 690V</v>
          </cell>
          <cell r="D81" t="str">
            <v>T.Q30</v>
          </cell>
          <cell r="E81" t="str">
            <v>0d</v>
          </cell>
          <cell r="G81">
            <v>41339</v>
          </cell>
          <cell r="H81">
            <v>80</v>
          </cell>
        </row>
        <row r="82">
          <cell r="B82" t="str">
            <v>8201-C03</v>
          </cell>
          <cell r="C82" t="str">
            <v>Mechanical Completion 8201-C03 82EN003 Heat trace &amp; Living quarters switchboard 690V</v>
          </cell>
          <cell r="D82" t="str">
            <v>T.Q20</v>
          </cell>
          <cell r="E82" t="str">
            <v>0d</v>
          </cell>
          <cell r="G82">
            <v>41339</v>
          </cell>
          <cell r="H82">
            <v>81</v>
          </cell>
        </row>
        <row r="83">
          <cell r="B83" t="str">
            <v>8401-C05</v>
          </cell>
          <cell r="C83" t="str">
            <v>Mechanical Completion 8401-C05 Panel 84JC100 - Node L53 (EM. Gen. Room)</v>
          </cell>
          <cell r="D83" t="str">
            <v>T.Q30</v>
          </cell>
          <cell r="E83" t="str">
            <v>0d</v>
          </cell>
          <cell r="G83">
            <v>41339</v>
          </cell>
          <cell r="H83">
            <v>82</v>
          </cell>
        </row>
        <row r="84">
          <cell r="B84" t="str">
            <v>8701-C15</v>
          </cell>
          <cell r="C84" t="str">
            <v>Mechanical Completion  8701-C15 Panel 87JC009 - Node C09 - 56 Open drain - 57 Closed drain (PCS) (LER)</v>
          </cell>
          <cell r="D84" t="str">
            <v>T.Q30</v>
          </cell>
          <cell r="E84" t="str">
            <v>0d</v>
          </cell>
          <cell r="G84">
            <v>41339</v>
          </cell>
          <cell r="H84">
            <v>83</v>
          </cell>
        </row>
        <row r="85">
          <cell r="B85" t="str">
            <v>5001-C09</v>
          </cell>
          <cell r="C85" t="str">
            <v>Mechanical Completion 5001-C09 Overboard Caissons</v>
          </cell>
          <cell r="D85" t="str">
            <v>H.G10</v>
          </cell>
          <cell r="E85" t="str">
            <v>0d</v>
          </cell>
          <cell r="G85">
            <v>41340</v>
          </cell>
          <cell r="H85">
            <v>84</v>
          </cell>
        </row>
        <row r="86">
          <cell r="B86" t="str">
            <v>6301-C03</v>
          </cell>
          <cell r="C86" t="str">
            <v>Mechanical Completion 6301-C03 Air compressors C, 63KC001C</v>
          </cell>
          <cell r="D86" t="str">
            <v>H.G20</v>
          </cell>
          <cell r="E86" t="str">
            <v>0d</v>
          </cell>
          <cell r="G86">
            <v>41340</v>
          </cell>
          <cell r="H86">
            <v>85</v>
          </cell>
        </row>
        <row r="87">
          <cell r="B87" t="str">
            <v>7701-C26</v>
          </cell>
          <cell r="C87" t="str">
            <v>Mechanical Completion 7701-C26 Q30 Battery room A Extract System 77GK136A/B</v>
          </cell>
          <cell r="D87" t="str">
            <v>T.Q30</v>
          </cell>
          <cell r="E87" t="str">
            <v>0d</v>
          </cell>
          <cell r="G87">
            <v>41340</v>
          </cell>
          <cell r="H87">
            <v>86</v>
          </cell>
        </row>
        <row r="88">
          <cell r="B88" t="str">
            <v>8503-C04</v>
          </cell>
          <cell r="C88" t="str">
            <v>Mechanical Completion 8503-C04 Navigational Aids System</v>
          </cell>
          <cell r="D88" t="str">
            <v>T.L10</v>
          </cell>
          <cell r="E88" t="str">
            <v>0d</v>
          </cell>
          <cell r="G88">
            <v>41340</v>
          </cell>
          <cell r="H88">
            <v>87</v>
          </cell>
        </row>
        <row r="89">
          <cell r="B89" t="str">
            <v>4301-C03</v>
          </cell>
          <cell r="C89" t="str">
            <v>Mechanical Completion 4301-C03 HP Flare Knockout drum 43VD001 &amp; flare tip 43FC001</v>
          </cell>
          <cell r="D89" t="str">
            <v>T.F10</v>
          </cell>
          <cell r="E89" t="str">
            <v>0d</v>
          </cell>
          <cell r="G89">
            <v>41341</v>
          </cell>
          <cell r="H89">
            <v>88</v>
          </cell>
        </row>
        <row r="90">
          <cell r="B90" t="str">
            <v>5601-C01</v>
          </cell>
          <cell r="C90" t="str">
            <v>Mechanical Completion 5601-C01 Hazardous open drain header</v>
          </cell>
          <cell r="D90" t="str">
            <v>H.M20</v>
          </cell>
          <cell r="E90" t="str">
            <v>0d</v>
          </cell>
          <cell r="G90">
            <v>41341</v>
          </cell>
          <cell r="H90">
            <v>89</v>
          </cell>
        </row>
        <row r="91">
          <cell r="B91" t="str">
            <v>5701-C01</v>
          </cell>
          <cell r="C91" t="str">
            <v>Mechanical Completion 5701-C01 Closed Drain Header</v>
          </cell>
          <cell r="D91" t="str">
            <v>H.M20</v>
          </cell>
          <cell r="E91" t="str">
            <v>0d</v>
          </cell>
          <cell r="G91">
            <v>41341</v>
          </cell>
          <cell r="H91">
            <v>90</v>
          </cell>
        </row>
        <row r="92">
          <cell r="B92" t="str">
            <v>8701-C13</v>
          </cell>
          <cell r="C92" t="str">
            <v>Mechanical Completion  8701-C13 Panel 87JC007 - Node C07 - 52 ballast water (PCS) (LER)</v>
          </cell>
          <cell r="D92" t="str">
            <v>T.Q30</v>
          </cell>
          <cell r="E92" t="str">
            <v>0d</v>
          </cell>
          <cell r="G92">
            <v>41341</v>
          </cell>
          <cell r="H92">
            <v>91</v>
          </cell>
        </row>
        <row r="93">
          <cell r="B93" t="str">
            <v>4001-C07</v>
          </cell>
          <cell r="C93" t="str">
            <v>Mechanical Completion 4001-C07 Cooling Medium Cirkulation Pump 40PA001C</v>
          </cell>
          <cell r="D93" t="str">
            <v>H.M20</v>
          </cell>
          <cell r="E93" t="str">
            <v>0d</v>
          </cell>
          <cell r="G93">
            <v>41344</v>
          </cell>
          <cell r="H93">
            <v>92</v>
          </cell>
        </row>
        <row r="94">
          <cell r="B94" t="str">
            <v>7701-C18</v>
          </cell>
          <cell r="C94" t="str">
            <v>Mechanical Completion 7701-C18 Q20 E&amp;I Rooms Supply System 77GA102A/B</v>
          </cell>
          <cell r="D94" t="str">
            <v>T.Q20</v>
          </cell>
          <cell r="E94" t="str">
            <v>0d</v>
          </cell>
          <cell r="G94">
            <v>41344</v>
          </cell>
          <cell r="H94">
            <v>93</v>
          </cell>
        </row>
        <row r="95">
          <cell r="B95" t="str">
            <v>7701-C27</v>
          </cell>
          <cell r="C95" t="str">
            <v>Mechanical Completion 7701-C27 Q30 Battery Room B Extract System 77GK137A/B</v>
          </cell>
          <cell r="D95" t="str">
            <v>T.Q30</v>
          </cell>
          <cell r="E95" t="str">
            <v>0d</v>
          </cell>
          <cell r="G95">
            <v>41344</v>
          </cell>
          <cell r="H95">
            <v>94</v>
          </cell>
        </row>
        <row r="96">
          <cell r="B96" t="str">
            <v>8401-C04</v>
          </cell>
          <cell r="C96" t="str">
            <v>Mechanical Completion 8401-C04 84EG001 Emergency generator</v>
          </cell>
          <cell r="D96" t="str">
            <v>T.Q30</v>
          </cell>
          <cell r="E96" t="str">
            <v>0d</v>
          </cell>
          <cell r="G96">
            <v>41344</v>
          </cell>
          <cell r="H96">
            <v>95</v>
          </cell>
        </row>
        <row r="97">
          <cell r="B97" t="str">
            <v>5001-C03</v>
          </cell>
          <cell r="C97" t="str">
            <v>Mechanical Completion 5001-C03 Suction &amp; Discharge of Seawater Lift Pumps 50PA004A/B/C</v>
          </cell>
          <cell r="D97" t="str">
            <v>H.G20</v>
          </cell>
          <cell r="E97" t="str">
            <v>0d</v>
          </cell>
          <cell r="G97">
            <v>41345</v>
          </cell>
          <cell r="H97">
            <v>96</v>
          </cell>
        </row>
        <row r="98">
          <cell r="B98" t="str">
            <v>5001-C12</v>
          </cell>
          <cell r="C98" t="str">
            <v>Mechanical Completion 5001-C12 Seawater Lift Pumps 50PA004A</v>
          </cell>
          <cell r="D98" t="str">
            <v>H.G20</v>
          </cell>
          <cell r="E98" t="str">
            <v>0d</v>
          </cell>
          <cell r="G98">
            <v>41345</v>
          </cell>
          <cell r="H98">
            <v>97</v>
          </cell>
        </row>
        <row r="99">
          <cell r="B99" t="str">
            <v>6301-C06</v>
          </cell>
          <cell r="C99" t="str">
            <v>Mechanical Completion 6301-C06 Service Air Distribution, Accomodation, Helideck, North Shaft (Under Accomodation)</v>
          </cell>
          <cell r="D99" t="str">
            <v>T.L10</v>
          </cell>
          <cell r="E99" t="str">
            <v>0d</v>
          </cell>
          <cell r="G99">
            <v>41345</v>
          </cell>
          <cell r="H99">
            <v>98</v>
          </cell>
        </row>
        <row r="100">
          <cell r="B100" t="str">
            <v>6501-C01</v>
          </cell>
          <cell r="C100" t="str">
            <v>Mechanical Completion 6501-C01 Hydraulic Skid, Pump &amp; Accumulator system, Hull</v>
          </cell>
          <cell r="D100" t="str">
            <v>H.M10</v>
          </cell>
          <cell r="E100" t="str">
            <v>0d</v>
          </cell>
          <cell r="G100">
            <v>41345</v>
          </cell>
          <cell r="H100">
            <v>99</v>
          </cell>
        </row>
        <row r="101">
          <cell r="B101" t="str">
            <v>6501-C02</v>
          </cell>
          <cell r="C101" t="str">
            <v>Mechanical Completion 6501-C02 Hydraulic Accumulator system, Topside</v>
          </cell>
          <cell r="D101" t="str">
            <v>H.M10</v>
          </cell>
          <cell r="E101" t="str">
            <v>0d</v>
          </cell>
          <cell r="G101">
            <v>41345</v>
          </cell>
          <cell r="H101">
            <v>100</v>
          </cell>
        </row>
        <row r="102">
          <cell r="B102" t="str">
            <v>8001-C01</v>
          </cell>
          <cell r="C102" t="str">
            <v>Mechanical Completion 8001-C01 80EH001 Main switchgear 110kV</v>
          </cell>
          <cell r="D102" t="str">
            <v>H.M30</v>
          </cell>
          <cell r="E102" t="str">
            <v>0d</v>
          </cell>
          <cell r="G102">
            <v>41345</v>
          </cell>
          <cell r="H102">
            <v>101</v>
          </cell>
        </row>
        <row r="103">
          <cell r="B103" t="str">
            <v>8101-C01</v>
          </cell>
          <cell r="C103" t="str">
            <v>Mechanical Completion 8101-C01 81ED001 Multi ASDS for HV motors (incl. 81ET001A / 81ET001B)</v>
          </cell>
          <cell r="D103" t="str">
            <v>T.Q30</v>
          </cell>
          <cell r="E103" t="str">
            <v>0d</v>
          </cell>
          <cell r="G103">
            <v>41345</v>
          </cell>
          <cell r="H103">
            <v>102</v>
          </cell>
        </row>
        <row r="104">
          <cell r="B104" t="str">
            <v>8201-C05</v>
          </cell>
          <cell r="C104" t="str">
            <v>Mechanical Completion 8201-C05 82EL004 Living quarters switchboard 400/230V</v>
          </cell>
          <cell r="D104" t="str">
            <v>T.L10</v>
          </cell>
          <cell r="E104" t="str">
            <v>0d</v>
          </cell>
          <cell r="G104">
            <v>41345</v>
          </cell>
          <cell r="H104">
            <v>103</v>
          </cell>
        </row>
        <row r="105">
          <cell r="B105" t="str">
            <v>8201-C06</v>
          </cell>
          <cell r="C105" t="str">
            <v>Mechanical Completion 8201-C06 82EL001 Topside switchboard 400/230V</v>
          </cell>
          <cell r="D105" t="str">
            <v>T.Q30.Q34</v>
          </cell>
          <cell r="E105" t="str">
            <v>0d</v>
          </cell>
          <cell r="G105">
            <v>41345</v>
          </cell>
          <cell r="H105">
            <v>104</v>
          </cell>
        </row>
        <row r="106">
          <cell r="B106" t="str">
            <v>8401-C07</v>
          </cell>
          <cell r="C106" t="str">
            <v>Mechanical Completion 8401-C07 84EL011 Emergency distr. board &amp; Emergency Lighting &amp; Small power LQ (L11)</v>
          </cell>
          <cell r="D106" t="str">
            <v>T.L10</v>
          </cell>
          <cell r="E106" t="str">
            <v>0d</v>
          </cell>
          <cell r="G106">
            <v>41345</v>
          </cell>
          <cell r="H106">
            <v>105</v>
          </cell>
        </row>
        <row r="107">
          <cell r="B107" t="str">
            <v>8701-C17</v>
          </cell>
          <cell r="C107" t="str">
            <v>Mechanical Completion  8701-C17 Panel 87JC011 - Node C11 - 62 Diesel oil (PCS) (LER)</v>
          </cell>
          <cell r="D107" t="str">
            <v>T.Q30</v>
          </cell>
          <cell r="E107" t="str">
            <v>0d</v>
          </cell>
          <cell r="G107">
            <v>41345</v>
          </cell>
          <cell r="H107">
            <v>106</v>
          </cell>
        </row>
        <row r="108">
          <cell r="B108" t="str">
            <v>8701-C20</v>
          </cell>
          <cell r="C108" t="str">
            <v>Mechanical Completion  8701-C20 Panel 87JC015 - Node C15 - 33 Offloading (PCS) (LER)</v>
          </cell>
          <cell r="D108" t="str">
            <v>T.Q30</v>
          </cell>
          <cell r="E108" t="str">
            <v>0d</v>
          </cell>
          <cell r="G108">
            <v>41345</v>
          </cell>
          <cell r="H108">
            <v>107</v>
          </cell>
        </row>
        <row r="109">
          <cell r="B109" t="str">
            <v>2301-C06</v>
          </cell>
          <cell r="C109" t="str">
            <v>Mechanical Completion 2301-C06 Panel 23-JC-001 - Node 40/44 LP Comp(23KA001/23KA002) UCP + Anti-Surge</v>
          </cell>
          <cell r="D109" t="str">
            <v>T.Q30.Q32</v>
          </cell>
          <cell r="E109" t="str">
            <v>0d</v>
          </cell>
          <cell r="G109">
            <v>41347</v>
          </cell>
          <cell r="H109">
            <v>108</v>
          </cell>
        </row>
        <row r="110">
          <cell r="B110" t="str">
            <v>8201-C11</v>
          </cell>
          <cell r="C110" t="str">
            <v>Mechanical Completion 8201-C11 82EL011 Normal distr. board &amp; Normal Lighting &amp; Small power LQ (L11)</v>
          </cell>
          <cell r="D110" t="str">
            <v>T.L10</v>
          </cell>
          <cell r="E110" t="str">
            <v>0d</v>
          </cell>
          <cell r="G110">
            <v>41347</v>
          </cell>
          <cell r="H110">
            <v>109</v>
          </cell>
        </row>
        <row r="111">
          <cell r="B111" t="str">
            <v>8202-C01</v>
          </cell>
          <cell r="C111" t="str">
            <v>Mechanical Completion 8202-C01 Lighting &amp; Small power, Topside,Utility Area,A3-2</v>
          </cell>
          <cell r="D111" t="str">
            <v>T.Q30</v>
          </cell>
          <cell r="E111" t="str">
            <v>0d</v>
          </cell>
          <cell r="G111">
            <v>41347</v>
          </cell>
          <cell r="H111">
            <v>110</v>
          </cell>
        </row>
        <row r="112">
          <cell r="B112" t="str">
            <v>8701-C36</v>
          </cell>
          <cell r="C112" t="str">
            <v>Mechanical Completion  8701-C36 PCS Junction Boxes and Multicore cables Hull</v>
          </cell>
          <cell r="D112" t="str">
            <v>H.G20</v>
          </cell>
          <cell r="E112" t="str">
            <v>0d</v>
          </cell>
          <cell r="G112">
            <v>41347</v>
          </cell>
          <cell r="H112">
            <v>111</v>
          </cell>
        </row>
        <row r="113">
          <cell r="B113" t="str">
            <v>8701-C37</v>
          </cell>
          <cell r="C113" t="str">
            <v>Mechanical Completion  8701-C37 PCS Junction Boxes and Multicore cables Topside</v>
          </cell>
          <cell r="D113" t="str">
            <v>T.P10</v>
          </cell>
          <cell r="E113" t="str">
            <v>0d</v>
          </cell>
          <cell r="G113">
            <v>41347</v>
          </cell>
          <cell r="H113">
            <v>112</v>
          </cell>
        </row>
        <row r="114">
          <cell r="B114" t="str">
            <v>8701-C38</v>
          </cell>
          <cell r="C114" t="str">
            <v>Mechanical Completion  8701-C38 PCS Junction Boxes and Multicore cables LQ</v>
          </cell>
          <cell r="D114" t="str">
            <v>T.L10</v>
          </cell>
          <cell r="E114" t="str">
            <v>0d</v>
          </cell>
          <cell r="G114">
            <v>41347</v>
          </cell>
          <cell r="H114">
            <v>113</v>
          </cell>
        </row>
        <row r="115">
          <cell r="B115" t="str">
            <v>8702-C01</v>
          </cell>
          <cell r="C115" t="str">
            <v>Mechanical Completion  8702-C01 Panel 87JC050/51 - Node P30 (PSD) (LER)</v>
          </cell>
          <cell r="D115" t="str">
            <v>T.Q30</v>
          </cell>
          <cell r="E115" t="str">
            <v>0d</v>
          </cell>
          <cell r="G115">
            <v>41347</v>
          </cell>
          <cell r="H115">
            <v>114</v>
          </cell>
        </row>
        <row r="116">
          <cell r="B116" t="str">
            <v>8702-C11</v>
          </cell>
          <cell r="C116" t="str">
            <v>Mechanical Completion 8702-C11 PSD Junction Boxes and Multicore cables Hull</v>
          </cell>
          <cell r="D116" t="str">
            <v>H.G20</v>
          </cell>
          <cell r="E116" t="str">
            <v>0d</v>
          </cell>
          <cell r="G116">
            <v>41347</v>
          </cell>
          <cell r="H116">
            <v>115</v>
          </cell>
        </row>
        <row r="117">
          <cell r="B117" t="str">
            <v>8702-C12</v>
          </cell>
          <cell r="C117" t="str">
            <v>Mechanical Completion 8702-C12 PSD Junction Boxes and Multicore cables Topside</v>
          </cell>
          <cell r="D117" t="str">
            <v>T.P10</v>
          </cell>
          <cell r="E117" t="str">
            <v>0d</v>
          </cell>
          <cell r="G117">
            <v>41347</v>
          </cell>
          <cell r="H117">
            <v>116</v>
          </cell>
        </row>
        <row r="118">
          <cell r="B118" t="str">
            <v>8702-C13</v>
          </cell>
          <cell r="C118" t="str">
            <v>Mechanical Completion 8702-C13 PSD Junction Boxes and Multicore cables LQ</v>
          </cell>
          <cell r="D118" t="str">
            <v>T.L10</v>
          </cell>
          <cell r="E118" t="str">
            <v>0d</v>
          </cell>
          <cell r="G118">
            <v>41347</v>
          </cell>
          <cell r="H118">
            <v>117</v>
          </cell>
        </row>
        <row r="119">
          <cell r="B119" t="str">
            <v>5001-C13</v>
          </cell>
          <cell r="C119" t="str">
            <v>Mechanical Completion 5001-C13 Seawater Lift Pumps 50PA004B</v>
          </cell>
          <cell r="D119" t="str">
            <v>H.G20</v>
          </cell>
          <cell r="E119" t="str">
            <v>0d</v>
          </cell>
          <cell r="G119">
            <v>41349</v>
          </cell>
          <cell r="H119">
            <v>118</v>
          </cell>
        </row>
        <row r="120">
          <cell r="B120" t="str">
            <v>6201-C03</v>
          </cell>
          <cell r="C120" t="str">
            <v>Mechanical Completion 6201-C03 Diesel purifier pumps 62PG003A/B &amp; Purifire unit 62XX001 + drain lines</v>
          </cell>
          <cell r="D120" t="str">
            <v>H.N10</v>
          </cell>
          <cell r="E120" t="str">
            <v>0d</v>
          </cell>
          <cell r="G120">
            <v>41349</v>
          </cell>
          <cell r="H120">
            <v>119</v>
          </cell>
        </row>
        <row r="121">
          <cell r="B121" t="str">
            <v>6301-C07</v>
          </cell>
          <cell r="C121" t="str">
            <v>Mechanical Completion 6301-C07 Service Air Distribution, Central Shaft</v>
          </cell>
          <cell r="D121" t="str">
            <v>H.G20</v>
          </cell>
          <cell r="E121" t="str">
            <v>0d</v>
          </cell>
          <cell r="G121">
            <v>41349</v>
          </cell>
          <cell r="H121">
            <v>120</v>
          </cell>
        </row>
        <row r="122">
          <cell r="B122" t="str">
            <v>6401-C01</v>
          </cell>
          <cell r="C122" t="str">
            <v>Mechanical Completion 6401-C01 Nitrogen generator, 64XY001</v>
          </cell>
          <cell r="D122" t="str">
            <v>H.G20</v>
          </cell>
          <cell r="E122" t="str">
            <v>0d</v>
          </cell>
          <cell r="G122">
            <v>41349</v>
          </cell>
          <cell r="H122">
            <v>121</v>
          </cell>
        </row>
        <row r="123">
          <cell r="B123" t="str">
            <v>8401-C08</v>
          </cell>
          <cell r="C123" t="str">
            <v>Mechanical Completion 8401-C08 84EL012 Emergency distr. board &amp; Emergency Lighting &amp; Small power LQ (L12)</v>
          </cell>
          <cell r="D123" t="str">
            <v>T.L10</v>
          </cell>
          <cell r="E123" t="str">
            <v>0d</v>
          </cell>
          <cell r="G123">
            <v>41349</v>
          </cell>
          <cell r="H123">
            <v>122</v>
          </cell>
        </row>
        <row r="124">
          <cell r="B124" t="str">
            <v>8702-C02</v>
          </cell>
          <cell r="C124" t="str">
            <v>Mechanical Completion  8702-C02 Panel 87JC052/53 - Node P31 (PSD) (LER)</v>
          </cell>
          <cell r="D124" t="str">
            <v>T.Q30</v>
          </cell>
          <cell r="E124" t="str">
            <v>0d</v>
          </cell>
          <cell r="G124">
            <v>41349</v>
          </cell>
          <cell r="H124">
            <v>123</v>
          </cell>
        </row>
        <row r="125">
          <cell r="B125" t="str">
            <v>2301-C05</v>
          </cell>
          <cell r="C125" t="str">
            <v>Mechanical Completion 2301-C05, Lube Oil System Recompressor 23KA001/002</v>
          </cell>
          <cell r="D125" t="str">
            <v>T.P40</v>
          </cell>
          <cell r="E125" t="str">
            <v>0d</v>
          </cell>
          <cell r="G125">
            <v>41351</v>
          </cell>
          <cell r="H125">
            <v>124</v>
          </cell>
        </row>
        <row r="126">
          <cell r="B126" t="str">
            <v>2301-C07</v>
          </cell>
          <cell r="C126" t="str">
            <v>Mechanical Completion 2301-C06 Panel 23-JC-002 - Vibration Monitoring</v>
          </cell>
          <cell r="D126" t="str">
            <v>T.Q30.Q32</v>
          </cell>
          <cell r="E126" t="str">
            <v>0d</v>
          </cell>
          <cell r="G126">
            <v>41351</v>
          </cell>
          <cell r="H126">
            <v>125</v>
          </cell>
        </row>
        <row r="127">
          <cell r="B127" t="str">
            <v>4301-C02</v>
          </cell>
          <cell r="C127" t="str">
            <v>Mechanical Completion 4301-C02 LP flare header</v>
          </cell>
          <cell r="D127" t="str">
            <v>T.F10</v>
          </cell>
          <cell r="E127" t="str">
            <v>0d</v>
          </cell>
          <cell r="G127">
            <v>41351</v>
          </cell>
          <cell r="H127">
            <v>126</v>
          </cell>
        </row>
        <row r="128">
          <cell r="B128" t="str">
            <v>4301-C04</v>
          </cell>
          <cell r="C128" t="str">
            <v>Piping Completed for 4301-C04 HP flare metering, 43JX001</v>
          </cell>
          <cell r="E128" t="str">
            <v>0d</v>
          </cell>
          <cell r="G128">
            <v>41351</v>
          </cell>
          <cell r="H128">
            <v>127</v>
          </cell>
        </row>
        <row r="129">
          <cell r="B129" t="str">
            <v>7701-C11</v>
          </cell>
          <cell r="C129" t="str">
            <v>Mechanical Completion 7701-C11 LQ Battery Room Extract System 77GK127A/B</v>
          </cell>
          <cell r="D129" t="str">
            <v>T.L10</v>
          </cell>
          <cell r="E129" t="str">
            <v>0d</v>
          </cell>
          <cell r="G129">
            <v>41352</v>
          </cell>
          <cell r="H129">
            <v>128</v>
          </cell>
        </row>
        <row r="130">
          <cell r="B130" t="str">
            <v>7701-C19</v>
          </cell>
          <cell r="C130" t="str">
            <v>Mechanical Completion 7701-C19 Q30 E&amp;I Rooms Supply System 77GA103A/B</v>
          </cell>
          <cell r="D130" t="str">
            <v>T.Q30</v>
          </cell>
          <cell r="E130" t="str">
            <v>0d</v>
          </cell>
          <cell r="G130">
            <v>41352</v>
          </cell>
          <cell r="H130">
            <v>129</v>
          </cell>
        </row>
        <row r="131">
          <cell r="B131" t="str">
            <v>8201-C12</v>
          </cell>
          <cell r="C131" t="str">
            <v>Mechanical Completion 8201-C12 82EL012 Normal distr. board &amp; Normal Lighting &amp; Small power LQ (L12)</v>
          </cell>
          <cell r="D131" t="str">
            <v>T.L10</v>
          </cell>
          <cell r="E131" t="str">
            <v>0d</v>
          </cell>
          <cell r="G131">
            <v>41352</v>
          </cell>
          <cell r="H131">
            <v>130</v>
          </cell>
        </row>
        <row r="132">
          <cell r="B132" t="str">
            <v>8202-C02</v>
          </cell>
          <cell r="C132" t="str">
            <v>Mechanical Completion 8202-C02 Lighting and Small  Power Topside P20,P30,A3-1</v>
          </cell>
          <cell r="D132" t="str">
            <v>T.P20</v>
          </cell>
          <cell r="E132" t="str">
            <v>0d</v>
          </cell>
          <cell r="G132">
            <v>41352</v>
          </cell>
          <cell r="H132">
            <v>131</v>
          </cell>
        </row>
        <row r="133">
          <cell r="B133" t="str">
            <v>6501-C03</v>
          </cell>
          <cell r="C133" t="str">
            <v>Mechanical Completion 6501-C03 Hydraulic supply/return, Hull</v>
          </cell>
          <cell r="D133" t="str">
            <v>H.G20</v>
          </cell>
          <cell r="E133" t="str">
            <v>0d</v>
          </cell>
          <cell r="G133">
            <v>41353</v>
          </cell>
          <cell r="H133">
            <v>132</v>
          </cell>
        </row>
        <row r="134">
          <cell r="B134" t="str">
            <v>8702-C03</v>
          </cell>
          <cell r="C134" t="str">
            <v>Mechanical Completion  8702-C03 Panel 87JC054/55 - Node P32 (PSD) (LER)</v>
          </cell>
          <cell r="D134" t="str">
            <v>T.Q30</v>
          </cell>
          <cell r="E134" t="str">
            <v>0d</v>
          </cell>
          <cell r="G134">
            <v>41353</v>
          </cell>
          <cell r="H134">
            <v>133</v>
          </cell>
        </row>
        <row r="135">
          <cell r="B135" t="str">
            <v>2301-C01</v>
          </cell>
          <cell r="C135" t="str">
            <v>Mechanical Completion 2301-C01 1 st Stage Recomp Coolers, 23HJ001, 23HJ002 &amp; Scrubbers 23VG00, 23VG002</v>
          </cell>
          <cell r="D135" t="str">
            <v>T.P40</v>
          </cell>
          <cell r="E135" t="str">
            <v>0d</v>
          </cell>
          <cell r="G135">
            <v>41354</v>
          </cell>
          <cell r="H135">
            <v>134</v>
          </cell>
        </row>
        <row r="136">
          <cell r="B136" t="str">
            <v>2701-C18</v>
          </cell>
          <cell r="C136" t="str">
            <v>Mechanical Completion 2701-C18 Panel 27JC007 - UCP Antisurge Node 43/47 (PCS)(LER)</v>
          </cell>
          <cell r="D136" t="str">
            <v>T.Q30.Q32</v>
          </cell>
          <cell r="E136" t="str">
            <v>0d</v>
          </cell>
          <cell r="G136">
            <v>41354</v>
          </cell>
          <cell r="H136">
            <v>135</v>
          </cell>
        </row>
        <row r="137">
          <cell r="B137" t="str">
            <v>5001-C14</v>
          </cell>
          <cell r="C137" t="str">
            <v>Mechanical Completion 5001-C14 Seawater Lift Pumps 50PA004C</v>
          </cell>
          <cell r="D137" t="str">
            <v>H.G20</v>
          </cell>
          <cell r="E137" t="str">
            <v>0d</v>
          </cell>
          <cell r="G137">
            <v>41354</v>
          </cell>
          <cell r="H137">
            <v>136</v>
          </cell>
        </row>
        <row r="138">
          <cell r="B138" t="str">
            <v>6301-C08</v>
          </cell>
          <cell r="C138" t="str">
            <v>Mechanical Completion 6301-C08 Service Air Distribution, Process Deck, Main Deck</v>
          </cell>
          <cell r="D138" t="str">
            <v>T.P10</v>
          </cell>
          <cell r="E138" t="str">
            <v>0d</v>
          </cell>
          <cell r="G138">
            <v>41354</v>
          </cell>
          <cell r="H138">
            <v>137</v>
          </cell>
        </row>
        <row r="139">
          <cell r="B139" t="str">
            <v>8401-C09</v>
          </cell>
          <cell r="C139" t="str">
            <v>Mechanical Completion 8401-C09 84EL013 Emergency distr. board &amp; Emergency Lighting &amp; Small power LQ (L13)</v>
          </cell>
          <cell r="D139" t="str">
            <v>T.L10</v>
          </cell>
          <cell r="E139" t="str">
            <v>0d</v>
          </cell>
          <cell r="G139">
            <v>41354</v>
          </cell>
          <cell r="H139">
            <v>138</v>
          </cell>
        </row>
        <row r="140">
          <cell r="B140" t="str">
            <v>8702-C04</v>
          </cell>
          <cell r="C140" t="str">
            <v>Mechanical Completion  8702-C04 Panel 87JC056/57 - Node P33 (PSD) (LER)</v>
          </cell>
          <cell r="D140" t="str">
            <v>T.Q30</v>
          </cell>
          <cell r="E140" t="str">
            <v>0d</v>
          </cell>
          <cell r="G140">
            <v>41355</v>
          </cell>
          <cell r="H140">
            <v>139</v>
          </cell>
        </row>
        <row r="141">
          <cell r="B141" t="str">
            <v>8201-C13</v>
          </cell>
          <cell r="C141" t="str">
            <v>Mechanical Completion 8201-C13 82EL013 Normal distr. board &amp; Normal Lighting &amp; Small power LQ (L13)</v>
          </cell>
          <cell r="D141" t="str">
            <v>T.L10</v>
          </cell>
          <cell r="E141" t="str">
            <v>0d</v>
          </cell>
          <cell r="G141">
            <v>41356</v>
          </cell>
          <cell r="H141">
            <v>140</v>
          </cell>
        </row>
        <row r="142">
          <cell r="B142" t="str">
            <v>8202-C03</v>
          </cell>
          <cell r="C142" t="str">
            <v>Mechanical Completion 8202-C03 Lighting and Small Power Topside P10,A2-2</v>
          </cell>
          <cell r="D142" t="str">
            <v>T.P10</v>
          </cell>
          <cell r="E142" t="str">
            <v>0d</v>
          </cell>
          <cell r="G142">
            <v>41356</v>
          </cell>
          <cell r="H142">
            <v>141</v>
          </cell>
        </row>
        <row r="143">
          <cell r="B143" t="str">
            <v>2701-C19</v>
          </cell>
          <cell r="C143" t="str">
            <v>Mechanical Completion 2701-C19 Panel 27JC008 - Vibration Monitoring (PCS)(LER)</v>
          </cell>
          <cell r="D143" t="str">
            <v>T.Q30.Q32</v>
          </cell>
          <cell r="E143" t="str">
            <v>0d</v>
          </cell>
          <cell r="G143">
            <v>41359</v>
          </cell>
          <cell r="H143">
            <v>142</v>
          </cell>
        </row>
        <row r="144">
          <cell r="B144" t="str">
            <v>5001-C01</v>
          </cell>
          <cell r="C144" t="str">
            <v>Mechanical Completion 5001-C01 Suction &amp; Discharge of Seawater Cooling Pumps 50PA001A/B</v>
          </cell>
          <cell r="D144" t="str">
            <v>H.N10</v>
          </cell>
          <cell r="E144" t="str">
            <v>0d</v>
          </cell>
          <cell r="G144">
            <v>41359</v>
          </cell>
          <cell r="H144">
            <v>143</v>
          </cell>
        </row>
        <row r="145">
          <cell r="B145" t="str">
            <v>5001-C10</v>
          </cell>
          <cell r="C145" t="str">
            <v>Mechanical Completion 5001-C10 Seawater Cooling Pump 50PA001A</v>
          </cell>
          <cell r="D145" t="str">
            <v>H.N10</v>
          </cell>
          <cell r="E145" t="str">
            <v>0d</v>
          </cell>
          <cell r="G145">
            <v>41359</v>
          </cell>
          <cell r="H145">
            <v>144</v>
          </cell>
        </row>
        <row r="146">
          <cell r="B146" t="str">
            <v>6301-C09</v>
          </cell>
          <cell r="C146" t="str">
            <v>Mechanical Completion 6301-C09 Instrument Air for Breathing Connections, Hull &amp; Topside</v>
          </cell>
          <cell r="D146" t="str">
            <v>T.P10</v>
          </cell>
          <cell r="E146" t="str">
            <v>0d</v>
          </cell>
          <cell r="G146">
            <v>41359</v>
          </cell>
          <cell r="H146">
            <v>145</v>
          </cell>
        </row>
        <row r="147">
          <cell r="B147" t="str">
            <v>8001-C04</v>
          </cell>
          <cell r="C147" t="str">
            <v>Mechanical Completion 8001-C04 Panel 80JC100 - Node L52 (LER Turbine)</v>
          </cell>
          <cell r="D147" t="str">
            <v>T.Q20</v>
          </cell>
          <cell r="E147" t="str">
            <v>0d</v>
          </cell>
          <cell r="G147">
            <v>41359</v>
          </cell>
          <cell r="H147">
            <v>146</v>
          </cell>
        </row>
        <row r="148">
          <cell r="B148" t="str">
            <v>8101-C02</v>
          </cell>
          <cell r="C148" t="str">
            <v>Mechanical Completion 8101-C02 81ED002 Multi ASDS for HV motors (incl. 81ET002A / 81ET002B)</v>
          </cell>
          <cell r="D148" t="str">
            <v>T.Q30</v>
          </cell>
          <cell r="E148" t="str">
            <v>0d</v>
          </cell>
          <cell r="G148">
            <v>41359</v>
          </cell>
          <cell r="H148">
            <v>147</v>
          </cell>
        </row>
        <row r="149">
          <cell r="B149" t="str">
            <v>8401-C10</v>
          </cell>
          <cell r="C149" t="str">
            <v>Mechanical Completion 8401-C10 84EL014 Emergency distr. board &amp; Emergency Lighting &amp; Small power LQ (L14)</v>
          </cell>
          <cell r="D149" t="str">
            <v>T.L10</v>
          </cell>
          <cell r="E149" t="str">
            <v>0d</v>
          </cell>
          <cell r="G149">
            <v>41359</v>
          </cell>
          <cell r="H149">
            <v>148</v>
          </cell>
        </row>
        <row r="150">
          <cell r="B150" t="str">
            <v>8702-C05</v>
          </cell>
          <cell r="C150" t="str">
            <v>Mechanical Completion  8702-C05 Panel 87JC058/59 - Node P34 (PSD) (LER)</v>
          </cell>
          <cell r="D150" t="str">
            <v>T.Q30</v>
          </cell>
          <cell r="E150" t="str">
            <v>0d</v>
          </cell>
          <cell r="G150">
            <v>41359</v>
          </cell>
          <cell r="H150">
            <v>149</v>
          </cell>
        </row>
        <row r="151">
          <cell r="B151" t="str">
            <v>5701-C02</v>
          </cell>
          <cell r="C151" t="str">
            <v>Mechanical Completion 5701-C02 Closed Drain Drum, 57VD001</v>
          </cell>
          <cell r="D151" t="str">
            <v>H.M20</v>
          </cell>
          <cell r="E151" t="str">
            <v>0d</v>
          </cell>
          <cell r="G151">
            <v>41360</v>
          </cell>
          <cell r="H151">
            <v>150</v>
          </cell>
        </row>
        <row r="152">
          <cell r="B152" t="str">
            <v>6501-C04</v>
          </cell>
          <cell r="C152" t="str">
            <v>Mechanical Completion 6501-C04 Hydraulic supply/return, Hull</v>
          </cell>
          <cell r="D152" t="str">
            <v>H.G20</v>
          </cell>
          <cell r="E152" t="str">
            <v>0d</v>
          </cell>
          <cell r="G152">
            <v>41360</v>
          </cell>
          <cell r="H152">
            <v>151</v>
          </cell>
        </row>
        <row r="153">
          <cell r="B153" t="str">
            <v>7701-C41</v>
          </cell>
          <cell r="C153" t="str">
            <v>Mechanical Completion 7701-C41 Q20 Main Transformer room System 77GK146A/B</v>
          </cell>
          <cell r="D153" t="str">
            <v>T.Q20</v>
          </cell>
          <cell r="E153" t="str">
            <v>0d</v>
          </cell>
          <cell r="G153">
            <v>41360</v>
          </cell>
          <cell r="H153">
            <v>152</v>
          </cell>
        </row>
        <row r="154">
          <cell r="B154" t="str">
            <v>8201-C14</v>
          </cell>
          <cell r="C154" t="str">
            <v>Mechanical Completion 8201-C14 82EL014 Normal distr. board &amp; Normal Lighting &amp; Small power LQ (L14)</v>
          </cell>
          <cell r="D154" t="str">
            <v>T.L10</v>
          </cell>
          <cell r="E154" t="str">
            <v>0d</v>
          </cell>
          <cell r="G154">
            <v>41361</v>
          </cell>
          <cell r="H154">
            <v>153</v>
          </cell>
        </row>
        <row r="155">
          <cell r="B155" t="str">
            <v>8202-C04</v>
          </cell>
          <cell r="C155" t="str">
            <v>Mechanical Completion 8202-C04 Lighting and Small Power Topside Main Deck,A2-1</v>
          </cell>
          <cell r="D155" t="str">
            <v>T.P10</v>
          </cell>
          <cell r="E155" t="str">
            <v>0d</v>
          </cell>
          <cell r="G155">
            <v>41361</v>
          </cell>
          <cell r="H155">
            <v>154</v>
          </cell>
        </row>
        <row r="156">
          <cell r="B156" t="str">
            <v>8702-C06</v>
          </cell>
          <cell r="C156" t="str">
            <v>Mechanical Completion  8702-C06 Panel 87JC060/61 - Node P35 (PSD) (LER)</v>
          </cell>
          <cell r="D156" t="str">
            <v>T.Q30</v>
          </cell>
          <cell r="E156" t="str">
            <v>0d</v>
          </cell>
          <cell r="G156">
            <v>41361</v>
          </cell>
          <cell r="H156">
            <v>155</v>
          </cell>
        </row>
        <row r="157">
          <cell r="B157" t="str">
            <v>2701-C14</v>
          </cell>
          <cell r="C157" t="str">
            <v>Mechanical Completion 2701-C14 Panel 27JC003 - UCP Antisurge Node 41/45 (PCS)(LER)</v>
          </cell>
          <cell r="D157" t="str">
            <v>T.Q30.Q32</v>
          </cell>
          <cell r="E157" t="str">
            <v>0d</v>
          </cell>
          <cell r="G157">
            <v>41362</v>
          </cell>
          <cell r="H157">
            <v>156</v>
          </cell>
        </row>
        <row r="158">
          <cell r="B158" t="str">
            <v>7701-C14</v>
          </cell>
          <cell r="C158" t="str">
            <v>Mechanical Completion 7701-C14 G20 Central Shaft Supply System 77GK123A/B</v>
          </cell>
          <cell r="D158" t="str">
            <v>H.G20</v>
          </cell>
          <cell r="E158" t="str">
            <v>0d</v>
          </cell>
          <cell r="G158">
            <v>41362</v>
          </cell>
          <cell r="H158">
            <v>157</v>
          </cell>
        </row>
        <row r="159">
          <cell r="B159" t="str">
            <v>8701-C03</v>
          </cell>
          <cell r="C159" t="str">
            <v>Mechanical Completion  8701-C03 Panel 87JC271 - LAN/Switch/FOC  A-network (CER)</v>
          </cell>
          <cell r="D159" t="str">
            <v>T.L10.L12</v>
          </cell>
          <cell r="E159" t="str">
            <v>0d</v>
          </cell>
          <cell r="G159">
            <v>41362</v>
          </cell>
          <cell r="H159">
            <v>158</v>
          </cell>
        </row>
        <row r="160">
          <cell r="B160" t="str">
            <v>8701-C04</v>
          </cell>
          <cell r="C160" t="str">
            <v>Mechanical Completion  8701-C04 Panel 87JC272 - LAN/Switch/FOC  B-network (CER)</v>
          </cell>
          <cell r="D160" t="str">
            <v>T.L10.L12</v>
          </cell>
          <cell r="E160" t="str">
            <v>0d</v>
          </cell>
          <cell r="G160">
            <v>41362</v>
          </cell>
          <cell r="H160">
            <v>159</v>
          </cell>
        </row>
        <row r="161">
          <cell r="B161" t="str">
            <v>8701-C06</v>
          </cell>
          <cell r="C161" t="str">
            <v>Mechanical Completion  8701-C06 Panel 87JC231 - SAS servers (CER)</v>
          </cell>
          <cell r="D161" t="str">
            <v>T.L10.L12</v>
          </cell>
          <cell r="E161" t="str">
            <v>0d</v>
          </cell>
          <cell r="G161">
            <v>41362</v>
          </cell>
          <cell r="H161">
            <v>160</v>
          </cell>
        </row>
        <row r="162">
          <cell r="B162" t="str">
            <v>3301-C02</v>
          </cell>
          <cell r="C162" t="str">
            <v>Mechanical Completion 3301-C02 Cargo pumps 33PA001A/B/C</v>
          </cell>
          <cell r="D162" t="str">
            <v>H.G20</v>
          </cell>
          <cell r="E162" t="str">
            <v>0d</v>
          </cell>
          <cell r="G162">
            <v>41363</v>
          </cell>
          <cell r="H162">
            <v>161</v>
          </cell>
        </row>
        <row r="163">
          <cell r="B163" t="str">
            <v>4301-C05</v>
          </cell>
          <cell r="C163" t="str">
            <v>Mechanical Completion 4301-C05 LP Flare Knockout drum 43VD002 &amp; flare tip 43FC002</v>
          </cell>
          <cell r="D163" t="str">
            <v>T.F10</v>
          </cell>
          <cell r="E163" t="str">
            <v>0d</v>
          </cell>
          <cell r="G163">
            <v>41363</v>
          </cell>
          <cell r="H163">
            <v>162</v>
          </cell>
        </row>
        <row r="164">
          <cell r="B164" t="str">
            <v>5001-C11</v>
          </cell>
          <cell r="C164" t="str">
            <v>Mechanical Completion 5001-C11 Seawater Cooling Pump 50PA001B</v>
          </cell>
          <cell r="D164" t="str">
            <v>H.N10</v>
          </cell>
          <cell r="E164" t="str">
            <v>0d</v>
          </cell>
          <cell r="G164">
            <v>41363</v>
          </cell>
          <cell r="H164">
            <v>163</v>
          </cell>
        </row>
        <row r="165">
          <cell r="B165" t="str">
            <v>6201-C04</v>
          </cell>
          <cell r="C165" t="str">
            <v>Mechanical Completion 6201-C04 Diesel service tanks 62TB003/4 and supply pumps 62PA002A/B</v>
          </cell>
          <cell r="D165" t="str">
            <v>H.N10</v>
          </cell>
          <cell r="E165" t="str">
            <v>0d</v>
          </cell>
          <cell r="G165">
            <v>41363</v>
          </cell>
          <cell r="H165">
            <v>164</v>
          </cell>
        </row>
        <row r="166">
          <cell r="B166" t="str">
            <v>6401-C03</v>
          </cell>
          <cell r="C166" t="str">
            <v>Mechanical Completion 6401-C03 Nitrogen Compressor, 64KB001</v>
          </cell>
          <cell r="D166" t="str">
            <v>H.G20</v>
          </cell>
          <cell r="E166" t="str">
            <v>0d</v>
          </cell>
          <cell r="G166">
            <v>41363</v>
          </cell>
          <cell r="H166">
            <v>165</v>
          </cell>
        </row>
        <row r="167">
          <cell r="B167" t="str">
            <v>6401-C06</v>
          </cell>
          <cell r="C167" t="str">
            <v>Mechanical Completion 6401-C06 Nitrogen Utility Stations</v>
          </cell>
          <cell r="D167" t="str">
            <v>T.P10</v>
          </cell>
          <cell r="E167" t="str">
            <v>0d</v>
          </cell>
          <cell r="G167">
            <v>41363</v>
          </cell>
          <cell r="H167">
            <v>166</v>
          </cell>
        </row>
        <row r="168">
          <cell r="B168" t="str">
            <v>8401-C11</v>
          </cell>
          <cell r="C168" t="str">
            <v>Mechanical Completion 8401-C11 84EL015 Emergency distr. board &amp; Emergency Lighting &amp; Small power LQ (L15)</v>
          </cell>
          <cell r="D168" t="str">
            <v>T.L10</v>
          </cell>
          <cell r="E168" t="str">
            <v>0d</v>
          </cell>
          <cell r="G168">
            <v>41363</v>
          </cell>
          <cell r="H168">
            <v>167</v>
          </cell>
        </row>
        <row r="169">
          <cell r="B169" t="str">
            <v>8701-C24</v>
          </cell>
          <cell r="C169" t="str">
            <v>Mechanical Completion  8701-C24 Panel 87JC019 - Node C19 - AFC / ADT (PCS) (LER)</v>
          </cell>
          <cell r="D169" t="str">
            <v>T.Q30</v>
          </cell>
          <cell r="E169" t="str">
            <v>0d</v>
          </cell>
          <cell r="G169">
            <v>41363</v>
          </cell>
          <cell r="H169">
            <v>168</v>
          </cell>
        </row>
        <row r="170">
          <cell r="B170" t="str">
            <v>8702-C07</v>
          </cell>
          <cell r="C170" t="str">
            <v>Mechanical Completion  8702-C07 Panel 87JC062/63 - Node P36 (PSD) (LER)</v>
          </cell>
          <cell r="D170" t="str">
            <v>T.Q30</v>
          </cell>
          <cell r="E170" t="str">
            <v>0d</v>
          </cell>
          <cell r="G170">
            <v>41363</v>
          </cell>
          <cell r="H170">
            <v>169</v>
          </cell>
        </row>
        <row r="171">
          <cell r="B171" t="str">
            <v>4001-C03</v>
          </cell>
          <cell r="C171" t="str">
            <v>Mechanical Completion 4001-C03 Cooling Medium Drain System</v>
          </cell>
          <cell r="D171" t="str">
            <v>T.P10</v>
          </cell>
          <cell r="E171" t="str">
            <v>0d</v>
          </cell>
          <cell r="G171">
            <v>41365</v>
          </cell>
          <cell r="H171">
            <v>170</v>
          </cell>
        </row>
        <row r="172">
          <cell r="B172" t="str">
            <v>5601-C02</v>
          </cell>
          <cell r="C172" t="str">
            <v>Mechanical Completion 5601-C02 Hazardous open drain tank 56TX003 + pumps 56PA001A/B &amp; 56PA003A/B</v>
          </cell>
          <cell r="D172" t="str">
            <v>H.G20</v>
          </cell>
          <cell r="E172" t="str">
            <v>0d</v>
          </cell>
          <cell r="G172">
            <v>41365</v>
          </cell>
          <cell r="H172">
            <v>171</v>
          </cell>
        </row>
        <row r="173">
          <cell r="B173" t="str">
            <v>7301-C02</v>
          </cell>
          <cell r="C173" t="str">
            <v>Mechanical Completion 7301-C02 73MA002 Easth Crane</v>
          </cell>
          <cell r="D173" t="str">
            <v>T.Q30</v>
          </cell>
          <cell r="E173" t="str">
            <v>0d</v>
          </cell>
          <cell r="G173">
            <v>41365</v>
          </cell>
          <cell r="H173">
            <v>172</v>
          </cell>
        </row>
        <row r="174">
          <cell r="B174" t="str">
            <v>7901-C01</v>
          </cell>
          <cell r="C174" t="str">
            <v>Mechanical Completion 7901-C01 Panel 79JC001/2 - Node E60 (CER)</v>
          </cell>
          <cell r="D174" t="str">
            <v>T.L10.L12</v>
          </cell>
          <cell r="E174" t="str">
            <v>0d</v>
          </cell>
          <cell r="G174">
            <v>41365</v>
          </cell>
          <cell r="H174">
            <v>173</v>
          </cell>
        </row>
        <row r="175">
          <cell r="B175" t="str">
            <v>8701-C29</v>
          </cell>
          <cell r="C175" t="str">
            <v>Mechanical Completion  8701-C29 Panel 87JC281 - Server Online Simulator (CER)</v>
          </cell>
          <cell r="D175" t="str">
            <v>T.L10.L12</v>
          </cell>
          <cell r="E175" t="str">
            <v>0d</v>
          </cell>
          <cell r="G175">
            <v>41365</v>
          </cell>
          <cell r="H175">
            <v>174</v>
          </cell>
        </row>
        <row r="176">
          <cell r="B176" t="str">
            <v>8703-C01</v>
          </cell>
          <cell r="C176" t="str">
            <v>Mechanical Completion  8703-C01 Panel 87JC232 - Servers for Condition Monitoring (CER)</v>
          </cell>
          <cell r="D176" t="str">
            <v>T.L10</v>
          </cell>
          <cell r="E176" t="str">
            <v>0d</v>
          </cell>
          <cell r="G176">
            <v>41365</v>
          </cell>
          <cell r="H176">
            <v>175</v>
          </cell>
        </row>
        <row r="177">
          <cell r="B177" t="str">
            <v>8704-C01</v>
          </cell>
          <cell r="C177" t="str">
            <v>Mechanical Completion  8704-C01 Panel 87JC241- Screen drivers, OS for EOW, Operation Equipment (CER &amp; Test Room)</v>
          </cell>
          <cell r="D177" t="str">
            <v>T.L10</v>
          </cell>
          <cell r="E177" t="str">
            <v>0d</v>
          </cell>
          <cell r="G177">
            <v>41365</v>
          </cell>
          <cell r="H177">
            <v>176</v>
          </cell>
        </row>
        <row r="178">
          <cell r="B178" t="str">
            <v>2701-C15</v>
          </cell>
          <cell r="C178" t="str">
            <v>Mechanical Completion 2701-C15 Panel 27JC004 - Vibration Monitoring (PCS)(LER)</v>
          </cell>
          <cell r="D178" t="str">
            <v>T.Q30.Q32</v>
          </cell>
          <cell r="E178" t="str">
            <v>0d</v>
          </cell>
          <cell r="G178">
            <v>41366</v>
          </cell>
          <cell r="H178">
            <v>177</v>
          </cell>
        </row>
        <row r="179">
          <cell r="B179" t="str">
            <v>8201-C15</v>
          </cell>
          <cell r="C179" t="str">
            <v>Mechanical Completion 8201-C15 82EL015 Normal distr. board &amp; Normal Lighting &amp; Small power LQ (L15)</v>
          </cell>
          <cell r="D179" t="str">
            <v>T.L10</v>
          </cell>
          <cell r="E179" t="str">
            <v>0d</v>
          </cell>
          <cell r="G179">
            <v>41366</v>
          </cell>
          <cell r="H179">
            <v>178</v>
          </cell>
        </row>
        <row r="180">
          <cell r="B180" t="str">
            <v>8202-C05</v>
          </cell>
          <cell r="C180" t="str">
            <v>Mechanical Completion 8202-C05 Lighting and Small Power Topside Utility Area,B2-1</v>
          </cell>
          <cell r="D180" t="str">
            <v>T.P10</v>
          </cell>
          <cell r="E180" t="str">
            <v>0d</v>
          </cell>
          <cell r="G180">
            <v>41366</v>
          </cell>
          <cell r="H180">
            <v>179</v>
          </cell>
        </row>
        <row r="181">
          <cell r="B181" t="str">
            <v>8702-C08</v>
          </cell>
          <cell r="C181" t="str">
            <v>Mechanical Completion  8702-C08 Panel 87JC064/65 - Node P37 (PSD) (LER)</v>
          </cell>
          <cell r="D181" t="str">
            <v>T.Q30</v>
          </cell>
          <cell r="E181" t="str">
            <v>0d</v>
          </cell>
          <cell r="G181">
            <v>41367</v>
          </cell>
          <cell r="H181">
            <v>180</v>
          </cell>
        </row>
        <row r="182">
          <cell r="B182" t="str">
            <v>3301-C17</v>
          </cell>
          <cell r="C182" t="str">
            <v>Mechanical Completion 3301-C17 Cargo pump 33PA001B</v>
          </cell>
          <cell r="D182" t="str">
            <v>H.G20</v>
          </cell>
          <cell r="E182" t="str">
            <v>0d</v>
          </cell>
          <cell r="G182">
            <v>41368</v>
          </cell>
          <cell r="H182">
            <v>181</v>
          </cell>
        </row>
        <row r="183">
          <cell r="B183" t="str">
            <v>5001-C08</v>
          </cell>
          <cell r="C183" t="str">
            <v>Mechanical Completion 5001-C08 Sea Water Deck Seal Header</v>
          </cell>
          <cell r="D183" t="str">
            <v>H.M10</v>
          </cell>
          <cell r="E183" t="str">
            <v>0d</v>
          </cell>
          <cell r="G183">
            <v>41368</v>
          </cell>
          <cell r="H183">
            <v>182</v>
          </cell>
        </row>
        <row r="184">
          <cell r="B184" t="str">
            <v>6501-C05</v>
          </cell>
          <cell r="C184" t="str">
            <v>Mechanical Completion 6501-C05 Hydraulic supply/return topside west</v>
          </cell>
          <cell r="D184" t="str">
            <v>H.M10</v>
          </cell>
          <cell r="E184" t="str">
            <v>0d</v>
          </cell>
          <cell r="G184">
            <v>41368</v>
          </cell>
          <cell r="H184">
            <v>183</v>
          </cell>
        </row>
        <row r="185">
          <cell r="B185" t="str">
            <v>7901-C02</v>
          </cell>
          <cell r="C185" t="str">
            <v>Mechanical Completion 7901-C02 Panel 79JC003/4 - Node E61 (CER)</v>
          </cell>
          <cell r="D185" t="str">
            <v>T.L10.L12</v>
          </cell>
          <cell r="E185" t="str">
            <v>0d</v>
          </cell>
          <cell r="G185">
            <v>41368</v>
          </cell>
          <cell r="H185">
            <v>184</v>
          </cell>
        </row>
        <row r="186">
          <cell r="B186" t="str">
            <v>7901-C05</v>
          </cell>
          <cell r="C186" t="str">
            <v>Mechanical Completion 7901-C05 ESD Junction Boxes and Multicore cables Hull</v>
          </cell>
          <cell r="D186" t="str">
            <v>H.G20</v>
          </cell>
          <cell r="E186" t="str">
            <v>0d</v>
          </cell>
          <cell r="G186">
            <v>41368</v>
          </cell>
          <cell r="H186">
            <v>185</v>
          </cell>
        </row>
        <row r="187">
          <cell r="B187" t="str">
            <v>7901-C06</v>
          </cell>
          <cell r="C187" t="str">
            <v>Mechanical Completion 7901-C06 ESD Junction Boxes and Multicore cables Topside</v>
          </cell>
          <cell r="D187" t="str">
            <v>T.P10</v>
          </cell>
          <cell r="E187" t="str">
            <v>0d</v>
          </cell>
          <cell r="G187">
            <v>41368</v>
          </cell>
          <cell r="H187">
            <v>186</v>
          </cell>
        </row>
        <row r="188">
          <cell r="B188" t="str">
            <v>7901-C07</v>
          </cell>
          <cell r="C188" t="str">
            <v>Mechanical Completion 7901-C07 ESD Junction Boxes and Multicore cables LQ</v>
          </cell>
          <cell r="D188" t="str">
            <v>T.L10</v>
          </cell>
          <cell r="E188" t="str">
            <v>0d</v>
          </cell>
          <cell r="G188">
            <v>41368</v>
          </cell>
          <cell r="H188">
            <v>187</v>
          </cell>
        </row>
        <row r="189">
          <cell r="B189" t="str">
            <v>8401-C12</v>
          </cell>
          <cell r="C189" t="str">
            <v>Mechanical Completion 8401-C12 84EL016 Emergency distr. board &amp; Emergency Lighting &amp; Small power LQ (L16)</v>
          </cell>
          <cell r="D189" t="str">
            <v>T.L10</v>
          </cell>
          <cell r="E189" t="str">
            <v>0d</v>
          </cell>
          <cell r="G189">
            <v>41368</v>
          </cell>
          <cell r="H189">
            <v>188</v>
          </cell>
        </row>
        <row r="190">
          <cell r="B190" t="str">
            <v>8703-C04</v>
          </cell>
          <cell r="C190" t="str">
            <v>Mechanical Completion  8703-C04 Panel 87JJ001 - Condition Monitoring / Vibration (PCS) (LER)</v>
          </cell>
          <cell r="D190" t="str">
            <v>T.Q30</v>
          </cell>
          <cell r="E190" t="str">
            <v>0d</v>
          </cell>
          <cell r="G190">
            <v>41368</v>
          </cell>
          <cell r="H190">
            <v>189</v>
          </cell>
        </row>
        <row r="191">
          <cell r="B191" t="str">
            <v>8703-C08</v>
          </cell>
          <cell r="C191" t="str">
            <v>Mechanical Completion  8703-C08 Load Computer</v>
          </cell>
          <cell r="D191" t="str">
            <v>T.L10</v>
          </cell>
          <cell r="E191" t="str">
            <v>0d</v>
          </cell>
          <cell r="G191">
            <v>41368</v>
          </cell>
          <cell r="H191">
            <v>190</v>
          </cell>
        </row>
        <row r="192">
          <cell r="B192" t="str">
            <v>8703-C10</v>
          </cell>
          <cell r="C192" t="str">
            <v>Mechanical Completion  8703-C10 Panel 87JC221 - SAAS Valve Watch (LER)</v>
          </cell>
          <cell r="D192" t="str">
            <v>T.Q30</v>
          </cell>
          <cell r="E192" t="str">
            <v>0d</v>
          </cell>
          <cell r="G192">
            <v>41368</v>
          </cell>
          <cell r="H192">
            <v>191</v>
          </cell>
        </row>
        <row r="193">
          <cell r="B193" t="str">
            <v>2701-C16</v>
          </cell>
          <cell r="C193" t="str">
            <v>Mechanical Completion 2701-C16 Panel 27JC005 - UCP Antisurge Node 42/46 (PCS)(LER)</v>
          </cell>
          <cell r="D193" t="str">
            <v>T.Q30.Q32</v>
          </cell>
          <cell r="E193" t="str">
            <v>0d</v>
          </cell>
          <cell r="G193">
            <v>41369</v>
          </cell>
          <cell r="H193">
            <v>192</v>
          </cell>
        </row>
        <row r="194">
          <cell r="B194" t="str">
            <v>5701-C03</v>
          </cell>
          <cell r="C194" t="str">
            <v>Mechanical Completion 5701-C03 Closed Drain Transfer Pumps, 57PG001A/B</v>
          </cell>
          <cell r="D194" t="str">
            <v>H.M20</v>
          </cell>
          <cell r="E194" t="str">
            <v>0d</v>
          </cell>
          <cell r="G194">
            <v>41369</v>
          </cell>
          <cell r="H194">
            <v>193</v>
          </cell>
        </row>
        <row r="195">
          <cell r="B195" t="str">
            <v>7701-C15</v>
          </cell>
          <cell r="C195" t="str">
            <v>Mechanical Completion 7701-C15 G20 Central Shaft Extract System 77GK124A/B</v>
          </cell>
          <cell r="D195" t="str">
            <v>H.G20</v>
          </cell>
          <cell r="E195" t="str">
            <v>0d</v>
          </cell>
          <cell r="G195">
            <v>41369</v>
          </cell>
          <cell r="H195">
            <v>194</v>
          </cell>
        </row>
        <row r="196">
          <cell r="B196" t="str">
            <v>7701-C35</v>
          </cell>
          <cell r="C196" t="str">
            <v>Mechanical Completion 7701-C35 LQ-TER DX Cooling Unit 77GB107A/B</v>
          </cell>
          <cell r="D196" t="str">
            <v>T.L10.L17</v>
          </cell>
          <cell r="E196" t="str">
            <v>0d</v>
          </cell>
          <cell r="G196">
            <v>41369</v>
          </cell>
          <cell r="H196">
            <v>195</v>
          </cell>
        </row>
        <row r="197">
          <cell r="B197" t="str">
            <v>8702-C09</v>
          </cell>
          <cell r="C197" t="str">
            <v>Mechanical Completion 8702-C09 Panel 87JC066 - Node P38 (PSD) (LER)</v>
          </cell>
          <cell r="D197" t="str">
            <v>T.Q30</v>
          </cell>
          <cell r="E197" t="str">
            <v>0d</v>
          </cell>
          <cell r="G197">
            <v>41369</v>
          </cell>
          <cell r="H197">
            <v>196</v>
          </cell>
        </row>
        <row r="198">
          <cell r="B198" t="str">
            <v>2701-C11</v>
          </cell>
          <cell r="C198" t="str">
            <v>Mechanical Completion 2701-C11 Lube oil system HP compressor 27KA003</v>
          </cell>
          <cell r="D198" t="str">
            <v>T.P30</v>
          </cell>
          <cell r="E198" t="str">
            <v>0d</v>
          </cell>
          <cell r="G198">
            <v>41370</v>
          </cell>
          <cell r="H198">
            <v>197</v>
          </cell>
        </row>
        <row r="199">
          <cell r="B199" t="str">
            <v>5001-C05</v>
          </cell>
          <cell r="C199" t="str">
            <v>Mechanical Completion 5001-C05 Seawater Deck seal Pumps, 50PA003A/B</v>
          </cell>
          <cell r="D199" t="str">
            <v>H.G20</v>
          </cell>
          <cell r="E199" t="str">
            <v>0d</v>
          </cell>
          <cell r="G199">
            <v>41370</v>
          </cell>
          <cell r="H199">
            <v>198</v>
          </cell>
        </row>
        <row r="200">
          <cell r="B200" t="str">
            <v>8201-C16</v>
          </cell>
          <cell r="C200" t="str">
            <v>Mechanical Completion 8201-C16 82EL016 Normal distr. board &amp; Normal Lighting &amp; Small power LQ (L16)</v>
          </cell>
          <cell r="D200" t="str">
            <v>T.L10</v>
          </cell>
          <cell r="E200" t="str">
            <v>0d</v>
          </cell>
          <cell r="G200">
            <v>41370</v>
          </cell>
          <cell r="H200">
            <v>199</v>
          </cell>
        </row>
        <row r="201">
          <cell r="B201" t="str">
            <v>8202-C06</v>
          </cell>
          <cell r="C201" t="str">
            <v>Mechanical Completion 8202-C06 Lighting and Small Power Topside socket outlet,B2-2</v>
          </cell>
          <cell r="D201" t="str">
            <v>T.P10</v>
          </cell>
          <cell r="E201" t="str">
            <v>0d</v>
          </cell>
          <cell r="G201">
            <v>41370</v>
          </cell>
          <cell r="H201">
            <v>200</v>
          </cell>
        </row>
        <row r="202">
          <cell r="B202" t="str">
            <v>8703-C05</v>
          </cell>
          <cell r="C202" t="str">
            <v>Mechanical Completion  8703-C05 Panel 87JJ002 - Condition Monitoring / Vibration (PCS) (LER)</v>
          </cell>
          <cell r="D202" t="str">
            <v>T.Q30</v>
          </cell>
          <cell r="E202" t="str">
            <v>0d</v>
          </cell>
          <cell r="G202">
            <v>41370</v>
          </cell>
          <cell r="H202">
            <v>201</v>
          </cell>
        </row>
        <row r="203">
          <cell r="B203" t="str">
            <v>8703-C09</v>
          </cell>
          <cell r="C203" t="str">
            <v>Mechanical Completion  8703-C09 Panel 87JDxxx - Valve watch application (LER)</v>
          </cell>
          <cell r="D203" t="str">
            <v>T.Q30</v>
          </cell>
          <cell r="E203" t="str">
            <v>0d</v>
          </cell>
          <cell r="G203">
            <v>41370</v>
          </cell>
          <cell r="H203">
            <v>202</v>
          </cell>
        </row>
        <row r="204">
          <cell r="B204" t="str">
            <v>8703-C11</v>
          </cell>
          <cell r="C204" t="str">
            <v>Mechanical Completion  8703-C11 Panel 87JC222 - SAAS Valve Watch (LER)</v>
          </cell>
          <cell r="D204" t="str">
            <v>T.Q30</v>
          </cell>
          <cell r="E204" t="str">
            <v>0d</v>
          </cell>
          <cell r="G204">
            <v>41370</v>
          </cell>
          <cell r="H204">
            <v>203</v>
          </cell>
        </row>
        <row r="205">
          <cell r="B205" t="str">
            <v>8101-C03</v>
          </cell>
          <cell r="C205" t="str">
            <v>Mechanical Completion 8101-C03 81ED003 ASDS for 3rd stage compressor 27KA003-M01</v>
          </cell>
          <cell r="D205" t="str">
            <v>T.Q30</v>
          </cell>
          <cell r="E205" t="str">
            <v>0d</v>
          </cell>
          <cell r="G205">
            <v>41372</v>
          </cell>
          <cell r="H205">
            <v>204</v>
          </cell>
        </row>
        <row r="206">
          <cell r="B206" t="str">
            <v>2701-C17</v>
          </cell>
          <cell r="C206" t="str">
            <v>Mechanical Completion 2701-C17 Panel 27JC006 - Vibration Monitoring (PCS)(LER)</v>
          </cell>
          <cell r="D206" t="str">
            <v>T.Q30.Q32</v>
          </cell>
          <cell r="E206" t="str">
            <v>0d</v>
          </cell>
          <cell r="G206">
            <v>41373</v>
          </cell>
          <cell r="H206">
            <v>205</v>
          </cell>
        </row>
        <row r="207">
          <cell r="B207" t="str">
            <v>3301-C18</v>
          </cell>
          <cell r="C207" t="str">
            <v>Mechanical Completion 3301-C18 Cargo pump 33PA001C</v>
          </cell>
          <cell r="D207" t="str">
            <v>H.G20</v>
          </cell>
          <cell r="E207" t="str">
            <v>0d</v>
          </cell>
          <cell r="G207">
            <v>41373</v>
          </cell>
          <cell r="H207">
            <v>206</v>
          </cell>
        </row>
        <row r="208">
          <cell r="B208" t="str">
            <v>4301-C06</v>
          </cell>
          <cell r="C208" t="str">
            <v>Piping Completed for 4301-C06 LP flare metering, 43JX002</v>
          </cell>
          <cell r="E208" t="str">
            <v>0d</v>
          </cell>
          <cell r="G208">
            <v>41373</v>
          </cell>
          <cell r="H208">
            <v>207</v>
          </cell>
        </row>
        <row r="209">
          <cell r="B209" t="str">
            <v>4301-C08</v>
          </cell>
          <cell r="C209" t="str">
            <v>Mechanical Completion 4301-C08 Atmospheric vent header</v>
          </cell>
          <cell r="D209" t="str">
            <v>T.F10</v>
          </cell>
          <cell r="E209" t="str">
            <v>0d</v>
          </cell>
          <cell r="G209">
            <v>41373</v>
          </cell>
          <cell r="H209">
            <v>208</v>
          </cell>
        </row>
        <row r="210">
          <cell r="B210" t="str">
            <v>6501-C06</v>
          </cell>
          <cell r="C210" t="str">
            <v>Mechanical Completion 6501-C06 Hydraulic supply/return topside east</v>
          </cell>
          <cell r="D210" t="str">
            <v>H.M10</v>
          </cell>
          <cell r="E210" t="str">
            <v>0d</v>
          </cell>
          <cell r="G210">
            <v>41373</v>
          </cell>
          <cell r="H210">
            <v>209</v>
          </cell>
        </row>
        <row r="211">
          <cell r="B211" t="str">
            <v>7301-C01</v>
          </cell>
          <cell r="C211" t="str">
            <v>Mechanical Completion 7301-C01 73MA001 West Crane</v>
          </cell>
          <cell r="D211" t="str">
            <v>T.Q20</v>
          </cell>
          <cell r="E211" t="str">
            <v>0d</v>
          </cell>
          <cell r="G211">
            <v>41373</v>
          </cell>
          <cell r="H211">
            <v>210</v>
          </cell>
        </row>
        <row r="212">
          <cell r="B212" t="str">
            <v>7301-C03</v>
          </cell>
          <cell r="C212" t="str">
            <v>Mechanical Completion 7301-C03 73MC001 Hazardous Process Elevator</v>
          </cell>
          <cell r="D212" t="str">
            <v>T.P10</v>
          </cell>
          <cell r="E212" t="str">
            <v>0d</v>
          </cell>
          <cell r="G212">
            <v>41373</v>
          </cell>
          <cell r="H212">
            <v>211</v>
          </cell>
        </row>
        <row r="213">
          <cell r="B213" t="str">
            <v>7701-C03</v>
          </cell>
          <cell r="C213" t="str">
            <v>Mechanical Completion 7701-C03 LQ Main Supply System 77GA105A/B</v>
          </cell>
          <cell r="D213" t="str">
            <v>T.L10</v>
          </cell>
          <cell r="E213" t="str">
            <v>0d</v>
          </cell>
          <cell r="G213">
            <v>41373</v>
          </cell>
          <cell r="H213">
            <v>212</v>
          </cell>
        </row>
        <row r="214">
          <cell r="B214" t="str">
            <v>7701-C46</v>
          </cell>
          <cell r="C214" t="str">
            <v>Mechanical Completion 7701-C46 P50 Supply fan 77GK921A/B Chemical Inj. Package A/B</v>
          </cell>
          <cell r="D214" t="str">
            <v>T.P50</v>
          </cell>
          <cell r="E214" t="str">
            <v>0d</v>
          </cell>
          <cell r="G214">
            <v>41373</v>
          </cell>
          <cell r="H214">
            <v>213</v>
          </cell>
        </row>
        <row r="215">
          <cell r="B215" t="str">
            <v>8401-C13</v>
          </cell>
          <cell r="C215" t="str">
            <v>Mechanical Completion 8401-C13 84EL017 Emergency distr. board &amp; Emergency Lighting &amp; Small power LQ (L17)</v>
          </cell>
          <cell r="D215" t="str">
            <v>T.L10</v>
          </cell>
          <cell r="E215" t="str">
            <v>0d</v>
          </cell>
          <cell r="G215">
            <v>41373</v>
          </cell>
          <cell r="H215">
            <v>214</v>
          </cell>
        </row>
        <row r="216">
          <cell r="B216" t="str">
            <v>8681-C01</v>
          </cell>
          <cell r="C216" t="str">
            <v>Mechanical Completion 8681-C01 Main distribution frame</v>
          </cell>
          <cell r="D216" t="str">
            <v>T.L10</v>
          </cell>
          <cell r="E216" t="str">
            <v>0d</v>
          </cell>
          <cell r="G216">
            <v>41373</v>
          </cell>
          <cell r="H216">
            <v>215</v>
          </cell>
        </row>
        <row r="217">
          <cell r="B217" t="str">
            <v>8682-C01</v>
          </cell>
          <cell r="C217" t="str">
            <v>Mechanical Completion 8682-C01 Telecom power supply 86RA004A Emergency PA rectifier</v>
          </cell>
          <cell r="D217" t="str">
            <v>T.L10.L17</v>
          </cell>
          <cell r="E217" t="str">
            <v>0d</v>
          </cell>
          <cell r="G217">
            <v>41373</v>
          </cell>
          <cell r="H217">
            <v>216</v>
          </cell>
        </row>
        <row r="218">
          <cell r="B218" t="str">
            <v>8701-C07</v>
          </cell>
          <cell r="C218" t="str">
            <v>Mechanical Completion  8701-C07 Panel 87JC001 - Node C01 - 16 Topside flowlines, manifolds and pigging (PCS) (LER)</v>
          </cell>
          <cell r="D218" t="str">
            <v>T.Q30</v>
          </cell>
          <cell r="E218" t="str">
            <v>0d</v>
          </cell>
          <cell r="G218">
            <v>41373</v>
          </cell>
          <cell r="H218">
            <v>217</v>
          </cell>
        </row>
        <row r="219">
          <cell r="B219" t="str">
            <v>8702-C10</v>
          </cell>
          <cell r="C219" t="str">
            <v>Mechanical Completion 8702-C10 Panel 87JC067 - Node P39 (PSD) (LER)</v>
          </cell>
          <cell r="D219" t="str">
            <v>T.Q30</v>
          </cell>
          <cell r="E219" t="str">
            <v>0d</v>
          </cell>
          <cell r="G219">
            <v>41373</v>
          </cell>
          <cell r="H219">
            <v>218</v>
          </cell>
        </row>
        <row r="220">
          <cell r="B220" t="str">
            <v>8703-C06</v>
          </cell>
          <cell r="C220" t="str">
            <v>Mechanical Completion  8703-C06 Panel 87JJ003 - Condition Monitoring / Vibration (PCS) (LER)</v>
          </cell>
          <cell r="D220" t="str">
            <v>T.Q30</v>
          </cell>
          <cell r="E220" t="str">
            <v>0d</v>
          </cell>
          <cell r="G220">
            <v>41373</v>
          </cell>
          <cell r="H220">
            <v>219</v>
          </cell>
        </row>
        <row r="221">
          <cell r="B221" t="str">
            <v>8703-C12</v>
          </cell>
          <cell r="C221" t="str">
            <v>Mechanical Completion  8703-C12 Panel 87JC212 - Wireless Hart (PCS) (LER)</v>
          </cell>
          <cell r="D221" t="str">
            <v>T.Q30</v>
          </cell>
          <cell r="E221" t="str">
            <v>0d</v>
          </cell>
          <cell r="G221">
            <v>41373</v>
          </cell>
          <cell r="H221">
            <v>220</v>
          </cell>
        </row>
        <row r="222">
          <cell r="B222" t="str">
            <v>8201-C17</v>
          </cell>
          <cell r="C222" t="str">
            <v>Mechanical Completion 8201-C17 82EL017 Normal distr. board &amp; Normal Lighting &amp; Small power LQ (L17)</v>
          </cell>
          <cell r="D222" t="str">
            <v>T.L10</v>
          </cell>
          <cell r="E222" t="str">
            <v>0d</v>
          </cell>
          <cell r="G222">
            <v>41375</v>
          </cell>
          <cell r="H222">
            <v>221</v>
          </cell>
        </row>
        <row r="223">
          <cell r="B223" t="str">
            <v>8202-C07</v>
          </cell>
          <cell r="C223" t="str">
            <v>Mechanical Completion 8202-C07 Lighting and Small Power Topside P20,P30,B3-1</v>
          </cell>
          <cell r="D223" t="str">
            <v>T.P20</v>
          </cell>
          <cell r="E223" t="str">
            <v>0d</v>
          </cell>
          <cell r="G223">
            <v>41375</v>
          </cell>
          <cell r="H223">
            <v>222</v>
          </cell>
        </row>
        <row r="224">
          <cell r="B224" t="str">
            <v>8701-C08</v>
          </cell>
          <cell r="C224" t="str">
            <v>Mechanical Completion  8701-C08 Panel 87JC002 - Node C02 - 20 Separation and stabilization (PCS) (LER)</v>
          </cell>
          <cell r="D224" t="str">
            <v>T.Q30</v>
          </cell>
          <cell r="E224" t="str">
            <v>0d</v>
          </cell>
          <cell r="G224">
            <v>41375</v>
          </cell>
          <cell r="H224">
            <v>223</v>
          </cell>
        </row>
        <row r="225">
          <cell r="B225" t="str">
            <v>8701-C27</v>
          </cell>
          <cell r="C225" t="str">
            <v>Mechanical Completion  8701-C27 Panel 87JC025 - Node C25/26 - 82 Heat tracing (PCS) (LER)</v>
          </cell>
          <cell r="D225" t="str">
            <v>T.Q30</v>
          </cell>
          <cell r="E225" t="str">
            <v>0d</v>
          </cell>
          <cell r="G225">
            <v>41376</v>
          </cell>
          <cell r="H225">
            <v>224</v>
          </cell>
        </row>
        <row r="226">
          <cell r="B226" t="str">
            <v>8703-C07</v>
          </cell>
          <cell r="C226" t="str">
            <v>Mechanical Completion  8703-C07 Panel 87JJ004 - Condition Monitoring / Vibration (PCS) (LER)</v>
          </cell>
          <cell r="D226" t="str">
            <v>T.Q30</v>
          </cell>
          <cell r="E226" t="str">
            <v>0d</v>
          </cell>
          <cell r="G226">
            <v>41376</v>
          </cell>
          <cell r="H226">
            <v>225</v>
          </cell>
        </row>
        <row r="227">
          <cell r="B227" t="str">
            <v>2301-C03</v>
          </cell>
          <cell r="C227" t="str">
            <v>Mechanical Completion 2301-C03 1st/2nd Stage Recompressor, 23KA001</v>
          </cell>
          <cell r="D227" t="str">
            <v>T.P40</v>
          </cell>
          <cell r="E227" t="str">
            <v>0d</v>
          </cell>
          <cell r="G227">
            <v>41377</v>
          </cell>
          <cell r="H227">
            <v>226</v>
          </cell>
        </row>
        <row r="228">
          <cell r="B228" t="str">
            <v>3301-C03</v>
          </cell>
          <cell r="C228" t="str">
            <v>Mechanical Completion 3301-C03 Cow ringmain and heaters 33HB001/2</v>
          </cell>
          <cell r="D228" t="str">
            <v>H.M10</v>
          </cell>
          <cell r="E228" t="str">
            <v>0d</v>
          </cell>
          <cell r="G228">
            <v>41377</v>
          </cell>
          <cell r="H228">
            <v>227</v>
          </cell>
        </row>
        <row r="229">
          <cell r="B229" t="str">
            <v>4101-C01</v>
          </cell>
          <cell r="C229" t="str">
            <v>Mechanical Completion 4101-C01 Heating medium distribution &amp; expansion tank 41VL001</v>
          </cell>
          <cell r="D229" t="str">
            <v>T.P30</v>
          </cell>
          <cell r="E229" t="str">
            <v>0d</v>
          </cell>
          <cell r="G229">
            <v>41377</v>
          </cell>
          <cell r="H229">
            <v>228</v>
          </cell>
        </row>
        <row r="230">
          <cell r="B230" t="str">
            <v>6201-C02</v>
          </cell>
          <cell r="C230" t="str">
            <v>Mechanical Completion 6201-C02 Diesel overflow pipe and tank 62TB005</v>
          </cell>
          <cell r="D230" t="str">
            <v>H.N10</v>
          </cell>
          <cell r="E230" t="str">
            <v>0d</v>
          </cell>
          <cell r="G230">
            <v>41377</v>
          </cell>
          <cell r="H230">
            <v>229</v>
          </cell>
        </row>
        <row r="231">
          <cell r="B231" t="str">
            <v>6201-C05</v>
          </cell>
          <cell r="C231" t="str">
            <v>Mechanical Completion 6201-C05 Diesel sevice Pumps 62PA004A/B &amp; distribution pipe</v>
          </cell>
          <cell r="D231" t="str">
            <v>H.N10</v>
          </cell>
          <cell r="E231" t="str">
            <v>0d</v>
          </cell>
          <cell r="G231">
            <v>41377</v>
          </cell>
          <cell r="H231">
            <v>230</v>
          </cell>
        </row>
        <row r="232">
          <cell r="B232" t="str">
            <v>8401-C14</v>
          </cell>
          <cell r="C232" t="str">
            <v>Mechanical Completion 8401-C14 84EL018 Emergency distr. board &amp; Emergency Lighting &amp; Small power LQ (L18)</v>
          </cell>
          <cell r="D232" t="str">
            <v>T.L10</v>
          </cell>
          <cell r="E232" t="str">
            <v>0d</v>
          </cell>
          <cell r="G232">
            <v>41377</v>
          </cell>
          <cell r="H232">
            <v>231</v>
          </cell>
        </row>
        <row r="233">
          <cell r="B233" t="str">
            <v>8701-C16</v>
          </cell>
          <cell r="C233" t="str">
            <v>Mechanical Completion  8701-C16 Panel 87JC010 - Node C10 - 42 Chemical injection (PCS) (LER)</v>
          </cell>
          <cell r="D233" t="str">
            <v>T.Q30</v>
          </cell>
          <cell r="E233" t="str">
            <v>0d</v>
          </cell>
          <cell r="G233">
            <v>41377</v>
          </cell>
          <cell r="H233">
            <v>232</v>
          </cell>
        </row>
        <row r="234">
          <cell r="B234" t="str">
            <v>5701-C04</v>
          </cell>
          <cell r="C234" t="str">
            <v>Mechanical Completion 5701-C04 Closed Drain, Pumped Sources Header</v>
          </cell>
          <cell r="D234" t="str">
            <v>H.M20</v>
          </cell>
          <cell r="E234" t="str">
            <v>0d</v>
          </cell>
          <cell r="G234">
            <v>41379</v>
          </cell>
          <cell r="H234">
            <v>233</v>
          </cell>
        </row>
        <row r="235">
          <cell r="B235" t="str">
            <v>6201-C06</v>
          </cell>
          <cell r="C235" t="str">
            <v>Mechanical Completion 6201-C06 Diesel drain pipe and pump 62PF005</v>
          </cell>
          <cell r="D235" t="str">
            <v>H.N10</v>
          </cell>
          <cell r="E235" t="str">
            <v>0d</v>
          </cell>
          <cell r="G235">
            <v>41379</v>
          </cell>
          <cell r="H235">
            <v>234</v>
          </cell>
        </row>
        <row r="236">
          <cell r="B236" t="str">
            <v>7301-C04</v>
          </cell>
          <cell r="C236" t="str">
            <v>Mechanical Completion 7301-C04 73MC002 Centre Shaft Elevator</v>
          </cell>
          <cell r="D236" t="str">
            <v>H.G20</v>
          </cell>
          <cell r="E236" t="str">
            <v>0d</v>
          </cell>
          <cell r="G236">
            <v>41379</v>
          </cell>
          <cell r="H236">
            <v>235</v>
          </cell>
        </row>
        <row r="237">
          <cell r="B237" t="str">
            <v>8201-C08</v>
          </cell>
          <cell r="C237" t="str">
            <v>Mechanical Completion 8201-C08 82EL002 Heat trace switchboard 400/230V</v>
          </cell>
          <cell r="D237" t="str">
            <v>T.Q20</v>
          </cell>
          <cell r="E237" t="str">
            <v>0d</v>
          </cell>
          <cell r="G237">
            <v>41379</v>
          </cell>
          <cell r="H237">
            <v>236</v>
          </cell>
        </row>
        <row r="238">
          <cell r="B238" t="str">
            <v>8201-C09</v>
          </cell>
          <cell r="C238" t="str">
            <v>Mechanical Completion 8201-C09 82EL005 Heat trace switchboard 400/230V</v>
          </cell>
          <cell r="D238" t="str">
            <v>T.Q20</v>
          </cell>
          <cell r="E238" t="str">
            <v>0d</v>
          </cell>
          <cell r="G238">
            <v>41379</v>
          </cell>
          <cell r="H238">
            <v>237</v>
          </cell>
        </row>
        <row r="239">
          <cell r="B239" t="str">
            <v>8703-C13</v>
          </cell>
          <cell r="C239" t="str">
            <v>Mechanical Completion  8703-C13 Panel 87JX141 - Hull Strain Gauge Monitoring (PCS) (LER)</v>
          </cell>
          <cell r="D239" t="str">
            <v>T.Q30</v>
          </cell>
          <cell r="E239" t="str">
            <v>0d</v>
          </cell>
          <cell r="G239">
            <v>41379</v>
          </cell>
          <cell r="H239">
            <v>238</v>
          </cell>
        </row>
        <row r="240">
          <cell r="B240" t="str">
            <v>8201-C18</v>
          </cell>
          <cell r="C240" t="str">
            <v>Mechanical Completion 8201-C18 82EL018 Normal distr. board &amp; Normal Lighting &amp; Small power LQ (L18)</v>
          </cell>
          <cell r="D240" t="str">
            <v>T.L10</v>
          </cell>
          <cell r="E240" t="str">
            <v>0d</v>
          </cell>
          <cell r="G240">
            <v>41380</v>
          </cell>
          <cell r="H240">
            <v>239</v>
          </cell>
        </row>
        <row r="241">
          <cell r="B241" t="str">
            <v>8202-C08</v>
          </cell>
          <cell r="C241" t="str">
            <v>Mechanical Completion 8202-C08 Lighting and Small Power Topside,P50,B3-2</v>
          </cell>
          <cell r="D241" t="str">
            <v>T.P50</v>
          </cell>
          <cell r="E241" t="str">
            <v>0d</v>
          </cell>
          <cell r="G241">
            <v>41380</v>
          </cell>
          <cell r="H241">
            <v>240</v>
          </cell>
        </row>
        <row r="242">
          <cell r="B242" t="str">
            <v>8701-C09</v>
          </cell>
          <cell r="C242" t="str">
            <v>Mechanical Completion  8701-C09 Panel 87JC003 - Node C03 - 29 Water injection (PCS) (LER)</v>
          </cell>
          <cell r="D242" t="str">
            <v>T.Q30</v>
          </cell>
          <cell r="E242" t="str">
            <v>0d</v>
          </cell>
          <cell r="G242">
            <v>41381</v>
          </cell>
          <cell r="H242">
            <v>241</v>
          </cell>
        </row>
        <row r="243">
          <cell r="B243" t="str">
            <v>8401-C15</v>
          </cell>
          <cell r="C243" t="str">
            <v>Mechanical Completion 8401-C15 84EL029 Emengency distr. board North shaft Bus A</v>
          </cell>
          <cell r="D243" t="str">
            <v>H.N10</v>
          </cell>
          <cell r="E243" t="str">
            <v>0d</v>
          </cell>
          <cell r="G243">
            <v>41382</v>
          </cell>
          <cell r="H243">
            <v>242</v>
          </cell>
        </row>
        <row r="244">
          <cell r="B244" t="str">
            <v>8701-C11</v>
          </cell>
          <cell r="C244" t="str">
            <v>Mechanical Completion  8701-C11 Panel 87JC005 - Node C05 - 46 MEG injection (PCS) (LER)</v>
          </cell>
          <cell r="D244" t="str">
            <v>T.Q30</v>
          </cell>
          <cell r="E244" t="str">
            <v>0d</v>
          </cell>
          <cell r="G244">
            <v>41383</v>
          </cell>
          <cell r="H244">
            <v>243</v>
          </cell>
        </row>
        <row r="245">
          <cell r="B245" t="str">
            <v>5601-C03</v>
          </cell>
          <cell r="C245" t="str">
            <v>Mechanical Completion 5601-C03 Non Hazardous open drain header</v>
          </cell>
          <cell r="D245" t="str">
            <v>H.M10</v>
          </cell>
          <cell r="E245" t="str">
            <v>0d</v>
          </cell>
          <cell r="G245">
            <v>41384</v>
          </cell>
          <cell r="H245">
            <v>244</v>
          </cell>
        </row>
        <row r="246">
          <cell r="B246" t="str">
            <v>7301-C05</v>
          </cell>
          <cell r="C246" t="str">
            <v>Mechanical Completion 7301-C05 73MC003 North Shaft Elevator</v>
          </cell>
          <cell r="D246" t="str">
            <v>H.N10</v>
          </cell>
          <cell r="E246" t="str">
            <v>0d</v>
          </cell>
          <cell r="G246">
            <v>41384</v>
          </cell>
          <cell r="H246">
            <v>245</v>
          </cell>
        </row>
        <row r="247">
          <cell r="B247" t="str">
            <v>8201-C19</v>
          </cell>
          <cell r="C247" t="str">
            <v>Mechanical Completion 8201-C19 82EL019 Normal distr. board LQ (CER)</v>
          </cell>
          <cell r="D247" t="str">
            <v>T.L10</v>
          </cell>
          <cell r="E247" t="str">
            <v>0d</v>
          </cell>
          <cell r="G247">
            <v>41384</v>
          </cell>
          <cell r="H247">
            <v>246</v>
          </cell>
        </row>
        <row r="248">
          <cell r="B248" t="str">
            <v>8401-C16</v>
          </cell>
          <cell r="C248" t="str">
            <v>Mechanical Completion 8401-C16 84EL030 Emengency distr. board North shaft Bus B</v>
          </cell>
          <cell r="D248" t="str">
            <v>H.N10</v>
          </cell>
          <cell r="E248" t="str">
            <v>0d</v>
          </cell>
          <cell r="G248">
            <v>41384</v>
          </cell>
          <cell r="H248">
            <v>247</v>
          </cell>
        </row>
        <row r="249">
          <cell r="B249" t="str">
            <v>8402-C06</v>
          </cell>
          <cell r="C249" t="str">
            <v>Mechanical Completion 8402-C06 84EL029 Emergency Lighting &amp; Small power North shaft Bus A</v>
          </cell>
          <cell r="D249" t="str">
            <v>H.N10</v>
          </cell>
          <cell r="E249" t="str">
            <v>0d</v>
          </cell>
          <cell r="G249">
            <v>41384</v>
          </cell>
          <cell r="H249">
            <v>248</v>
          </cell>
        </row>
        <row r="250">
          <cell r="B250" t="str">
            <v>7701-C04</v>
          </cell>
          <cell r="C250" t="str">
            <v>Mechanical Completion 7701-C04 LQ Main Extract System 77GA110A/B</v>
          </cell>
          <cell r="D250" t="str">
            <v>T.L10</v>
          </cell>
          <cell r="E250" t="str">
            <v>0d</v>
          </cell>
          <cell r="G250">
            <v>41386</v>
          </cell>
          <cell r="H250">
            <v>249</v>
          </cell>
        </row>
        <row r="251">
          <cell r="B251" t="str">
            <v>8682-C02</v>
          </cell>
          <cell r="C251" t="str">
            <v>Mechanical Completion 8682-C02 Telecom power supply 86RA004B Emergency PA rectifier</v>
          </cell>
          <cell r="D251" t="str">
            <v>T.Q30</v>
          </cell>
          <cell r="E251" t="str">
            <v>0d</v>
          </cell>
          <cell r="G251">
            <v>41386</v>
          </cell>
          <cell r="H251">
            <v>250</v>
          </cell>
        </row>
        <row r="252">
          <cell r="B252" t="str">
            <v>6401-C04</v>
          </cell>
          <cell r="C252" t="str">
            <v>Mechanical Completion 6401-C04 Inertgas Generator, 64XX001</v>
          </cell>
          <cell r="D252" t="str">
            <v>H.G20</v>
          </cell>
          <cell r="E252" t="str">
            <v>0d</v>
          </cell>
          <cell r="G252">
            <v>41387</v>
          </cell>
          <cell r="H252">
            <v>251</v>
          </cell>
        </row>
        <row r="253">
          <cell r="B253" t="str">
            <v>8201-C20</v>
          </cell>
          <cell r="C253" t="str">
            <v>Mechanical Completion 8201-C20 82EL020 Normal distr. board LQ (CER)</v>
          </cell>
          <cell r="D253" t="str">
            <v>T.L10</v>
          </cell>
          <cell r="E253" t="str">
            <v>0d</v>
          </cell>
          <cell r="G253">
            <v>41387</v>
          </cell>
          <cell r="H253">
            <v>252</v>
          </cell>
        </row>
        <row r="254">
          <cell r="B254" t="str">
            <v>8401-C17</v>
          </cell>
          <cell r="C254" t="str">
            <v>Mechanical Completion 8401-C17 84EL031 Emengency distr. board Center shaft Bus A</v>
          </cell>
          <cell r="D254" t="str">
            <v>H.G20</v>
          </cell>
          <cell r="E254" t="str">
            <v>0d</v>
          </cell>
          <cell r="G254">
            <v>41387</v>
          </cell>
          <cell r="H254">
            <v>253</v>
          </cell>
        </row>
        <row r="255">
          <cell r="B255" t="str">
            <v>8402-C07</v>
          </cell>
          <cell r="C255" t="str">
            <v>Mechanical Completion 8402-C07 84EL030 Emergency Lighting &amp; Small power North shaft Bus B</v>
          </cell>
          <cell r="D255" t="str">
            <v>H.N10</v>
          </cell>
          <cell r="E255" t="str">
            <v>0d</v>
          </cell>
          <cell r="G255">
            <v>41387</v>
          </cell>
          <cell r="H255">
            <v>254</v>
          </cell>
        </row>
        <row r="256">
          <cell r="B256" t="str">
            <v>8705-C01</v>
          </cell>
          <cell r="C256" t="str">
            <v>Mechanical Completion  8705-C01 Panel 87JC101 - Metering cabinet - Stream (LER)</v>
          </cell>
          <cell r="D256" t="str">
            <v>T.Q30</v>
          </cell>
          <cell r="E256" t="str">
            <v>0d</v>
          </cell>
          <cell r="G256">
            <v>41387</v>
          </cell>
          <cell r="H256">
            <v>255</v>
          </cell>
        </row>
        <row r="257">
          <cell r="B257" t="str">
            <v>9401-C04</v>
          </cell>
          <cell r="C257" t="str">
            <v>Mechanical Completion 9401-C04 Panel 94JC023 - Node C21/C22 - Mooring (PCS) (LER)</v>
          </cell>
          <cell r="D257" t="str">
            <v>T.Q30</v>
          </cell>
          <cell r="E257" t="str">
            <v>0d</v>
          </cell>
          <cell r="G257">
            <v>41387</v>
          </cell>
          <cell r="H257">
            <v>256</v>
          </cell>
        </row>
        <row r="258">
          <cell r="B258" t="str">
            <v>8201-C21</v>
          </cell>
          <cell r="C258" t="str">
            <v>Mechanical Completion 8201-C21 82EL007 Laundry distr. board LQ (L13)</v>
          </cell>
          <cell r="D258" t="str">
            <v>T.L10</v>
          </cell>
          <cell r="E258" t="str">
            <v>0d</v>
          </cell>
          <cell r="G258">
            <v>41388</v>
          </cell>
          <cell r="H258">
            <v>257</v>
          </cell>
        </row>
        <row r="259">
          <cell r="B259" t="str">
            <v>8401-C18</v>
          </cell>
          <cell r="C259" t="str">
            <v>Mechanical Completion 8401-C18 84EL032 Emengency distr. board Center shaft Bus B</v>
          </cell>
          <cell r="D259" t="str">
            <v>H.G20</v>
          </cell>
          <cell r="E259" t="str">
            <v>0d</v>
          </cell>
          <cell r="G259">
            <v>41388</v>
          </cell>
          <cell r="H259">
            <v>258</v>
          </cell>
        </row>
        <row r="260">
          <cell r="B260" t="str">
            <v>8402-C08</v>
          </cell>
          <cell r="C260" t="str">
            <v>Mechanical Completion 8402-C08 84EL031 Emergency Lighting &amp; Small power Center shaft Bus A</v>
          </cell>
          <cell r="D260" t="str">
            <v>H.G20</v>
          </cell>
          <cell r="E260" t="str">
            <v>0d</v>
          </cell>
          <cell r="G260">
            <v>41388</v>
          </cell>
          <cell r="H260">
            <v>259</v>
          </cell>
        </row>
        <row r="261">
          <cell r="B261" t="str">
            <v>8705-C02</v>
          </cell>
          <cell r="C261" t="str">
            <v>Mechanical Completion  8705-C02 Panel 87JC102 - Metering cabinet - Gas (LER)</v>
          </cell>
          <cell r="D261" t="str">
            <v>T.Q30</v>
          </cell>
          <cell r="E261" t="str">
            <v>0d</v>
          </cell>
          <cell r="G261">
            <v>41389</v>
          </cell>
          <cell r="H261">
            <v>260</v>
          </cell>
        </row>
        <row r="262">
          <cell r="B262" t="str">
            <v>2701-C09</v>
          </cell>
          <cell r="C262" t="str">
            <v>Mechanical Completion 2701-C09 Lube oil system HP compressor 27KA001/2 A</v>
          </cell>
          <cell r="D262" t="str">
            <v>T.P30</v>
          </cell>
          <cell r="E262" t="str">
            <v>0d</v>
          </cell>
          <cell r="G262">
            <v>41390</v>
          </cell>
          <cell r="H262">
            <v>261</v>
          </cell>
        </row>
        <row r="263">
          <cell r="B263" t="str">
            <v>7101-C16</v>
          </cell>
          <cell r="C263" t="str">
            <v>Mechanical Completion 7101-C16 Panel 71JC101 - Node L55 - FWP EM Diesel 71XX101 (Level 1)</v>
          </cell>
          <cell r="D263" t="str">
            <v>T.Q30</v>
          </cell>
          <cell r="E263" t="str">
            <v>0d</v>
          </cell>
          <cell r="G263">
            <v>41390</v>
          </cell>
          <cell r="H263">
            <v>262</v>
          </cell>
        </row>
        <row r="264">
          <cell r="B264" t="str">
            <v>7301-C06</v>
          </cell>
          <cell r="C264" t="str">
            <v>Mechanical Completion 7301-C06 73MC004 Utility Area Lift West</v>
          </cell>
          <cell r="D264" t="str">
            <v>T.Q20</v>
          </cell>
          <cell r="E264" t="str">
            <v>0d</v>
          </cell>
          <cell r="G264">
            <v>41390</v>
          </cell>
          <cell r="H264">
            <v>263</v>
          </cell>
        </row>
        <row r="265">
          <cell r="B265" t="str">
            <v>8201-C22</v>
          </cell>
          <cell r="C265" t="str">
            <v>Mechanical Completion 8201-C22 82EL008 Galley distr. board LQ (L13)</v>
          </cell>
          <cell r="D265" t="str">
            <v>T.L10</v>
          </cell>
          <cell r="E265" t="str">
            <v>0d</v>
          </cell>
          <cell r="G265">
            <v>41390</v>
          </cell>
          <cell r="H265">
            <v>264</v>
          </cell>
        </row>
        <row r="266">
          <cell r="B266" t="str">
            <v>8402-C09</v>
          </cell>
          <cell r="C266" t="str">
            <v>Mechanical Completion 8402-C09 84EL032 Emergency Lighting &amp; Small power Center shaft Bus B</v>
          </cell>
          <cell r="D266" t="str">
            <v>H.G20</v>
          </cell>
          <cell r="E266" t="str">
            <v>0d</v>
          </cell>
          <cell r="G266">
            <v>41390</v>
          </cell>
          <cell r="H266">
            <v>265</v>
          </cell>
        </row>
        <row r="267">
          <cell r="B267" t="str">
            <v>9401-C05</v>
          </cell>
          <cell r="C267" t="str">
            <v>Mechanical Completion 9401-C05 94CT140 HPU for positioning system East</v>
          </cell>
          <cell r="D267" t="str">
            <v>H.M10</v>
          </cell>
          <cell r="E267" t="str">
            <v>0d</v>
          </cell>
          <cell r="G267">
            <v>41390</v>
          </cell>
          <cell r="H267">
            <v>266</v>
          </cell>
        </row>
        <row r="268">
          <cell r="B268" t="str">
            <v>2701-C07</v>
          </cell>
          <cell r="C268" t="str">
            <v>Mechanical Completion 2701-C07 Gas injection metering 27JX002</v>
          </cell>
          <cell r="D268" t="str">
            <v>T.P10</v>
          </cell>
          <cell r="E268" t="str">
            <v>0d</v>
          </cell>
          <cell r="G268">
            <v>41391</v>
          </cell>
          <cell r="H268">
            <v>267</v>
          </cell>
        </row>
        <row r="269">
          <cell r="B269" t="str">
            <v>8201-C23</v>
          </cell>
          <cell r="C269" t="str">
            <v>Mechanical Completion 8201-C23 82EL009 Reheater distr. board LQ (L11)</v>
          </cell>
          <cell r="D269" t="str">
            <v>T.L10</v>
          </cell>
          <cell r="E269" t="str">
            <v>0d</v>
          </cell>
          <cell r="G269">
            <v>41391</v>
          </cell>
          <cell r="H269">
            <v>268</v>
          </cell>
        </row>
        <row r="270">
          <cell r="B270" t="str">
            <v>8705-C03</v>
          </cell>
          <cell r="C270" t="str">
            <v>Mechanical Completion  8705-C03 Panel 87JC103 - Metering cabinet - Flare (LER)</v>
          </cell>
          <cell r="D270" t="str">
            <v>T.Q30</v>
          </cell>
          <cell r="E270" t="str">
            <v>0d</v>
          </cell>
          <cell r="G270">
            <v>41391</v>
          </cell>
          <cell r="H270">
            <v>269</v>
          </cell>
        </row>
        <row r="271">
          <cell r="B271" t="str">
            <v>7101-C11</v>
          </cell>
          <cell r="C271" t="str">
            <v>Mechanical Completion 7101-C11 Diesel Generator for firewater pump A</v>
          </cell>
          <cell r="D271" t="str">
            <v>T.Q30</v>
          </cell>
          <cell r="E271" t="str">
            <v>0d</v>
          </cell>
          <cell r="G271">
            <v>41394</v>
          </cell>
          <cell r="H271">
            <v>270</v>
          </cell>
        </row>
        <row r="272">
          <cell r="B272" t="str">
            <v>7101-C17</v>
          </cell>
          <cell r="C272" t="str">
            <v>Mechanical Completion 7101-C17 Panel 71JC201 - Node L56 - FWP EM Diesel 71XX201 (Level 1)</v>
          </cell>
          <cell r="D272" t="str">
            <v>T.Q30</v>
          </cell>
          <cell r="E272" t="str">
            <v>0d</v>
          </cell>
          <cell r="G272">
            <v>41394</v>
          </cell>
          <cell r="H272">
            <v>271</v>
          </cell>
        </row>
        <row r="273">
          <cell r="B273" t="str">
            <v>2701-C05</v>
          </cell>
          <cell r="C273" t="str">
            <v>Mechanical Completion 2701-C05 3rd stage piping, scrubber and cooler for HP compressor 27KA003</v>
          </cell>
          <cell r="D273" t="str">
            <v>T.P30</v>
          </cell>
          <cell r="E273" t="str">
            <v>0d</v>
          </cell>
          <cell r="G273">
            <v>41395</v>
          </cell>
          <cell r="H273">
            <v>272</v>
          </cell>
        </row>
        <row r="274">
          <cell r="B274" t="str">
            <v>4301-C04</v>
          </cell>
          <cell r="C274" t="str">
            <v>Mechanical Completion 4301-C04 HP flare metering, 43JX001</v>
          </cell>
          <cell r="D274" t="str">
            <v>T.F10</v>
          </cell>
          <cell r="E274" t="str">
            <v>0d</v>
          </cell>
          <cell r="G274">
            <v>41395</v>
          </cell>
          <cell r="H274">
            <v>273</v>
          </cell>
        </row>
        <row r="275">
          <cell r="B275" t="str">
            <v>8701-C32</v>
          </cell>
          <cell r="C275" t="str">
            <v>Mechanical Completion  8701-C32 Panel 87JX111 - Miscellaneous Instrument Analyzers (PCS) (LER)</v>
          </cell>
          <cell r="D275" t="str">
            <v>T.Q30</v>
          </cell>
          <cell r="E275" t="str">
            <v>0d</v>
          </cell>
          <cell r="G275">
            <v>41395</v>
          </cell>
          <cell r="H275">
            <v>274</v>
          </cell>
        </row>
        <row r="276">
          <cell r="B276" t="str">
            <v>3301-C04</v>
          </cell>
          <cell r="C276" t="str">
            <v>Mechanical Completion 3301-C04 Stripping/Crow/Pigging pumps 33PA002A/B</v>
          </cell>
          <cell r="D276" t="str">
            <v>H.G20</v>
          </cell>
          <cell r="E276" t="str">
            <v>0d</v>
          </cell>
          <cell r="G276">
            <v>41396</v>
          </cell>
          <cell r="H276">
            <v>275</v>
          </cell>
        </row>
        <row r="277">
          <cell r="B277" t="str">
            <v>7701-C05</v>
          </cell>
          <cell r="C277" t="str">
            <v>Mechanical Completion 7701-C05 LQ Galley Supply System 77GA106</v>
          </cell>
          <cell r="D277" t="str">
            <v>T.L10</v>
          </cell>
          <cell r="E277" t="str">
            <v>0d</v>
          </cell>
          <cell r="G277">
            <v>41396</v>
          </cell>
          <cell r="H277">
            <v>276</v>
          </cell>
        </row>
        <row r="278">
          <cell r="B278" t="str">
            <v>2701-C20</v>
          </cell>
          <cell r="C278" t="str">
            <v>Mechanical Completion 2701-C20 Gas Lift Metering 27JX003</v>
          </cell>
          <cell r="D278" t="str">
            <v>T.P10</v>
          </cell>
          <cell r="E278" t="str">
            <v>0d</v>
          </cell>
          <cell r="G278">
            <v>41397</v>
          </cell>
          <cell r="H278">
            <v>277</v>
          </cell>
        </row>
        <row r="279">
          <cell r="B279" t="str">
            <v>7101-C15</v>
          </cell>
          <cell r="C279" t="str">
            <v>Mechanical Completion 7101-C15 Panel 71JC301 - Node L54 - FWP EM Diesel 71XX301 (Utility deck)</v>
          </cell>
          <cell r="D279" t="str">
            <v>T.Q30</v>
          </cell>
          <cell r="E279" t="str">
            <v>0d</v>
          </cell>
          <cell r="G279">
            <v>41397</v>
          </cell>
          <cell r="H279">
            <v>278</v>
          </cell>
        </row>
        <row r="280">
          <cell r="B280" t="str">
            <v>8701-C33</v>
          </cell>
          <cell r="C280" t="str">
            <v>Mechanical Completion  8701-C33 Panel 87JX112 - Miscellaneous Instrument Analyzers (PCS) (LER)</v>
          </cell>
          <cell r="D280" t="str">
            <v>T.Q30</v>
          </cell>
          <cell r="E280" t="str">
            <v>0d</v>
          </cell>
          <cell r="G280">
            <v>41397</v>
          </cell>
          <cell r="H280">
            <v>279</v>
          </cell>
        </row>
        <row r="281">
          <cell r="B281" t="str">
            <v>8611-C01</v>
          </cell>
          <cell r="C281" t="str">
            <v>Mechanical Completion 8611-C01 Public address and Alarm system A</v>
          </cell>
          <cell r="D281" t="str">
            <v>T.L10.L17</v>
          </cell>
          <cell r="E281" t="str">
            <v>0d</v>
          </cell>
          <cell r="G281">
            <v>41398</v>
          </cell>
          <cell r="H281">
            <v>280</v>
          </cell>
        </row>
        <row r="282">
          <cell r="B282" t="str">
            <v>8623-C01</v>
          </cell>
          <cell r="C282" t="str">
            <v>Mechanical Completion 8623-C01 Office Data Network Equipment</v>
          </cell>
          <cell r="D282" t="str">
            <v>T.L10</v>
          </cell>
          <cell r="E282" t="str">
            <v>0d</v>
          </cell>
          <cell r="G282">
            <v>41398</v>
          </cell>
          <cell r="H282">
            <v>281</v>
          </cell>
        </row>
        <row r="283">
          <cell r="B283" t="str">
            <v>8641-C01</v>
          </cell>
          <cell r="C283" t="str">
            <v>Mechanical Completion 8641-C01 General radio System</v>
          </cell>
          <cell r="D283" t="str">
            <v>T.L10</v>
          </cell>
          <cell r="E283" t="str">
            <v>0d</v>
          </cell>
          <cell r="G283">
            <v>41398</v>
          </cell>
          <cell r="H283">
            <v>282</v>
          </cell>
        </row>
        <row r="284">
          <cell r="B284" t="str">
            <v>9401-C06</v>
          </cell>
          <cell r="C284" t="str">
            <v>Mechanical Completion 9401-C06 94CT240 HPU for positioning system South</v>
          </cell>
          <cell r="D284" t="str">
            <v>H.M20</v>
          </cell>
          <cell r="E284" t="str">
            <v>0d</v>
          </cell>
          <cell r="G284">
            <v>41400</v>
          </cell>
          <cell r="H284">
            <v>283</v>
          </cell>
        </row>
        <row r="285">
          <cell r="B285" t="str">
            <v>2701-C08</v>
          </cell>
          <cell r="C285" t="str">
            <v>Mechanical Completion 2701-C08 Temporary pig launcher, gas lift 27LE001/002</v>
          </cell>
          <cell r="D285" t="str">
            <v>T.P30.P32</v>
          </cell>
          <cell r="E285" t="str">
            <v>0d</v>
          </cell>
          <cell r="G285">
            <v>41401</v>
          </cell>
          <cell r="H285">
            <v>284</v>
          </cell>
        </row>
        <row r="286">
          <cell r="B286" t="str">
            <v>4101-C02</v>
          </cell>
          <cell r="C286" t="str">
            <v>Mechanical Completion 4101-C02 Waste heat recovery unit 41HW001</v>
          </cell>
          <cell r="D286" t="str">
            <v>T.Q20</v>
          </cell>
          <cell r="E286" t="str">
            <v>0d</v>
          </cell>
          <cell r="G286">
            <v>41401</v>
          </cell>
          <cell r="H286">
            <v>285</v>
          </cell>
        </row>
        <row r="287">
          <cell r="B287" t="str">
            <v>4301-C06</v>
          </cell>
          <cell r="C287" t="str">
            <v>Mechanical Completion 4301-C06 LP flare metering, 43JX002</v>
          </cell>
          <cell r="D287" t="str">
            <v>T.F10</v>
          </cell>
          <cell r="E287" t="str">
            <v>0d</v>
          </cell>
          <cell r="G287">
            <v>41401</v>
          </cell>
          <cell r="H287">
            <v>286</v>
          </cell>
        </row>
        <row r="288">
          <cell r="B288" t="str">
            <v>6401-C05</v>
          </cell>
          <cell r="C288" t="str">
            <v>Mechanical Completion 6401-C05 Tank Vent System, Primary &amp; Secondary</v>
          </cell>
          <cell r="D288" t="str">
            <v>H.M10</v>
          </cell>
          <cell r="E288" t="str">
            <v>0d</v>
          </cell>
          <cell r="G288">
            <v>41401</v>
          </cell>
          <cell r="H288">
            <v>287</v>
          </cell>
        </row>
        <row r="289">
          <cell r="B289" t="str">
            <v>7101-C18</v>
          </cell>
          <cell r="C289" t="str">
            <v>Mechanical Completion 7101-C18 Panel 71JC401 - Node L57 - FWP EM Diesel 71XX401 (Level 1)</v>
          </cell>
          <cell r="D289" t="str">
            <v>T.Q30</v>
          </cell>
          <cell r="E289" t="str">
            <v>0d</v>
          </cell>
          <cell r="G289">
            <v>41401</v>
          </cell>
          <cell r="H289">
            <v>288</v>
          </cell>
        </row>
        <row r="290">
          <cell r="B290" t="str">
            <v>7301-C07</v>
          </cell>
          <cell r="C290" t="str">
            <v>Mechanical Completion 7301-C07 73MC005 Personnel LQ Elevator</v>
          </cell>
          <cell r="D290" t="str">
            <v>T.L10</v>
          </cell>
          <cell r="E290" t="str">
            <v>0d</v>
          </cell>
          <cell r="G290">
            <v>41401</v>
          </cell>
          <cell r="H290">
            <v>289</v>
          </cell>
        </row>
        <row r="291">
          <cell r="B291" t="str">
            <v>7701-C06</v>
          </cell>
          <cell r="C291" t="str">
            <v>Mechanical Completion 7701-C06 LQ Galley Extract System 77GK107</v>
          </cell>
          <cell r="D291" t="str">
            <v>T.L10</v>
          </cell>
          <cell r="E291" t="str">
            <v>0d</v>
          </cell>
          <cell r="G291">
            <v>41401</v>
          </cell>
          <cell r="H291">
            <v>290</v>
          </cell>
        </row>
        <row r="292">
          <cell r="B292" t="str">
            <v>8701-C34</v>
          </cell>
          <cell r="C292" t="str">
            <v>Mechanical Completion  8701-C34 Panel 87JC027 - Node C29 - 82 Heat tracing (PCS) (LER)</v>
          </cell>
          <cell r="D292" t="str">
            <v>T.Q30</v>
          </cell>
          <cell r="E292" t="str">
            <v>0d</v>
          </cell>
          <cell r="G292">
            <v>41401</v>
          </cell>
          <cell r="H292">
            <v>291</v>
          </cell>
        </row>
        <row r="293">
          <cell r="B293" t="str">
            <v>5201-C01</v>
          </cell>
          <cell r="C293" t="str">
            <v>Mechanical Completion 5201-C01 Ballast Water Emergency Pumps, 52PA001</v>
          </cell>
          <cell r="D293" t="str">
            <v>H.G20</v>
          </cell>
          <cell r="E293" t="str">
            <v>0d</v>
          </cell>
          <cell r="G293">
            <v>41403</v>
          </cell>
          <cell r="H293">
            <v>292</v>
          </cell>
        </row>
        <row r="294">
          <cell r="B294" t="str">
            <v>8701-C28</v>
          </cell>
          <cell r="C294" t="str">
            <v>Mechanical Completion  8701-C28 Panel 87JC026 - Node C27/28 - 82 Heat tracing (PCS) (LER)</v>
          </cell>
          <cell r="D294" t="str">
            <v>T.Q30</v>
          </cell>
          <cell r="E294" t="str">
            <v>0d</v>
          </cell>
          <cell r="G294">
            <v>41403</v>
          </cell>
          <cell r="H294">
            <v>293</v>
          </cell>
        </row>
        <row r="295">
          <cell r="B295" t="str">
            <v>5201-C04</v>
          </cell>
          <cell r="C295" t="str">
            <v>Mechanical Completion 5201-C04 Ballast Ring Line, To From Ballast Tanks</v>
          </cell>
          <cell r="D295" t="str">
            <v>H.G10</v>
          </cell>
          <cell r="E295" t="str">
            <v>0d</v>
          </cell>
          <cell r="G295">
            <v>41404</v>
          </cell>
          <cell r="H295">
            <v>294</v>
          </cell>
        </row>
        <row r="296">
          <cell r="B296" t="str">
            <v>7701-C09</v>
          </cell>
          <cell r="C296" t="str">
            <v>Mechanical Completion 7701-C09 LQ Laundry Areas Extract System 77GK125</v>
          </cell>
          <cell r="D296" t="str">
            <v>T.L10</v>
          </cell>
          <cell r="E296" t="str">
            <v>0d</v>
          </cell>
          <cell r="G296">
            <v>41404</v>
          </cell>
          <cell r="H296">
            <v>295</v>
          </cell>
        </row>
        <row r="297">
          <cell r="B297" t="str">
            <v>1840-C11</v>
          </cell>
          <cell r="C297" t="str">
            <v>Mechanical Completion 1840-C11 18JC202 (Subsea) - Node S90 - Subsea HPU (LER)</v>
          </cell>
          <cell r="E297" t="str">
            <v>0d</v>
          </cell>
          <cell r="G297">
            <v>41405</v>
          </cell>
          <cell r="H297">
            <v>296</v>
          </cell>
        </row>
        <row r="298">
          <cell r="B298" t="str">
            <v>3301-C05</v>
          </cell>
          <cell r="C298" t="str">
            <v>Mechanical Completion 3301-C05 Crude oil offloading fiscal metering package 33JX001</v>
          </cell>
          <cell r="D298" t="str">
            <v>T.P30</v>
          </cell>
          <cell r="E298" t="str">
            <v>0d</v>
          </cell>
          <cell r="G298">
            <v>41405</v>
          </cell>
          <cell r="H298">
            <v>297</v>
          </cell>
        </row>
        <row r="299">
          <cell r="B299" t="str">
            <v>7101-C01</v>
          </cell>
          <cell r="C299" t="str">
            <v>Mechanical Completion 7101-C01 Firewater pump 71PI001A</v>
          </cell>
          <cell r="D299" t="str">
            <v>T.Q30</v>
          </cell>
          <cell r="E299" t="str">
            <v>0d</v>
          </cell>
          <cell r="G299">
            <v>41405</v>
          </cell>
          <cell r="H299">
            <v>298</v>
          </cell>
        </row>
        <row r="300">
          <cell r="B300" t="str">
            <v>7101-C12</v>
          </cell>
          <cell r="C300" t="str">
            <v>Mechanical Completion 7101-C12 Diesel Generator for firewater pump B</v>
          </cell>
          <cell r="D300" t="str">
            <v>T.Q30</v>
          </cell>
          <cell r="E300" t="str">
            <v>0d</v>
          </cell>
          <cell r="G300">
            <v>41405</v>
          </cell>
          <cell r="H300">
            <v>299</v>
          </cell>
        </row>
        <row r="301">
          <cell r="B301" t="str">
            <v>8701-C30</v>
          </cell>
          <cell r="C301" t="str">
            <v>Mechanical Completion  8701-C30 Panel 87JC151 - Node L50 (PDCS) (LER)</v>
          </cell>
          <cell r="D301" t="str">
            <v>T.Q30</v>
          </cell>
          <cell r="E301" t="str">
            <v>0d</v>
          </cell>
          <cell r="G301">
            <v>41405</v>
          </cell>
          <cell r="H301">
            <v>300</v>
          </cell>
        </row>
        <row r="302">
          <cell r="B302" t="str">
            <v>4101-C03</v>
          </cell>
          <cell r="C302" t="str">
            <v>Mechanical Completion 4101-C03 Heating medium make-up tank 41TA001 and pump 41PA002</v>
          </cell>
          <cell r="D302" t="str">
            <v>H.G20</v>
          </cell>
          <cell r="E302" t="str">
            <v>0d</v>
          </cell>
          <cell r="G302">
            <v>41407</v>
          </cell>
          <cell r="H302">
            <v>301</v>
          </cell>
        </row>
        <row r="303">
          <cell r="B303" t="str">
            <v>7701-C10</v>
          </cell>
          <cell r="C303" t="str">
            <v>Mechanical Completion 7701-C10 LQ Medical Areas Extract System 77GK126</v>
          </cell>
          <cell r="D303" t="str">
            <v>T.L10</v>
          </cell>
          <cell r="E303" t="str">
            <v>0d</v>
          </cell>
          <cell r="G303">
            <v>41407</v>
          </cell>
          <cell r="H303">
            <v>302</v>
          </cell>
        </row>
        <row r="304">
          <cell r="B304" t="str">
            <v>1840-C10</v>
          </cell>
          <cell r="C304" t="str">
            <v>Mechanical Completion 1840-C10 18JC201 (Subsea) - Node S91/92/93/94 - Well Templates (EPUMU) (LER)</v>
          </cell>
          <cell r="E304" t="str">
            <v>0d</v>
          </cell>
          <cell r="G304">
            <v>41408</v>
          </cell>
          <cell r="H304">
            <v>303</v>
          </cell>
        </row>
        <row r="305">
          <cell r="B305" t="str">
            <v>4301-C07</v>
          </cell>
          <cell r="C305" t="str">
            <v>Mechanical Completion 4301-C07 Vapour Recovery Package, 43XX002</v>
          </cell>
          <cell r="D305" t="str">
            <v>T.F10</v>
          </cell>
          <cell r="E305" t="str">
            <v>0d</v>
          </cell>
          <cell r="G305">
            <v>41408</v>
          </cell>
          <cell r="H305">
            <v>304</v>
          </cell>
        </row>
        <row r="306">
          <cell r="B306" t="str">
            <v>5601-C04</v>
          </cell>
          <cell r="C306" t="str">
            <v>Mechanical Completion 5601-C04 Non Hazardous open drain tank 56TA002 and pumps 56PA004A/B</v>
          </cell>
          <cell r="D306" t="str">
            <v>H.M10</v>
          </cell>
          <cell r="E306" t="str">
            <v>0d</v>
          </cell>
          <cell r="G306">
            <v>41408</v>
          </cell>
          <cell r="H306">
            <v>305</v>
          </cell>
        </row>
        <row r="307">
          <cell r="B307" t="str">
            <v>9401-C07</v>
          </cell>
          <cell r="C307" t="str">
            <v>Mechanical Completion 9401-C07 94CT340 HPU for positioning system West</v>
          </cell>
          <cell r="D307" t="str">
            <v>H.M10</v>
          </cell>
          <cell r="E307" t="str">
            <v>0d</v>
          </cell>
          <cell r="G307">
            <v>41409</v>
          </cell>
          <cell r="H307">
            <v>306</v>
          </cell>
        </row>
        <row r="308">
          <cell r="B308" t="str">
            <v>2701-C10</v>
          </cell>
          <cell r="C308" t="str">
            <v>Mechanical Completion 2701-C10 Lube oil system HP compressor 27KA001/2 B</v>
          </cell>
          <cell r="D308" t="str">
            <v>T.P30</v>
          </cell>
          <cell r="E308" t="str">
            <v>0d</v>
          </cell>
          <cell r="G308">
            <v>41410</v>
          </cell>
          <cell r="H308">
            <v>307</v>
          </cell>
        </row>
        <row r="309">
          <cell r="B309" t="str">
            <v>4401-C05</v>
          </cell>
          <cell r="C309" t="str">
            <v>Mechanical Completion 4401-C05 Production &amp; Test Hydrocyclones, 44CE001A/B/C</v>
          </cell>
          <cell r="D309" t="str">
            <v>T.P20</v>
          </cell>
          <cell r="E309" t="str">
            <v>0d</v>
          </cell>
          <cell r="G309">
            <v>41410</v>
          </cell>
          <cell r="H309">
            <v>308</v>
          </cell>
        </row>
        <row r="310">
          <cell r="B310" t="str">
            <v>7101-C05</v>
          </cell>
          <cell r="C310" t="str">
            <v>Mechanical Completion 7101-C05 Firewater ringmain / Jockey Pump 71PA002A/002B</v>
          </cell>
          <cell r="D310" t="str">
            <v>H.N10</v>
          </cell>
          <cell r="E310" t="str">
            <v>0d</v>
          </cell>
          <cell r="G310">
            <v>41410</v>
          </cell>
          <cell r="H310">
            <v>309</v>
          </cell>
        </row>
        <row r="311">
          <cell r="B311" t="str">
            <v>7701-C12</v>
          </cell>
          <cell r="C311" t="str">
            <v>Mechanical Completion 7701-C12 G10 Pump Room Extract System 77GK121A/B</v>
          </cell>
          <cell r="D311" t="str">
            <v>H.G10</v>
          </cell>
          <cell r="E311" t="str">
            <v>0d</v>
          </cell>
          <cell r="G311">
            <v>41410</v>
          </cell>
          <cell r="H311">
            <v>310</v>
          </cell>
        </row>
        <row r="312">
          <cell r="B312" t="str">
            <v>8703-C15</v>
          </cell>
          <cell r="C312" t="str">
            <v>Mechanical Completion  8703-C15 Panel 87JC122 - Subsea Power cable temperature Monitoring system Onshore (DTS) (LER)</v>
          </cell>
          <cell r="D312" t="str">
            <v>T.Q30</v>
          </cell>
          <cell r="E312" t="str">
            <v>0d</v>
          </cell>
          <cell r="G312">
            <v>41410</v>
          </cell>
          <cell r="H312">
            <v>311</v>
          </cell>
        </row>
        <row r="313">
          <cell r="B313" t="str">
            <v>2901-C01</v>
          </cell>
          <cell r="C313" t="str">
            <v>Mechanical Completion 2901-C01 Water Injection discharge header and flowlines</v>
          </cell>
          <cell r="D313" t="str">
            <v>T.P10</v>
          </cell>
          <cell r="E313" t="str">
            <v>0d</v>
          </cell>
          <cell r="G313">
            <v>41411</v>
          </cell>
          <cell r="H313">
            <v>312</v>
          </cell>
        </row>
        <row r="314">
          <cell r="B314" t="str">
            <v>4101-C10</v>
          </cell>
          <cell r="C314" t="str">
            <v>Mechanical Completion 4101-C10 Heating Medium Circulation Pumps 41PA001A</v>
          </cell>
          <cell r="D314" t="str">
            <v>H.M10</v>
          </cell>
          <cell r="E314" t="str">
            <v>0d</v>
          </cell>
          <cell r="G314">
            <v>41411</v>
          </cell>
          <cell r="H314">
            <v>313</v>
          </cell>
        </row>
        <row r="315">
          <cell r="B315" t="str">
            <v>4401-C01</v>
          </cell>
          <cell r="C315" t="str">
            <v>Mechanical Completion 4401-C01 From Inlet &amp; Test Separator to Hydrocyclones</v>
          </cell>
          <cell r="D315" t="str">
            <v>T.P20</v>
          </cell>
          <cell r="E315" t="str">
            <v>0d</v>
          </cell>
          <cell r="G315">
            <v>41411</v>
          </cell>
          <cell r="H315">
            <v>314</v>
          </cell>
        </row>
        <row r="316">
          <cell r="B316" t="str">
            <v>8703-C14</v>
          </cell>
          <cell r="C316" t="str">
            <v>Mechanical Completion  8703-C14 Panel 87JC121 - Subsea Power cable temperature Monitoring system Offshore (DTS) (LER)</v>
          </cell>
          <cell r="D316" t="str">
            <v>T.Q30</v>
          </cell>
          <cell r="E316" t="str">
            <v>0d</v>
          </cell>
          <cell r="G316">
            <v>41412</v>
          </cell>
          <cell r="H316">
            <v>315</v>
          </cell>
        </row>
        <row r="317">
          <cell r="B317" t="str">
            <v>2701-C01</v>
          </cell>
          <cell r="C317" t="str">
            <v>Mechanical Completion 2701-C01 1st and 2nd stage piping, scrubber and cooler for HP comp A</v>
          </cell>
          <cell r="D317" t="str">
            <v>T.P30</v>
          </cell>
          <cell r="E317" t="str">
            <v>0d</v>
          </cell>
          <cell r="G317">
            <v>41414</v>
          </cell>
          <cell r="H317">
            <v>316</v>
          </cell>
        </row>
        <row r="318">
          <cell r="B318" t="str">
            <v>2701-C06</v>
          </cell>
          <cell r="C318" t="str">
            <v>Mechanical Completion 2701-C06 3rd stage hp compressor 27KA003</v>
          </cell>
          <cell r="D318" t="str">
            <v>T.P30</v>
          </cell>
          <cell r="E318" t="str">
            <v>0d</v>
          </cell>
          <cell r="G318">
            <v>41414</v>
          </cell>
          <cell r="H318">
            <v>317</v>
          </cell>
        </row>
        <row r="319">
          <cell r="B319" t="str">
            <v>2701-C12</v>
          </cell>
          <cell r="C319" t="str">
            <v>Mechanical Completion 2701-C12 Offshore Hook-up spool to gas injection</v>
          </cell>
          <cell r="D319" t="str">
            <v>T.P10</v>
          </cell>
          <cell r="E319" t="str">
            <v>0d</v>
          </cell>
          <cell r="G319">
            <v>41414</v>
          </cell>
          <cell r="H319">
            <v>318</v>
          </cell>
        </row>
        <row r="320">
          <cell r="B320" t="str">
            <v>5601-C05</v>
          </cell>
          <cell r="C320" t="str">
            <v>Mechanical Completion 5601-C05 Slop tank west 56TX001 (dirty slop)</v>
          </cell>
          <cell r="D320" t="str">
            <v>H.C20</v>
          </cell>
          <cell r="E320" t="str">
            <v>0d</v>
          </cell>
          <cell r="G320">
            <v>41414</v>
          </cell>
          <cell r="H320">
            <v>319</v>
          </cell>
        </row>
        <row r="321">
          <cell r="B321" t="str">
            <v>2701-C13</v>
          </cell>
          <cell r="C321" t="str">
            <v>Mechanical Completion 2701-C13 Offshore Hook-up spool to gas lift</v>
          </cell>
          <cell r="D321" t="str">
            <v>T.P10</v>
          </cell>
          <cell r="E321" t="str">
            <v>0d</v>
          </cell>
          <cell r="G321">
            <v>41415</v>
          </cell>
          <cell r="H321">
            <v>320</v>
          </cell>
        </row>
        <row r="322">
          <cell r="B322" t="str">
            <v>4601-C01</v>
          </cell>
          <cell r="C322" t="str">
            <v>Mechanical Completion 4601-C01 Meg storage tank 46TA001</v>
          </cell>
          <cell r="D322" t="str">
            <v>H.M20</v>
          </cell>
          <cell r="E322" t="str">
            <v>0d</v>
          </cell>
          <cell r="G322">
            <v>41415</v>
          </cell>
          <cell r="H322">
            <v>321</v>
          </cell>
        </row>
        <row r="323">
          <cell r="B323" t="str">
            <v>7701-C13</v>
          </cell>
          <cell r="C323" t="str">
            <v>Mechanical Completion 7701-C13 G10 Pump Room Supply System 77GK122A/B</v>
          </cell>
          <cell r="D323" t="str">
            <v>H.G10</v>
          </cell>
          <cell r="E323" t="str">
            <v>0d</v>
          </cell>
          <cell r="G323">
            <v>41415</v>
          </cell>
          <cell r="H323">
            <v>322</v>
          </cell>
        </row>
        <row r="324">
          <cell r="B324" t="str">
            <v>8703-C16</v>
          </cell>
          <cell r="C324" t="str">
            <v>Mechanical Completion  8703-C16 Information Management System (FDS IO, ch 7)</v>
          </cell>
          <cell r="D324" t="str">
            <v>T.Q30</v>
          </cell>
          <cell r="E324" t="str">
            <v>0d</v>
          </cell>
          <cell r="G324">
            <v>41415</v>
          </cell>
          <cell r="H324">
            <v>323</v>
          </cell>
        </row>
        <row r="325">
          <cell r="B325" t="str">
            <v>7101-C02</v>
          </cell>
          <cell r="C325" t="str">
            <v>Mechanical Completion 7101-C02 Firewater pump 71PI001B</v>
          </cell>
          <cell r="D325" t="str">
            <v>T.Q30</v>
          </cell>
          <cell r="E325" t="str">
            <v>0d</v>
          </cell>
          <cell r="G325">
            <v>41416</v>
          </cell>
          <cell r="H325">
            <v>324</v>
          </cell>
        </row>
        <row r="326">
          <cell r="B326" t="str">
            <v>7101-C13</v>
          </cell>
          <cell r="C326" t="str">
            <v>Mechanical Completion 7101-C13 Diesel Generator for firewater pump C</v>
          </cell>
          <cell r="D326" t="str">
            <v>T.Q30</v>
          </cell>
          <cell r="E326" t="str">
            <v>0d</v>
          </cell>
          <cell r="G326">
            <v>41416</v>
          </cell>
          <cell r="H326">
            <v>325</v>
          </cell>
        </row>
        <row r="327">
          <cell r="B327" t="str">
            <v>5201-C02</v>
          </cell>
          <cell r="C327" t="str">
            <v>Mechanical Completion 5201-C02 Ballast Water Duty Pump, 52PA002</v>
          </cell>
          <cell r="D327" t="str">
            <v>H.G20</v>
          </cell>
          <cell r="E327" t="str">
            <v>0d</v>
          </cell>
          <cell r="G327">
            <v>41417</v>
          </cell>
          <cell r="H327">
            <v>326</v>
          </cell>
        </row>
        <row r="328">
          <cell r="B328" t="str">
            <v>4101-C11</v>
          </cell>
          <cell r="C328" t="str">
            <v>Mechanical Completion 4101-C11 Heating Medium Circulation Pumps 41PA001B</v>
          </cell>
          <cell r="D328" t="str">
            <v>H.M10</v>
          </cell>
          <cell r="E328" t="str">
            <v>0d</v>
          </cell>
          <cell r="G328">
            <v>41418</v>
          </cell>
          <cell r="H328">
            <v>327</v>
          </cell>
        </row>
        <row r="329">
          <cell r="B329" t="str">
            <v>8621-C01</v>
          </cell>
          <cell r="C329" t="str">
            <v>Mechanical Completion 8621-C01 PABX and telephone system Hull</v>
          </cell>
          <cell r="D329" t="str">
            <v>H.G20</v>
          </cell>
          <cell r="E329" t="str">
            <v>0d</v>
          </cell>
          <cell r="G329">
            <v>41418</v>
          </cell>
          <cell r="H329">
            <v>328</v>
          </cell>
        </row>
        <row r="330">
          <cell r="B330" t="str">
            <v>8622-C01</v>
          </cell>
          <cell r="C330" t="str">
            <v>Mechanical Completion 8622-C01 Multiplexer system</v>
          </cell>
          <cell r="D330" t="str">
            <v>T.L10</v>
          </cell>
          <cell r="E330" t="str">
            <v>0d</v>
          </cell>
          <cell r="G330">
            <v>41418</v>
          </cell>
          <cell r="H330">
            <v>329</v>
          </cell>
        </row>
        <row r="331">
          <cell r="B331" t="str">
            <v>8625-C01</v>
          </cell>
          <cell r="C331" t="str">
            <v>Mechanical Completion 8625-C01 Datacenter system</v>
          </cell>
          <cell r="D331" t="str">
            <v>T.L10</v>
          </cell>
          <cell r="E331" t="str">
            <v>0d</v>
          </cell>
          <cell r="G331">
            <v>41418</v>
          </cell>
          <cell r="H331">
            <v>330</v>
          </cell>
        </row>
        <row r="332">
          <cell r="B332" t="str">
            <v>8650-C01</v>
          </cell>
          <cell r="C332" t="str">
            <v>Mechanical Completion 8650-C01 SAR and Oil Spill Detection System</v>
          </cell>
          <cell r="D332" t="str">
            <v>T.L10</v>
          </cell>
          <cell r="E332" t="str">
            <v>0d</v>
          </cell>
          <cell r="G332">
            <v>41418</v>
          </cell>
          <cell r="H332">
            <v>331</v>
          </cell>
        </row>
        <row r="333">
          <cell r="B333" t="str">
            <v>8652-C01</v>
          </cell>
          <cell r="C333" t="str">
            <v>Mechanical Completion 8652-C01 Meteorological observation system</v>
          </cell>
          <cell r="D333" t="str">
            <v>T.L10</v>
          </cell>
          <cell r="E333" t="str">
            <v>0d</v>
          </cell>
          <cell r="G333">
            <v>41418</v>
          </cell>
          <cell r="H333">
            <v>332</v>
          </cell>
        </row>
        <row r="334">
          <cell r="B334" t="str">
            <v>8653-C01</v>
          </cell>
          <cell r="C334" t="str">
            <v>Mechanical Completion 8653-C01 Marine radar system</v>
          </cell>
          <cell r="D334" t="str">
            <v>T.L10</v>
          </cell>
          <cell r="E334" t="str">
            <v>0d</v>
          </cell>
          <cell r="G334">
            <v>41418</v>
          </cell>
          <cell r="H334">
            <v>333</v>
          </cell>
        </row>
        <row r="335">
          <cell r="B335" t="str">
            <v>8673-C01</v>
          </cell>
          <cell r="C335" t="str">
            <v>Mechanical Completion 8673-C01 Positioning System</v>
          </cell>
          <cell r="D335" t="str">
            <v>T.L10</v>
          </cell>
          <cell r="E335" t="str">
            <v>0d</v>
          </cell>
          <cell r="G335">
            <v>41418</v>
          </cell>
          <cell r="H335">
            <v>334</v>
          </cell>
        </row>
        <row r="336">
          <cell r="B336" t="str">
            <v>8683-C01</v>
          </cell>
          <cell r="C336" t="str">
            <v>Mechanical Completion 8683-C01 Real Time Clock (RTC) System</v>
          </cell>
          <cell r="D336" t="str">
            <v>T.L10</v>
          </cell>
          <cell r="E336" t="str">
            <v>0d</v>
          </cell>
          <cell r="G336">
            <v>41418</v>
          </cell>
          <cell r="H336">
            <v>335</v>
          </cell>
        </row>
        <row r="337">
          <cell r="B337" t="str">
            <v>8703-C17</v>
          </cell>
          <cell r="C337" t="str">
            <v>Mechanical Completion  8703-C17 Conditioning Monitoring (FDS IO, ch 8)</v>
          </cell>
          <cell r="D337" t="str">
            <v>T.Q30</v>
          </cell>
          <cell r="E337" t="str">
            <v>0d</v>
          </cell>
          <cell r="G337">
            <v>41418</v>
          </cell>
          <cell r="H337">
            <v>336</v>
          </cell>
        </row>
        <row r="338">
          <cell r="B338" t="str">
            <v>9401-C01</v>
          </cell>
          <cell r="C338" t="str">
            <v>Mechanical Completion 9401-C01 Anker winch and positioning system 94YD001 Easth winch (3st)</v>
          </cell>
          <cell r="D338" t="str">
            <v>H.M10</v>
          </cell>
          <cell r="E338" t="str">
            <v>0d</v>
          </cell>
          <cell r="G338">
            <v>41418</v>
          </cell>
          <cell r="H338">
            <v>337</v>
          </cell>
        </row>
        <row r="339">
          <cell r="B339" t="str">
            <v>4601-C04</v>
          </cell>
          <cell r="C339" t="str">
            <v>Mechanical Completion 4601-C04 Meg subsea injection pumps 46PF001A/B and return to tank 46TA001</v>
          </cell>
          <cell r="D339" t="str">
            <v>H.M20</v>
          </cell>
          <cell r="E339" t="str">
            <v>0d</v>
          </cell>
          <cell r="G339">
            <v>41419</v>
          </cell>
          <cell r="H339">
            <v>338</v>
          </cell>
        </row>
        <row r="340">
          <cell r="B340" t="str">
            <v>7701-C39</v>
          </cell>
          <cell r="C340" t="str">
            <v>Mechanical Completion 7701-C39 Q30 Crane Pedestal  Supply System 77GK148</v>
          </cell>
          <cell r="D340" t="str">
            <v>T.Q30</v>
          </cell>
          <cell r="E340" t="str">
            <v>0d</v>
          </cell>
          <cell r="G340">
            <v>41419</v>
          </cell>
          <cell r="H340">
            <v>339</v>
          </cell>
        </row>
        <row r="341">
          <cell r="B341" t="str">
            <v>8703-C18</v>
          </cell>
          <cell r="C341" t="str">
            <v>Mechanical Completion  8703-C18 Operational Performance Monitoring (FDS IO, ch 9)</v>
          </cell>
          <cell r="D341" t="str">
            <v>T.Q30</v>
          </cell>
          <cell r="E341" t="str">
            <v>0d</v>
          </cell>
          <cell r="G341">
            <v>41421</v>
          </cell>
          <cell r="H341">
            <v>340</v>
          </cell>
        </row>
        <row r="342">
          <cell r="B342" t="str">
            <v>7701-C42</v>
          </cell>
          <cell r="C342" t="str">
            <v>Mechanical Completion 7701-C42 Q20 Crane Pedestal Supply System 77GK147 HOLD</v>
          </cell>
          <cell r="D342" t="str">
            <v>T.Q20</v>
          </cell>
          <cell r="E342" t="str">
            <v>0d</v>
          </cell>
          <cell r="G342">
            <v>41422</v>
          </cell>
          <cell r="H342">
            <v>341</v>
          </cell>
        </row>
        <row r="343">
          <cell r="B343" t="str">
            <v>7701-C44</v>
          </cell>
          <cell r="C343" t="str">
            <v>Mechanical Completion 7701-C44 Seawater Cooling System</v>
          </cell>
          <cell r="D343" t="str">
            <v>T.L10</v>
          </cell>
          <cell r="E343" t="str">
            <v>0d</v>
          </cell>
          <cell r="G343">
            <v>41422</v>
          </cell>
          <cell r="H343">
            <v>342</v>
          </cell>
        </row>
        <row r="344">
          <cell r="B344" t="str">
            <v>9401-C02</v>
          </cell>
          <cell r="C344" t="str">
            <v>Mechanical Completion 9401-C02 Anker winch and positioning system 94YD005 South winch (3st)</v>
          </cell>
          <cell r="D344" t="str">
            <v>H.M20</v>
          </cell>
          <cell r="E344" t="str">
            <v>0d</v>
          </cell>
          <cell r="G344">
            <v>41422</v>
          </cell>
          <cell r="H344">
            <v>343</v>
          </cell>
        </row>
        <row r="345">
          <cell r="B345" t="str">
            <v>5601-C07</v>
          </cell>
          <cell r="C345" t="str">
            <v>Mechanical Completion 5601-C07 Slop tank east 56TX002 (clean slop)</v>
          </cell>
          <cell r="D345" t="str">
            <v>H.C20</v>
          </cell>
          <cell r="E345" t="str">
            <v>0d</v>
          </cell>
          <cell r="G345">
            <v>41423</v>
          </cell>
          <cell r="H345">
            <v>344</v>
          </cell>
        </row>
        <row r="346">
          <cell r="B346" t="str">
            <v>4101-C12</v>
          </cell>
          <cell r="C346" t="str">
            <v>Mechanical Completion 4101-C12 Heating Medium Circulation Pumps 41PA001C</v>
          </cell>
          <cell r="D346" t="str">
            <v>H.M10</v>
          </cell>
          <cell r="E346" t="str">
            <v>0d</v>
          </cell>
          <cell r="G346">
            <v>41424</v>
          </cell>
          <cell r="H346">
            <v>345</v>
          </cell>
        </row>
        <row r="347">
          <cell r="B347" t="str">
            <v>7101-C06</v>
          </cell>
          <cell r="C347" t="str">
            <v>Mechanical Completion 7101-C06 Firewater ringmain El. +44000</v>
          </cell>
          <cell r="D347" t="str">
            <v>H.M10</v>
          </cell>
          <cell r="E347" t="str">
            <v>0d</v>
          </cell>
          <cell r="G347">
            <v>41424</v>
          </cell>
          <cell r="H347">
            <v>346</v>
          </cell>
        </row>
        <row r="348">
          <cell r="B348" t="str">
            <v>7101-C08</v>
          </cell>
          <cell r="C348" t="str">
            <v>Mechanical Completion 7101-C08 Firewater ringmain LQ &amp; Helideck</v>
          </cell>
          <cell r="D348" t="str">
            <v>T.L10</v>
          </cell>
          <cell r="E348" t="str">
            <v>0d</v>
          </cell>
          <cell r="G348">
            <v>41424</v>
          </cell>
          <cell r="H348">
            <v>347</v>
          </cell>
        </row>
        <row r="349">
          <cell r="B349" t="str">
            <v>7101-C09</v>
          </cell>
          <cell r="C349" t="str">
            <v>Mechanical Completion 7101-C09 Fire water Hydrants &amp; Hosereels North &amp; Central Shaft</v>
          </cell>
          <cell r="D349" t="str">
            <v>H.G20</v>
          </cell>
          <cell r="E349" t="str">
            <v>0d</v>
          </cell>
          <cell r="G349">
            <v>41424</v>
          </cell>
          <cell r="H349">
            <v>348</v>
          </cell>
        </row>
        <row r="350">
          <cell r="B350" t="str">
            <v>7701-C16</v>
          </cell>
          <cell r="C350" t="str">
            <v>Mechanical Completion 7701-C16 N10 North Shaft Supply System 77GA101A/B</v>
          </cell>
          <cell r="D350" t="str">
            <v>H.N10</v>
          </cell>
          <cell r="E350" t="str">
            <v>0d</v>
          </cell>
          <cell r="G350">
            <v>41424</v>
          </cell>
          <cell r="H350">
            <v>349</v>
          </cell>
        </row>
        <row r="351">
          <cell r="B351" t="str">
            <v>7701-C47</v>
          </cell>
          <cell r="C351" t="str">
            <v>Mechanical Completion 7701-C47 MOB Boat Enclosure</v>
          </cell>
          <cell r="D351" t="str">
            <v>T.Q30</v>
          </cell>
          <cell r="E351" t="str">
            <v>0d</v>
          </cell>
          <cell r="G351">
            <v>41424</v>
          </cell>
          <cell r="H351">
            <v>350</v>
          </cell>
        </row>
        <row r="352">
          <cell r="B352" t="str">
            <v>8701-C31</v>
          </cell>
          <cell r="C352" t="str">
            <v>Mechanical Completion  8701-C31 Panel 87JC152 - Node L51 (PDCS) (LER)</v>
          </cell>
          <cell r="D352" t="str">
            <v>T.Q30</v>
          </cell>
          <cell r="E352" t="str">
            <v>0d</v>
          </cell>
          <cell r="G352">
            <v>41424</v>
          </cell>
          <cell r="H352">
            <v>351</v>
          </cell>
        </row>
        <row r="353">
          <cell r="B353" t="str">
            <v>8704-C04</v>
          </cell>
          <cell r="C353" t="str">
            <v>Mechanical Completion 8704-C04 Operational equipment Offloading Panel PC 87JD013 (OSA)</v>
          </cell>
          <cell r="D353" t="str">
            <v>T.D10</v>
          </cell>
          <cell r="E353" t="str">
            <v>0d</v>
          </cell>
          <cell r="G353">
            <v>41424</v>
          </cell>
          <cell r="H353">
            <v>352</v>
          </cell>
        </row>
        <row r="354">
          <cell r="B354" t="str">
            <v>4601-C02</v>
          </cell>
          <cell r="C354" t="str">
            <v>Mechanical Completion 4601-C02 Meg topside hp injection pumps 46PF002A/B</v>
          </cell>
          <cell r="D354" t="str">
            <v>H.M20</v>
          </cell>
          <cell r="E354" t="str">
            <v>0d</v>
          </cell>
          <cell r="G354">
            <v>41425</v>
          </cell>
          <cell r="H354">
            <v>353</v>
          </cell>
        </row>
        <row r="355">
          <cell r="B355" t="str">
            <v>8001-C03</v>
          </cell>
          <cell r="C355" t="str">
            <v>Mechanical Completion 8001-C03 80EG001 Turbine Generator</v>
          </cell>
          <cell r="D355" t="str">
            <v>T.Q20</v>
          </cell>
          <cell r="E355" t="str">
            <v>0d</v>
          </cell>
          <cell r="G355">
            <v>41425</v>
          </cell>
          <cell r="H355">
            <v>354</v>
          </cell>
        </row>
        <row r="356">
          <cell r="B356" t="str">
            <v>9401-C03</v>
          </cell>
          <cell r="C356" t="str">
            <v>Mechanical Completion 9401-C03 Anker winch and positioning system 94YD009 West winch (5st)</v>
          </cell>
          <cell r="D356" t="str">
            <v>H.M10</v>
          </cell>
          <cell r="E356" t="str">
            <v>0d</v>
          </cell>
          <cell r="G356">
            <v>41425</v>
          </cell>
          <cell r="H356">
            <v>355</v>
          </cell>
        </row>
        <row r="357">
          <cell r="B357" t="str">
            <v>3301-C06</v>
          </cell>
          <cell r="C357" t="str">
            <v>Mechanical Completion 3301-C06 Offloading hose reel 33LX001</v>
          </cell>
          <cell r="D357" t="str">
            <v>T.D10</v>
          </cell>
          <cell r="E357" t="str">
            <v>0d</v>
          </cell>
          <cell r="G357">
            <v>41426</v>
          </cell>
          <cell r="H357">
            <v>356</v>
          </cell>
        </row>
        <row r="358">
          <cell r="B358" t="str">
            <v>7101-C03</v>
          </cell>
          <cell r="C358" t="str">
            <v>Mechanical Completion 7101-C03 Firewater pump 71PI001C</v>
          </cell>
          <cell r="D358" t="str">
            <v>T.Q30</v>
          </cell>
          <cell r="E358" t="str">
            <v>0d</v>
          </cell>
          <cell r="G358">
            <v>41428</v>
          </cell>
          <cell r="H358">
            <v>357</v>
          </cell>
        </row>
        <row r="359">
          <cell r="B359" t="str">
            <v>7101-C14</v>
          </cell>
          <cell r="C359" t="str">
            <v>Mechanical Completion 7101-C14 Diesel Generator for firewater pump D</v>
          </cell>
          <cell r="D359" t="str">
            <v>T.Q30</v>
          </cell>
          <cell r="E359" t="str">
            <v>0d</v>
          </cell>
          <cell r="G359">
            <v>41428</v>
          </cell>
          <cell r="H359">
            <v>358</v>
          </cell>
        </row>
        <row r="360">
          <cell r="B360" t="str">
            <v>7701-C38</v>
          </cell>
          <cell r="C360" t="str">
            <v>Mechanical Completion 7701-C38 D10 Offloading Station Area System 77GK141</v>
          </cell>
          <cell r="D360" t="str">
            <v>T.D10</v>
          </cell>
          <cell r="E360" t="str">
            <v>0d</v>
          </cell>
          <cell r="G360">
            <v>41428</v>
          </cell>
          <cell r="H360">
            <v>359</v>
          </cell>
        </row>
        <row r="361">
          <cell r="B361" t="str">
            <v>7701-C17</v>
          </cell>
          <cell r="C361" t="str">
            <v>Mechanical Completion 7701-C17 N10 North Shaft Extract System 77GK129A/B</v>
          </cell>
          <cell r="D361" t="str">
            <v>H.N10</v>
          </cell>
          <cell r="E361" t="str">
            <v>0d</v>
          </cell>
          <cell r="G361">
            <v>41429</v>
          </cell>
          <cell r="H361">
            <v>360</v>
          </cell>
        </row>
        <row r="362">
          <cell r="B362" t="str">
            <v>5201-C03</v>
          </cell>
          <cell r="C362" t="str">
            <v>Mechanical Completion 5201-C03 Ballast To Slop/ &amp; To Overboard Caisson (East)</v>
          </cell>
          <cell r="D362" t="str">
            <v>H.B20</v>
          </cell>
          <cell r="E362" t="str">
            <v>0d</v>
          </cell>
          <cell r="G362">
            <v>41430</v>
          </cell>
          <cell r="H362">
            <v>361</v>
          </cell>
        </row>
        <row r="363">
          <cell r="B363" t="str">
            <v>5601-C06</v>
          </cell>
          <cell r="C363" t="str">
            <v>Mechanical Completion 5601-C06 Slop water inj. pumps 56PA002A/B</v>
          </cell>
          <cell r="D363" t="str">
            <v>H.G20</v>
          </cell>
          <cell r="E363" t="str">
            <v>0d</v>
          </cell>
          <cell r="G363">
            <v>41430</v>
          </cell>
          <cell r="H363">
            <v>362</v>
          </cell>
        </row>
        <row r="364">
          <cell r="B364" t="str">
            <v>1601-C01</v>
          </cell>
          <cell r="C364" t="str">
            <v>Mechanical Completion 1601-C01 Flowline 1, Production Manifold</v>
          </cell>
          <cell r="D364" t="str">
            <v>T.P10</v>
          </cell>
          <cell r="E364" t="str">
            <v>0d</v>
          </cell>
          <cell r="G364">
            <v>41431</v>
          </cell>
          <cell r="H364">
            <v>363</v>
          </cell>
        </row>
        <row r="365">
          <cell r="B365" t="str">
            <v>1601-C02</v>
          </cell>
          <cell r="C365" t="str">
            <v>Mechanical Completion 1601-C02 Flowline 2, Test manifold</v>
          </cell>
          <cell r="D365" t="str">
            <v>T.P10</v>
          </cell>
          <cell r="E365" t="str">
            <v>0d</v>
          </cell>
          <cell r="G365">
            <v>41431</v>
          </cell>
          <cell r="H365">
            <v>364</v>
          </cell>
        </row>
        <row r="366">
          <cell r="B366" t="str">
            <v>4101-C04</v>
          </cell>
          <cell r="C366" t="str">
            <v>Mechanical Completion 4101-C04 41EC001A Electric heater switchboard (incl. transformer 41ET001A)</v>
          </cell>
          <cell r="D366" t="str">
            <v>T.Q20</v>
          </cell>
          <cell r="E366" t="str">
            <v>0d</v>
          </cell>
          <cell r="G366">
            <v>41431</v>
          </cell>
          <cell r="H366">
            <v>365</v>
          </cell>
        </row>
        <row r="367">
          <cell r="B367" t="str">
            <v>5201-C05</v>
          </cell>
          <cell r="C367" t="str">
            <v>Mechanical Completion 5201-C05 BallastTank No 1, West, 52TC001</v>
          </cell>
          <cell r="D367" t="str">
            <v>H.B10</v>
          </cell>
          <cell r="E367" t="str">
            <v>0d</v>
          </cell>
          <cell r="G367">
            <v>41431</v>
          </cell>
          <cell r="H367">
            <v>366</v>
          </cell>
        </row>
        <row r="368">
          <cell r="B368" t="str">
            <v>8626-C01</v>
          </cell>
          <cell r="C368" t="str">
            <v>Mechanical Completion 8626-C01 Collaboration Room system</v>
          </cell>
          <cell r="D368" t="str">
            <v>T.L10</v>
          </cell>
          <cell r="E368" t="str">
            <v>0d</v>
          </cell>
          <cell r="G368">
            <v>41431</v>
          </cell>
          <cell r="H368">
            <v>367</v>
          </cell>
        </row>
        <row r="369">
          <cell r="B369" t="str">
            <v>8631-C01</v>
          </cell>
          <cell r="C369" t="str">
            <v>Mechanical Completion 8631-C01 Radio link and Satellite link system</v>
          </cell>
          <cell r="D369" t="str">
            <v>T.L10</v>
          </cell>
          <cell r="E369" t="str">
            <v>0d</v>
          </cell>
          <cell r="G369">
            <v>41431</v>
          </cell>
          <cell r="H369">
            <v>368</v>
          </cell>
        </row>
        <row r="370">
          <cell r="B370" t="str">
            <v>2701-C02</v>
          </cell>
          <cell r="C370" t="str">
            <v>Mechanical Completion 2701-C02 HP compressor 27KA001/2 A</v>
          </cell>
          <cell r="D370" t="str">
            <v>T.P30</v>
          </cell>
          <cell r="E370" t="str">
            <v>0d</v>
          </cell>
          <cell r="G370">
            <v>41432</v>
          </cell>
          <cell r="H370">
            <v>369</v>
          </cell>
        </row>
        <row r="371">
          <cell r="B371" t="str">
            <v>2701-C03</v>
          </cell>
          <cell r="C371" t="str">
            <v>Mechanical Completion 2701-C03 1st and 2nd stage piping, scrubber and cooler for HP comp B</v>
          </cell>
          <cell r="D371" t="str">
            <v>T.P30</v>
          </cell>
          <cell r="E371" t="str">
            <v>0d</v>
          </cell>
          <cell r="G371">
            <v>41432</v>
          </cell>
          <cell r="H371">
            <v>370</v>
          </cell>
        </row>
        <row r="372">
          <cell r="B372" t="str">
            <v>4601-C03</v>
          </cell>
          <cell r="C372" t="str">
            <v>Mechanical Completion 4601-C03 Meg gas injection pumps 46PF003A/B</v>
          </cell>
          <cell r="D372" t="str">
            <v>H.M20</v>
          </cell>
          <cell r="E372" t="str">
            <v>0d</v>
          </cell>
          <cell r="G372">
            <v>41432</v>
          </cell>
          <cell r="H372">
            <v>371</v>
          </cell>
        </row>
        <row r="373">
          <cell r="B373" t="str">
            <v>7701-C23</v>
          </cell>
          <cell r="C373" t="str">
            <v>Mechanical Completion 7701-C23 N10 Fuel handling room Extract System 77GK130A/B</v>
          </cell>
          <cell r="D373" t="str">
            <v>H.N10</v>
          </cell>
          <cell r="E373" t="str">
            <v>0d</v>
          </cell>
          <cell r="G373">
            <v>41432</v>
          </cell>
          <cell r="H373">
            <v>372</v>
          </cell>
        </row>
        <row r="374">
          <cell r="B374" t="str">
            <v>7101-C07</v>
          </cell>
          <cell r="C374" t="str">
            <v>Mechanical Completion 7101-C07 Firewater ringmain El. +55000</v>
          </cell>
          <cell r="D374" t="str">
            <v>T.P10</v>
          </cell>
          <cell r="E374" t="str">
            <v>0d</v>
          </cell>
          <cell r="G374">
            <v>41433</v>
          </cell>
          <cell r="H374">
            <v>373</v>
          </cell>
        </row>
        <row r="375">
          <cell r="B375" t="str">
            <v>7101-C10</v>
          </cell>
          <cell r="C375" t="str">
            <v>Mechanical Completion 7101-C10 Firewater ringmain Weather deck + Utility El. +63500</v>
          </cell>
          <cell r="D375" t="str">
            <v>T.P10</v>
          </cell>
          <cell r="E375" t="str">
            <v>0d</v>
          </cell>
          <cell r="G375">
            <v>41433</v>
          </cell>
          <cell r="H375">
            <v>374</v>
          </cell>
        </row>
        <row r="376">
          <cell r="B376" t="str">
            <v>7201-C03</v>
          </cell>
          <cell r="C376" t="str">
            <v>Mechanical Completion 7201-C03 Water mist skid 72SM001</v>
          </cell>
          <cell r="D376" t="str">
            <v>H.N10</v>
          </cell>
          <cell r="E376" t="str">
            <v>0d</v>
          </cell>
          <cell r="G376">
            <v>41433</v>
          </cell>
          <cell r="H376">
            <v>375</v>
          </cell>
        </row>
        <row r="377">
          <cell r="B377" t="str">
            <v>2901-C02</v>
          </cell>
          <cell r="C377" t="str">
            <v>Mechanical Completion 2901-C02 Water Injection Pump 29XX001A</v>
          </cell>
          <cell r="D377" t="str">
            <v>T.P50</v>
          </cell>
          <cell r="E377" t="str">
            <v>0d</v>
          </cell>
          <cell r="G377">
            <v>41435</v>
          </cell>
          <cell r="H377">
            <v>376</v>
          </cell>
        </row>
        <row r="378">
          <cell r="B378" t="str">
            <v>2901-C09</v>
          </cell>
          <cell r="C378" t="str">
            <v>Mechanical Completion 2901-C09 Water Injection Pump Seal Barrier Fluid Tank</v>
          </cell>
          <cell r="D378" t="str">
            <v>T.P50</v>
          </cell>
          <cell r="E378" t="str">
            <v>0d</v>
          </cell>
          <cell r="G378">
            <v>41435</v>
          </cell>
          <cell r="H378">
            <v>377</v>
          </cell>
        </row>
        <row r="379">
          <cell r="B379" t="str">
            <v>5201-C06</v>
          </cell>
          <cell r="C379" t="str">
            <v>Mechanical Completion 5201-C06 BallastTank No 2, West, 52TC002</v>
          </cell>
          <cell r="D379" t="str">
            <v>H.B10</v>
          </cell>
          <cell r="E379" t="str">
            <v>0d</v>
          </cell>
          <cell r="G379">
            <v>41435</v>
          </cell>
          <cell r="H379">
            <v>378</v>
          </cell>
        </row>
        <row r="380">
          <cell r="B380" t="str">
            <v>7701-C20</v>
          </cell>
          <cell r="C380" t="str">
            <v>Mechanical Completion 7701-C20 Q30 Workshop &amp; Store Supply System 77GA104A/B</v>
          </cell>
          <cell r="D380" t="str">
            <v>T.Q30</v>
          </cell>
          <cell r="E380" t="str">
            <v>0d</v>
          </cell>
          <cell r="G380">
            <v>41435</v>
          </cell>
          <cell r="H380">
            <v>379</v>
          </cell>
        </row>
        <row r="381">
          <cell r="B381" t="str">
            <v>4101-C05</v>
          </cell>
          <cell r="C381" t="str">
            <v>Mechanical Completion 4101-C05 41EC001B Electric heater switchboard (incl. transformer 41ET001B)</v>
          </cell>
          <cell r="D381" t="str">
            <v>T.Q20</v>
          </cell>
          <cell r="E381" t="str">
            <v>0d</v>
          </cell>
          <cell r="G381">
            <v>41436</v>
          </cell>
          <cell r="H381">
            <v>380</v>
          </cell>
        </row>
        <row r="382">
          <cell r="B382" t="str">
            <v>5201-C07</v>
          </cell>
          <cell r="C382" t="str">
            <v>Mechanical Completion 5201-C07 BallastTank No 3, West, 52TC003</v>
          </cell>
          <cell r="D382" t="str">
            <v>H.B10</v>
          </cell>
          <cell r="E382" t="str">
            <v>0d</v>
          </cell>
          <cell r="G382">
            <v>41437</v>
          </cell>
          <cell r="H382">
            <v>381</v>
          </cell>
        </row>
        <row r="383">
          <cell r="B383" t="str">
            <v>4601-C05</v>
          </cell>
          <cell r="C383" t="str">
            <v>Mechanical Completion 4601-C05 Meg gas injection pumps 46PF004A/B</v>
          </cell>
          <cell r="D383" t="str">
            <v>H.M20</v>
          </cell>
          <cell r="E383" t="str">
            <v>0d</v>
          </cell>
          <cell r="G383">
            <v>41438</v>
          </cell>
          <cell r="H383">
            <v>382</v>
          </cell>
        </row>
        <row r="384">
          <cell r="B384" t="str">
            <v>5601-C08</v>
          </cell>
          <cell r="C384" t="str">
            <v>Mechanical Completion 5601-C08 Bilge system and pumps 56PF001A/B in cargo pump room</v>
          </cell>
          <cell r="D384" t="str">
            <v>H.G20</v>
          </cell>
          <cell r="E384" t="str">
            <v>0d</v>
          </cell>
          <cell r="G384">
            <v>41438</v>
          </cell>
          <cell r="H384">
            <v>383</v>
          </cell>
        </row>
        <row r="385">
          <cell r="B385" t="str">
            <v>7101-C04</v>
          </cell>
          <cell r="C385" t="str">
            <v>Mechanical Completion 7101-C04 Firewater pump 71PI001D</v>
          </cell>
          <cell r="D385" t="str">
            <v>T.Q30</v>
          </cell>
          <cell r="E385" t="str">
            <v>0d</v>
          </cell>
          <cell r="G385">
            <v>41438</v>
          </cell>
          <cell r="H385">
            <v>384</v>
          </cell>
        </row>
        <row r="386">
          <cell r="B386" t="str">
            <v>2901-C06</v>
          </cell>
          <cell r="C386" t="str">
            <v>Mechanical Completion 2901-C06 Water Injection Pump 29XX001B</v>
          </cell>
          <cell r="D386" t="str">
            <v>T.P50</v>
          </cell>
          <cell r="E386" t="str">
            <v>0d</v>
          </cell>
          <cell r="G386">
            <v>41439</v>
          </cell>
          <cell r="H386">
            <v>385</v>
          </cell>
        </row>
        <row r="387">
          <cell r="B387" t="str">
            <v>3301-C07</v>
          </cell>
          <cell r="C387" t="str">
            <v>Mechanical Completion 3301-C07 Cargo tank 33TX001</v>
          </cell>
          <cell r="D387" t="str">
            <v>H.C10</v>
          </cell>
          <cell r="E387" t="str">
            <v>0d</v>
          </cell>
          <cell r="G387">
            <v>41439</v>
          </cell>
          <cell r="H387">
            <v>386</v>
          </cell>
        </row>
        <row r="388">
          <cell r="B388" t="str">
            <v>4101-C06</v>
          </cell>
          <cell r="C388" t="str">
            <v>Mechanical Completion 4101-C06 41EC001C Electric heater switchboard (incl. transformer 41ET001C)</v>
          </cell>
          <cell r="D388" t="str">
            <v>T.Q20</v>
          </cell>
          <cell r="E388" t="str">
            <v>0d</v>
          </cell>
          <cell r="G388">
            <v>41440</v>
          </cell>
          <cell r="H388">
            <v>387</v>
          </cell>
        </row>
        <row r="389">
          <cell r="B389" t="str">
            <v>5201-C08</v>
          </cell>
          <cell r="C389" t="str">
            <v>Mechanical Completion 5201-C08 BallastTank No 4, West, 52TC004</v>
          </cell>
          <cell r="D389" t="str">
            <v>H.B10</v>
          </cell>
          <cell r="E389" t="str">
            <v>0d</v>
          </cell>
          <cell r="G389">
            <v>41440</v>
          </cell>
          <cell r="H389">
            <v>388</v>
          </cell>
        </row>
        <row r="390">
          <cell r="B390" t="str">
            <v>7701-C21</v>
          </cell>
          <cell r="C390" t="str">
            <v>Mechanical Completion 7701-C21 Utility Area Workshop/Stores West Exstract plant System 77GK132A/B</v>
          </cell>
          <cell r="D390" t="str">
            <v>T.Q30</v>
          </cell>
          <cell r="E390" t="str">
            <v>0d</v>
          </cell>
          <cell r="G390">
            <v>41440</v>
          </cell>
          <cell r="H390">
            <v>389</v>
          </cell>
        </row>
        <row r="391">
          <cell r="B391" t="str">
            <v>3301-C08</v>
          </cell>
          <cell r="C391" t="str">
            <v>Mechanical Completion 3301-C08 Cargo tank 33TX002</v>
          </cell>
          <cell r="D391" t="str">
            <v>H.C10</v>
          </cell>
          <cell r="E391" t="str">
            <v>0d</v>
          </cell>
          <cell r="G391">
            <v>41443</v>
          </cell>
          <cell r="H391">
            <v>390</v>
          </cell>
        </row>
        <row r="392">
          <cell r="B392" t="str">
            <v>5201-C09</v>
          </cell>
          <cell r="C392" t="str">
            <v>Mechanical Completion 5201-C09 BallastTank No 5, West, 52TC005</v>
          </cell>
          <cell r="D392" t="str">
            <v>H.B10</v>
          </cell>
          <cell r="E392" t="str">
            <v>0d</v>
          </cell>
          <cell r="G392">
            <v>41443</v>
          </cell>
          <cell r="H392">
            <v>391</v>
          </cell>
        </row>
        <row r="393">
          <cell r="B393" t="str">
            <v>7701-C22</v>
          </cell>
          <cell r="C393" t="str">
            <v>Mechanical Completion 7701-C22 Utility Area Welding Workshop System 77GK133</v>
          </cell>
          <cell r="D393" t="str">
            <v>T.Q30</v>
          </cell>
          <cell r="E393" t="str">
            <v>0d</v>
          </cell>
          <cell r="G393">
            <v>41443</v>
          </cell>
          <cell r="H393">
            <v>392</v>
          </cell>
        </row>
        <row r="394">
          <cell r="B394" t="str">
            <v>8701-C39</v>
          </cell>
          <cell r="C394" t="str">
            <v>Mechanical Completion 8701-C39 Panel 87JC154 - Node L59 (PDCS) (LER)</v>
          </cell>
          <cell r="D394" t="str">
            <v>T.Q30</v>
          </cell>
          <cell r="E394" t="str">
            <v>0d</v>
          </cell>
          <cell r="G394">
            <v>41443</v>
          </cell>
          <cell r="H394">
            <v>393</v>
          </cell>
        </row>
        <row r="395">
          <cell r="B395" t="str">
            <v>2901-C07</v>
          </cell>
          <cell r="C395" t="str">
            <v>Mechanical Completion 2901-C07 Water Injection Pump 29XX001C</v>
          </cell>
          <cell r="D395" t="str">
            <v>T.P50</v>
          </cell>
          <cell r="E395" t="str">
            <v>0d</v>
          </cell>
          <cell r="G395">
            <v>41444</v>
          </cell>
          <cell r="H395">
            <v>394</v>
          </cell>
        </row>
        <row r="396">
          <cell r="B396" t="str">
            <v>1601-C03</v>
          </cell>
          <cell r="C396" t="str">
            <v>Mechanical Completion 1601-C03 PIG Launcher/Receiver, 16LE001, Flowline 1</v>
          </cell>
          <cell r="D396" t="str">
            <v>T.P10</v>
          </cell>
          <cell r="E396" t="str">
            <v>0d</v>
          </cell>
          <cell r="G396">
            <v>41445</v>
          </cell>
          <cell r="H396">
            <v>395</v>
          </cell>
        </row>
        <row r="397">
          <cell r="B397" t="str">
            <v>1601-C04</v>
          </cell>
          <cell r="C397" t="str">
            <v>Mechanical Completion 1601-C04 PIG Launcher/Receiver, 16LE002, Flowline 2</v>
          </cell>
          <cell r="D397" t="str">
            <v>T.P10</v>
          </cell>
          <cell r="E397" t="str">
            <v>0d</v>
          </cell>
          <cell r="G397">
            <v>41445</v>
          </cell>
          <cell r="H397">
            <v>396</v>
          </cell>
        </row>
        <row r="398">
          <cell r="B398" t="str">
            <v>3301-C09</v>
          </cell>
          <cell r="C398" t="str">
            <v>Mechanical Completion 3301-C09 Cargo tank 33TX003</v>
          </cell>
          <cell r="D398" t="str">
            <v>H.C10</v>
          </cell>
          <cell r="E398" t="str">
            <v>0d</v>
          </cell>
          <cell r="G398">
            <v>41445</v>
          </cell>
          <cell r="H398">
            <v>397</v>
          </cell>
        </row>
        <row r="399">
          <cell r="B399" t="str">
            <v>4101-C07</v>
          </cell>
          <cell r="C399" t="str">
            <v>Mechanical Completion 4101-C07 41EC001D Electric heater switchboard (incl. transformer 41ET001D)</v>
          </cell>
          <cell r="D399" t="str">
            <v>T.Q20</v>
          </cell>
          <cell r="E399" t="str">
            <v>0d</v>
          </cell>
          <cell r="G399">
            <v>41445</v>
          </cell>
          <cell r="H399">
            <v>398</v>
          </cell>
        </row>
        <row r="400">
          <cell r="B400" t="str">
            <v>5201-C10</v>
          </cell>
          <cell r="C400" t="str">
            <v>Mechanical Completion 5201-C10 BallastTank No 6, West, 52TC006</v>
          </cell>
          <cell r="D400" t="str">
            <v>H.B20</v>
          </cell>
          <cell r="E400" t="str">
            <v>0d</v>
          </cell>
          <cell r="G400">
            <v>41445</v>
          </cell>
          <cell r="H400">
            <v>399</v>
          </cell>
        </row>
        <row r="401">
          <cell r="B401" t="str">
            <v>7701-C24</v>
          </cell>
          <cell r="C401" t="str">
            <v>Mechanical Completion 7701-C24 Utility Area Paint Shop/Stores Extract Plant System 77GK134</v>
          </cell>
          <cell r="D401" t="str">
            <v>T.Q30</v>
          </cell>
          <cell r="E401" t="str">
            <v>0d</v>
          </cell>
          <cell r="G401">
            <v>41445</v>
          </cell>
          <cell r="H401">
            <v>400</v>
          </cell>
        </row>
        <row r="402">
          <cell r="B402" t="str">
            <v>8684-C01</v>
          </cell>
          <cell r="C402" t="str">
            <v>Mechanical Completion 8684-C01 Telecom Management System</v>
          </cell>
          <cell r="D402" t="str">
            <v>T.L10</v>
          </cell>
          <cell r="E402" t="str">
            <v>0d</v>
          </cell>
          <cell r="G402">
            <v>41446</v>
          </cell>
          <cell r="H402">
            <v>401</v>
          </cell>
        </row>
        <row r="403">
          <cell r="B403" t="str">
            <v>1601-C07</v>
          </cell>
          <cell r="C403" t="str">
            <v>Mechanical Completion 1601-C07 OFFSHORE HOOK-UP Scope, Flowline 1</v>
          </cell>
          <cell r="D403" t="str">
            <v>H.M20</v>
          </cell>
          <cell r="E403" t="str">
            <v>0d</v>
          </cell>
          <cell r="G403">
            <v>41447</v>
          </cell>
          <cell r="H403">
            <v>402</v>
          </cell>
        </row>
        <row r="404">
          <cell r="B404" t="str">
            <v>1601-C08</v>
          </cell>
          <cell r="C404" t="str">
            <v>Mechanical Completion 1601-C08 OFFSHORE HOOK-UP Scope, Flowline 2</v>
          </cell>
          <cell r="D404" t="str">
            <v>H.M20</v>
          </cell>
          <cell r="E404" t="str">
            <v>0d</v>
          </cell>
          <cell r="G404">
            <v>41447</v>
          </cell>
          <cell r="H404">
            <v>403</v>
          </cell>
        </row>
        <row r="405">
          <cell r="B405" t="str">
            <v>3301-C10</v>
          </cell>
          <cell r="C405" t="str">
            <v>Mechanical Completion 3301-C10 Cargo tank 33TX004</v>
          </cell>
          <cell r="D405" t="str">
            <v>H.C20</v>
          </cell>
          <cell r="E405" t="str">
            <v>0d</v>
          </cell>
          <cell r="G405">
            <v>41447</v>
          </cell>
          <cell r="H405">
            <v>404</v>
          </cell>
        </row>
        <row r="406">
          <cell r="B406" t="str">
            <v>7004-C01</v>
          </cell>
          <cell r="C406" t="str">
            <v>Mechanical Completion 7004-C01 Panel 70JC001/002 F&amp;G Node 70 (LER)</v>
          </cell>
          <cell r="D406" t="str">
            <v>T.Q30</v>
          </cell>
          <cell r="E406" t="str">
            <v>0d</v>
          </cell>
          <cell r="G406">
            <v>41447</v>
          </cell>
          <cell r="H406">
            <v>405</v>
          </cell>
        </row>
        <row r="407">
          <cell r="B407" t="str">
            <v>7004-C02</v>
          </cell>
          <cell r="C407" t="str">
            <v>Mechanical Completion 7004-C02 Panel 70JC003/004 F&amp;G Node 72 (LER)</v>
          </cell>
          <cell r="D407" t="str">
            <v>T.Q30</v>
          </cell>
          <cell r="E407" t="str">
            <v>0d</v>
          </cell>
          <cell r="G407">
            <v>41447</v>
          </cell>
          <cell r="H407">
            <v>406</v>
          </cell>
        </row>
        <row r="408">
          <cell r="B408" t="str">
            <v>7701-C28</v>
          </cell>
          <cell r="C408" t="str">
            <v>Mechanical Completion 7701-C28 Utility Area Production Laboratory Extract Plant System 77GK138</v>
          </cell>
          <cell r="D408" t="str">
            <v>T.Q30</v>
          </cell>
          <cell r="E408" t="str">
            <v>0d</v>
          </cell>
          <cell r="G408">
            <v>41447</v>
          </cell>
          <cell r="H408">
            <v>407</v>
          </cell>
        </row>
        <row r="409">
          <cell r="B409" t="str">
            <v>2901-C08</v>
          </cell>
          <cell r="C409" t="str">
            <v>Mechanical Completion 2901-C08 Water Injection Pump 29XX001D</v>
          </cell>
          <cell r="D409" t="str">
            <v>T.P50</v>
          </cell>
          <cell r="E409" t="str">
            <v>0d</v>
          </cell>
          <cell r="G409">
            <v>41449</v>
          </cell>
          <cell r="H409">
            <v>408</v>
          </cell>
        </row>
        <row r="410">
          <cell r="B410" t="str">
            <v>5201-C11</v>
          </cell>
          <cell r="C410" t="str">
            <v>Mechanical Completion 5201-C11 BallastTank No 7, West, 52TC007</v>
          </cell>
          <cell r="D410" t="str">
            <v>H.B20</v>
          </cell>
          <cell r="E410" t="str">
            <v>0d</v>
          </cell>
          <cell r="G410">
            <v>41449</v>
          </cell>
          <cell r="H410">
            <v>409</v>
          </cell>
        </row>
        <row r="411">
          <cell r="B411" t="str">
            <v>7701-C07</v>
          </cell>
          <cell r="C411" t="str">
            <v>Mechanical Completion 7701-C07 Q40 &amp; LQ Emergency Stairs East Supply System 77GA108A/B</v>
          </cell>
          <cell r="D411" t="str">
            <v>T.L10</v>
          </cell>
          <cell r="E411" t="str">
            <v>0d</v>
          </cell>
          <cell r="G411">
            <v>41449</v>
          </cell>
          <cell r="H411">
            <v>410</v>
          </cell>
        </row>
        <row r="412">
          <cell r="B412" t="str">
            <v>1601-C09</v>
          </cell>
          <cell r="C412" t="str">
            <v>Mechanical Completion 1601-C09 Flowline heating container 16FE001 (incl. 16ET001)</v>
          </cell>
          <cell r="D412" t="str">
            <v>H.M20</v>
          </cell>
          <cell r="E412" t="str">
            <v>0d</v>
          </cell>
          <cell r="G412">
            <v>41450</v>
          </cell>
          <cell r="H412">
            <v>411</v>
          </cell>
        </row>
        <row r="413">
          <cell r="B413" t="str">
            <v>1601-C10</v>
          </cell>
          <cell r="C413" t="str">
            <v>Mechanical Completion 1601-C10 Flowline heating container 16FE002 (incl. 16ET002)</v>
          </cell>
          <cell r="D413" t="str">
            <v>H.M20</v>
          </cell>
          <cell r="E413" t="str">
            <v>0d</v>
          </cell>
          <cell r="G413">
            <v>41450</v>
          </cell>
          <cell r="H413">
            <v>412</v>
          </cell>
        </row>
        <row r="414">
          <cell r="B414" t="str">
            <v>4101-C08</v>
          </cell>
          <cell r="C414" t="str">
            <v>Mechanical Completion 4101-C08 41EC001E Electric heater switchboard (incl. transformer 41ET001E)</v>
          </cell>
          <cell r="D414" t="str">
            <v>T.Q20</v>
          </cell>
          <cell r="E414" t="str">
            <v>0d</v>
          </cell>
          <cell r="G414">
            <v>41450</v>
          </cell>
          <cell r="H414">
            <v>413</v>
          </cell>
        </row>
        <row r="415">
          <cell r="B415" t="str">
            <v>2701-C04</v>
          </cell>
          <cell r="C415" t="str">
            <v>Mechanical Completion 2701-C04 HP compressor 27KA001/2 B</v>
          </cell>
          <cell r="D415" t="str">
            <v>T.P30</v>
          </cell>
          <cell r="E415" t="str">
            <v>0d</v>
          </cell>
          <cell r="G415">
            <v>41451</v>
          </cell>
          <cell r="H415">
            <v>414</v>
          </cell>
        </row>
        <row r="416">
          <cell r="B416" t="str">
            <v>3301-C11</v>
          </cell>
          <cell r="C416" t="str">
            <v>Mechanical Completion 3301-C11 Cargo tank 33TX005</v>
          </cell>
          <cell r="D416" t="str">
            <v>H.C20</v>
          </cell>
          <cell r="E416" t="str">
            <v>0d</v>
          </cell>
          <cell r="G416">
            <v>41451</v>
          </cell>
          <cell r="H416">
            <v>415</v>
          </cell>
        </row>
        <row r="417">
          <cell r="B417" t="str">
            <v>5201-C12</v>
          </cell>
          <cell r="C417" t="str">
            <v>Mechanical Completion 5201-C12 BallastTank No 8, West, 52TC008</v>
          </cell>
          <cell r="D417" t="str">
            <v>H.B20</v>
          </cell>
          <cell r="E417" t="str">
            <v>0d</v>
          </cell>
          <cell r="G417">
            <v>41451</v>
          </cell>
          <cell r="H417">
            <v>416</v>
          </cell>
        </row>
        <row r="418">
          <cell r="B418" t="str">
            <v>2001-C01</v>
          </cell>
          <cell r="C418" t="str">
            <v>Mechanical Completion 2001-C01 Inlet Heater 20HA001 &amp; Inlet Separator 20VA001</v>
          </cell>
          <cell r="D418" t="str">
            <v>T.P20</v>
          </cell>
          <cell r="E418" t="str">
            <v>0d</v>
          </cell>
          <cell r="G418">
            <v>41452</v>
          </cell>
          <cell r="H418">
            <v>417</v>
          </cell>
        </row>
        <row r="419">
          <cell r="B419" t="str">
            <v>5601-C10</v>
          </cell>
          <cell r="C419" t="str">
            <v>Mechanical Completion 5601-C10 Bilge system and pumps 56PF002A/B in central shaft sea water lift pump room</v>
          </cell>
          <cell r="D419" t="str">
            <v>H.G20</v>
          </cell>
          <cell r="E419" t="str">
            <v>0d</v>
          </cell>
          <cell r="G419">
            <v>41452</v>
          </cell>
          <cell r="H419">
            <v>418</v>
          </cell>
        </row>
        <row r="420">
          <cell r="B420" t="str">
            <v>7004-C03</v>
          </cell>
          <cell r="C420" t="str">
            <v>Mechanical Completion 7004-C03 Panel 70JC005/006 F&amp;G Node 73 (LER)</v>
          </cell>
          <cell r="D420" t="str">
            <v>T.Q30</v>
          </cell>
          <cell r="E420" t="str">
            <v>0d</v>
          </cell>
          <cell r="G420">
            <v>41452</v>
          </cell>
          <cell r="H420">
            <v>419</v>
          </cell>
        </row>
        <row r="421">
          <cell r="B421" t="str">
            <v>7004-C04</v>
          </cell>
          <cell r="C421" t="str">
            <v>Mechanical Completion 7004-C04 Panel 70JC007/008 F&amp;G Node 74 (LER)</v>
          </cell>
          <cell r="D421" t="str">
            <v>T.Q30</v>
          </cell>
          <cell r="E421" t="str">
            <v>0d</v>
          </cell>
          <cell r="G421">
            <v>41452</v>
          </cell>
          <cell r="H421">
            <v>420</v>
          </cell>
        </row>
        <row r="422">
          <cell r="B422" t="str">
            <v>8661-C01</v>
          </cell>
          <cell r="C422" t="str">
            <v>Mechanical Completion 8661-C01 Shuttle Tanker Telemetry</v>
          </cell>
          <cell r="D422" t="str">
            <v>T.L10</v>
          </cell>
          <cell r="E422" t="str">
            <v>0d</v>
          </cell>
          <cell r="G422">
            <v>41452</v>
          </cell>
          <cell r="H422">
            <v>421</v>
          </cell>
        </row>
        <row r="423">
          <cell r="B423" t="str">
            <v>9401-C08</v>
          </cell>
          <cell r="C423" t="str">
            <v>Mechanical Completion 9401-C08 Chain Tensioner Unit, East</v>
          </cell>
          <cell r="D423" t="str">
            <v>H.M10</v>
          </cell>
          <cell r="E423" t="str">
            <v>0d</v>
          </cell>
          <cell r="G423">
            <v>41452</v>
          </cell>
          <cell r="H423">
            <v>422</v>
          </cell>
        </row>
        <row r="424">
          <cell r="B424" t="str">
            <v>2901-C03</v>
          </cell>
          <cell r="C424" t="str">
            <v>Mechanical Completion 2901-C03 Temporary pig launcher water injection 29LE001</v>
          </cell>
          <cell r="D424" t="str">
            <v>T.P10</v>
          </cell>
          <cell r="E424" t="str">
            <v>0d</v>
          </cell>
          <cell r="G424">
            <v>41453</v>
          </cell>
          <cell r="H424">
            <v>423</v>
          </cell>
        </row>
        <row r="425">
          <cell r="B425" t="str">
            <v>2901-C04</v>
          </cell>
          <cell r="C425" t="str">
            <v>Mechanical Completion 2901-C04 Offshore Hook-up Spool to prod water injection well</v>
          </cell>
          <cell r="D425" t="str">
            <v>T.P10</v>
          </cell>
          <cell r="E425" t="str">
            <v>0d</v>
          </cell>
          <cell r="G425">
            <v>41453</v>
          </cell>
          <cell r="H425">
            <v>424</v>
          </cell>
        </row>
        <row r="426">
          <cell r="B426" t="str">
            <v>3301-C12</v>
          </cell>
          <cell r="C426" t="str">
            <v>Mechanical Completion 3301-C12 Cargo tank 33TX010</v>
          </cell>
          <cell r="D426" t="str">
            <v>H.C10</v>
          </cell>
          <cell r="E426" t="str">
            <v>0d</v>
          </cell>
          <cell r="G426">
            <v>41453</v>
          </cell>
          <cell r="H426">
            <v>425</v>
          </cell>
        </row>
        <row r="427">
          <cell r="B427" t="str">
            <v>2901-C05</v>
          </cell>
          <cell r="C427" t="str">
            <v>Mechanical Completion 2901-C05 Offshore Hook-up Spool to sea water injection well</v>
          </cell>
          <cell r="D427" t="str">
            <v>T.P10</v>
          </cell>
          <cell r="E427" t="str">
            <v>0d</v>
          </cell>
          <cell r="G427">
            <v>41454</v>
          </cell>
          <cell r="H427">
            <v>426</v>
          </cell>
        </row>
        <row r="428">
          <cell r="B428" t="str">
            <v>5201-C13</v>
          </cell>
          <cell r="C428" t="str">
            <v>Mechanical Completion 5201-C13 BallastTank No 9, West, 52TC009</v>
          </cell>
          <cell r="D428" t="str">
            <v>H.B20</v>
          </cell>
          <cell r="E428" t="str">
            <v>0d</v>
          </cell>
          <cell r="G428">
            <v>41454</v>
          </cell>
          <cell r="H428">
            <v>427</v>
          </cell>
        </row>
        <row r="429">
          <cell r="B429" t="str">
            <v>8611-C02</v>
          </cell>
          <cell r="C429" t="str">
            <v>Mechanical Completion 8611-C02 Public address and Alarm system B</v>
          </cell>
          <cell r="D429" t="str">
            <v>T.Q30</v>
          </cell>
          <cell r="E429" t="str">
            <v>0d</v>
          </cell>
          <cell r="G429">
            <v>41454</v>
          </cell>
          <cell r="H429">
            <v>428</v>
          </cell>
        </row>
        <row r="430">
          <cell r="B430" t="str">
            <v>8611-C03</v>
          </cell>
          <cell r="C430" t="str">
            <v>Mechanical Completion 8611-C03 Hull PA/GA A system</v>
          </cell>
          <cell r="D430" t="str">
            <v>H.G20</v>
          </cell>
          <cell r="E430" t="str">
            <v>0d</v>
          </cell>
          <cell r="G430">
            <v>41454</v>
          </cell>
          <cell r="H430">
            <v>429</v>
          </cell>
        </row>
        <row r="431">
          <cell r="B431" t="str">
            <v>7004-C05</v>
          </cell>
          <cell r="C431" t="str">
            <v>Mechanical Completion 7004-C05 Panel 70JC010/011 F&amp;G Node 75 (LER)</v>
          </cell>
          <cell r="D431" t="str">
            <v>T.Q30</v>
          </cell>
          <cell r="E431" t="str">
            <v>0d</v>
          </cell>
          <cell r="G431">
            <v>41456</v>
          </cell>
          <cell r="H431">
            <v>430</v>
          </cell>
        </row>
        <row r="432">
          <cell r="B432" t="str">
            <v>7004-C06</v>
          </cell>
          <cell r="C432" t="str">
            <v>Mechanical Completion 7004-C06 Panel 70JC012/013 F&amp;G Node 76 (LER)</v>
          </cell>
          <cell r="D432" t="str">
            <v>T.Q30</v>
          </cell>
          <cell r="E432" t="str">
            <v>0d</v>
          </cell>
          <cell r="G432">
            <v>41456</v>
          </cell>
          <cell r="H432">
            <v>431</v>
          </cell>
        </row>
        <row r="433">
          <cell r="B433" t="str">
            <v>7701-C37</v>
          </cell>
          <cell r="C433" t="str">
            <v>Mechanical Completion 7701-C37 Q40 Area Extract East System 77GK140A/B</v>
          </cell>
          <cell r="D433" t="str">
            <v>T.Q40</v>
          </cell>
          <cell r="E433" t="str">
            <v>0d</v>
          </cell>
          <cell r="G433">
            <v>41456</v>
          </cell>
          <cell r="H433">
            <v>432</v>
          </cell>
        </row>
        <row r="434">
          <cell r="B434" t="str">
            <v>3301-C13</v>
          </cell>
          <cell r="C434" t="str">
            <v>Mechanical Completion 3301-C13 Cargo tank 33TX009</v>
          </cell>
          <cell r="D434" t="str">
            <v>H.C10</v>
          </cell>
          <cell r="E434" t="str">
            <v>0d</v>
          </cell>
          <cell r="G434">
            <v>41457</v>
          </cell>
          <cell r="H434">
            <v>433</v>
          </cell>
        </row>
        <row r="435">
          <cell r="B435" t="str">
            <v>5201-C14</v>
          </cell>
          <cell r="C435" t="str">
            <v>Mechanical Completion 5201-C14 BallastTank No 10, West, 52TC010</v>
          </cell>
          <cell r="D435" t="str">
            <v>H.B20</v>
          </cell>
          <cell r="E435" t="str">
            <v>0d</v>
          </cell>
          <cell r="G435">
            <v>41457</v>
          </cell>
          <cell r="H435">
            <v>434</v>
          </cell>
        </row>
        <row r="436">
          <cell r="B436" t="str">
            <v>3301-C14</v>
          </cell>
          <cell r="C436" t="str">
            <v>Mechanical Completion 3301-C14 Cargo tank 33TX008</v>
          </cell>
          <cell r="D436" t="str">
            <v>H.C20</v>
          </cell>
          <cell r="E436" t="str">
            <v>0d</v>
          </cell>
          <cell r="G436">
            <v>41459</v>
          </cell>
          <cell r="H436">
            <v>435</v>
          </cell>
        </row>
        <row r="437">
          <cell r="B437" t="str">
            <v>5201-C15</v>
          </cell>
          <cell r="C437" t="str">
            <v>Mechanical Completion 5201-C15 BallastTank No 1, East, 52TC011</v>
          </cell>
          <cell r="D437" t="str">
            <v>H.B10</v>
          </cell>
          <cell r="E437" t="str">
            <v>0d</v>
          </cell>
          <cell r="G437">
            <v>41459</v>
          </cell>
          <cell r="H437">
            <v>436</v>
          </cell>
        </row>
        <row r="438">
          <cell r="B438" t="str">
            <v>7004-C07</v>
          </cell>
          <cell r="C438" t="str">
            <v>Mechanical Completion 7004-C07 Panel 70JC014/015 F&amp;G Node 77 (LER)</v>
          </cell>
          <cell r="D438" t="str">
            <v>T.Q30</v>
          </cell>
          <cell r="E438" t="str">
            <v>0d</v>
          </cell>
          <cell r="G438">
            <v>41459</v>
          </cell>
          <cell r="H438">
            <v>437</v>
          </cell>
        </row>
        <row r="439">
          <cell r="B439" t="str">
            <v>7004-C08</v>
          </cell>
          <cell r="C439" t="str">
            <v>Mechanical Completion 7004-C08 Panel 70JC016 F&amp;G Node 78 (LQ) (LER)</v>
          </cell>
          <cell r="D439" t="str">
            <v>T.Q30</v>
          </cell>
          <cell r="E439" t="str">
            <v>0d</v>
          </cell>
          <cell r="G439">
            <v>41459</v>
          </cell>
          <cell r="H439">
            <v>438</v>
          </cell>
        </row>
        <row r="440">
          <cell r="B440" t="str">
            <v>7701-C08</v>
          </cell>
          <cell r="C440" t="str">
            <v>Mechanical Completion 7701-C08 M30 &amp; LQ Emergency Stairs West Supply System 77GK109A/B</v>
          </cell>
          <cell r="D440" t="str">
            <v>T.L10</v>
          </cell>
          <cell r="E440" t="str">
            <v>0d</v>
          </cell>
          <cell r="G440">
            <v>41459</v>
          </cell>
          <cell r="H440">
            <v>439</v>
          </cell>
        </row>
        <row r="441">
          <cell r="B441" t="str">
            <v>8644-C01</v>
          </cell>
          <cell r="C441" t="str">
            <v>Mechanical Completion 8644-C01 Marine VHF and mobile telephone base stations</v>
          </cell>
          <cell r="D441" t="str">
            <v>T.L10</v>
          </cell>
          <cell r="E441" t="str">
            <v>0d</v>
          </cell>
          <cell r="G441">
            <v>41459</v>
          </cell>
          <cell r="H441">
            <v>440</v>
          </cell>
        </row>
        <row r="442">
          <cell r="B442" t="str">
            <v>3301-C15</v>
          </cell>
          <cell r="C442" t="str">
            <v>Mechanical Completion 3301-C15 Cargo tank 33TX007</v>
          </cell>
          <cell r="D442" t="str">
            <v>H.C20</v>
          </cell>
          <cell r="E442" t="str">
            <v>0d</v>
          </cell>
          <cell r="G442">
            <v>41461</v>
          </cell>
          <cell r="H442">
            <v>441</v>
          </cell>
        </row>
        <row r="443">
          <cell r="B443" t="str">
            <v>8621-C02</v>
          </cell>
          <cell r="C443" t="str">
            <v>Mechanical Completion 8621-C02 PABX and telephone system LQ</v>
          </cell>
          <cell r="D443" t="str">
            <v>T.L10</v>
          </cell>
          <cell r="E443" t="str">
            <v>0d</v>
          </cell>
          <cell r="G443">
            <v>41461</v>
          </cell>
          <cell r="H443">
            <v>442</v>
          </cell>
        </row>
        <row r="444">
          <cell r="B444" t="str">
            <v>8643-C01</v>
          </cell>
          <cell r="C444" t="str">
            <v>Mechanical Completion 8643-C01 Audio and video entertainment system</v>
          </cell>
          <cell r="D444" t="str">
            <v>T.L10</v>
          </cell>
          <cell r="E444" t="str">
            <v>0d</v>
          </cell>
          <cell r="G444">
            <v>41461</v>
          </cell>
          <cell r="H444">
            <v>443</v>
          </cell>
        </row>
        <row r="445">
          <cell r="B445" t="str">
            <v>5201-C16</v>
          </cell>
          <cell r="C445" t="str">
            <v>Mechanical Completion 5201-C16 BallastTank No 2, East, 52TC012</v>
          </cell>
          <cell r="D445" t="str">
            <v>H.B10</v>
          </cell>
          <cell r="E445" t="str">
            <v>0d</v>
          </cell>
          <cell r="G445">
            <v>41463</v>
          </cell>
          <cell r="H445">
            <v>444</v>
          </cell>
        </row>
        <row r="446">
          <cell r="B446" t="str">
            <v>7004-C09</v>
          </cell>
          <cell r="C446" t="str">
            <v>Mechanical Completion 7004-C09 Panel 70JC018 F&amp;G Node 71 (LQ) (CER)</v>
          </cell>
          <cell r="D446" t="str">
            <v>T.Q30</v>
          </cell>
          <cell r="E446" t="str">
            <v>0d</v>
          </cell>
          <cell r="G446">
            <v>41463</v>
          </cell>
          <cell r="H446">
            <v>445</v>
          </cell>
        </row>
        <row r="447">
          <cell r="B447" t="str">
            <v>7004-C10</v>
          </cell>
          <cell r="C447" t="str">
            <v>Mechanical Completion 7004-C10 Panel 70JX001 F&amp;G Visual Flame Detection  (LER)</v>
          </cell>
          <cell r="D447" t="str">
            <v>T.Q30</v>
          </cell>
          <cell r="E447" t="str">
            <v>0d</v>
          </cell>
          <cell r="G447">
            <v>41463</v>
          </cell>
          <cell r="H447">
            <v>446</v>
          </cell>
        </row>
        <row r="448">
          <cell r="B448" t="str">
            <v>9401-C09</v>
          </cell>
          <cell r="C448" t="str">
            <v>Mechanical Completion 9401-C09 Chain Tensioner Unit, South</v>
          </cell>
          <cell r="D448" t="str">
            <v>H.M20</v>
          </cell>
          <cell r="E448" t="str">
            <v>0d</v>
          </cell>
          <cell r="G448">
            <v>41463</v>
          </cell>
          <cell r="H448">
            <v>447</v>
          </cell>
        </row>
        <row r="449">
          <cell r="B449" t="str">
            <v>9401-C11</v>
          </cell>
          <cell r="C449" t="str">
            <v>Mechanical Completion 9401-C11 Auxilliary Winches for Towing/Mooring Line handling</v>
          </cell>
          <cell r="D449" t="str">
            <v>H.M10</v>
          </cell>
          <cell r="E449" t="str">
            <v>0d</v>
          </cell>
          <cell r="G449">
            <v>41463</v>
          </cell>
          <cell r="H449">
            <v>448</v>
          </cell>
        </row>
        <row r="450">
          <cell r="B450" t="str">
            <v>9401-C12</v>
          </cell>
          <cell r="C450" t="str">
            <v>Mechanical Completion 9401-C12 EFCS/Chain stopper, East</v>
          </cell>
          <cell r="D450" t="str">
            <v>H.M10</v>
          </cell>
          <cell r="E450" t="str">
            <v>0d</v>
          </cell>
          <cell r="G450">
            <v>41463</v>
          </cell>
          <cell r="H450">
            <v>449</v>
          </cell>
        </row>
        <row r="451">
          <cell r="B451" t="str">
            <v>8611-C05</v>
          </cell>
          <cell r="C451" t="str">
            <v>Mechanical Completion 8611-C05 LQ PA/GA A system</v>
          </cell>
          <cell r="D451" t="str">
            <v>T.L10</v>
          </cell>
          <cell r="E451" t="str">
            <v>0d</v>
          </cell>
          <cell r="G451">
            <v>41464</v>
          </cell>
          <cell r="H451">
            <v>450</v>
          </cell>
        </row>
        <row r="452">
          <cell r="B452" t="str">
            <v>3301-C16</v>
          </cell>
          <cell r="C452" t="str">
            <v>Mechanical Completion 3301-C16 Cargo tank 33TX006</v>
          </cell>
          <cell r="D452" t="str">
            <v>H.C20</v>
          </cell>
          <cell r="E452" t="str">
            <v>0d</v>
          </cell>
          <cell r="G452">
            <v>41465</v>
          </cell>
          <cell r="H452">
            <v>451</v>
          </cell>
        </row>
        <row r="453">
          <cell r="B453" t="str">
            <v>5201-C17</v>
          </cell>
          <cell r="C453" t="str">
            <v>Mechanical Completion 5201-C17 BallastTank No 3, East, 52TC013</v>
          </cell>
          <cell r="D453" t="str">
            <v>H.B10</v>
          </cell>
          <cell r="E453" t="str">
            <v>0d</v>
          </cell>
          <cell r="G453">
            <v>41465</v>
          </cell>
          <cell r="H453">
            <v>452</v>
          </cell>
        </row>
        <row r="454">
          <cell r="B454" t="str">
            <v>9901-C04</v>
          </cell>
          <cell r="C454" t="str">
            <v>Mechanical Completion 9901-C04 C10 &amp; C20 Cargo Tanks North &amp; South</v>
          </cell>
          <cell r="D454" t="str">
            <v>H.C10</v>
          </cell>
          <cell r="E454" t="str">
            <v>0d</v>
          </cell>
          <cell r="G454">
            <v>41465</v>
          </cell>
          <cell r="H454">
            <v>453</v>
          </cell>
        </row>
        <row r="455">
          <cell r="B455" t="str">
            <v>2001-C02</v>
          </cell>
          <cell r="C455" t="str">
            <v>Mechanical Completion 2001-C02 Test Heater 20HA003 &amp; Test Separator 20VA003</v>
          </cell>
          <cell r="D455" t="str">
            <v>T.P20</v>
          </cell>
          <cell r="E455" t="str">
            <v>0d</v>
          </cell>
          <cell r="G455">
            <v>41466</v>
          </cell>
          <cell r="H455">
            <v>454</v>
          </cell>
        </row>
        <row r="456">
          <cell r="B456" t="str">
            <v>5601-C09</v>
          </cell>
          <cell r="C456" t="str">
            <v>Mechanical Completion 5601-C09 Bilge system and pumps 56PF003A&amp;B north shaft</v>
          </cell>
          <cell r="D456" t="str">
            <v>H.N10</v>
          </cell>
          <cell r="E456" t="str">
            <v>0d</v>
          </cell>
          <cell r="G456">
            <v>41466</v>
          </cell>
          <cell r="H456">
            <v>455</v>
          </cell>
        </row>
        <row r="457">
          <cell r="B457" t="str">
            <v>7001-C01</v>
          </cell>
          <cell r="C457" t="str">
            <v>Mechanical Completion 7001-C01 Fire zone G10A Hull Center shaft Outer</v>
          </cell>
          <cell r="D457" t="str">
            <v>H.G10</v>
          </cell>
          <cell r="E457" t="str">
            <v>0d</v>
          </cell>
          <cell r="G457">
            <v>41466</v>
          </cell>
          <cell r="H457">
            <v>456</v>
          </cell>
        </row>
        <row r="458">
          <cell r="B458" t="str">
            <v>7002-C01</v>
          </cell>
          <cell r="C458" t="str">
            <v>Mechanical Completion 7002-C01 Fire zone D10A Offloading Station</v>
          </cell>
          <cell r="D458" t="str">
            <v>T.D10</v>
          </cell>
          <cell r="E458" t="str">
            <v>0d</v>
          </cell>
          <cell r="G458">
            <v>41466</v>
          </cell>
          <cell r="H458">
            <v>457</v>
          </cell>
        </row>
        <row r="459">
          <cell r="B459" t="str">
            <v>7002-C48</v>
          </cell>
          <cell r="C459" t="str">
            <v>Mechanical Completion 7002-C48 Fire zone Q32C LER &amp; Battery Rooms</v>
          </cell>
          <cell r="D459" t="str">
            <v>T.Q30.Q32</v>
          </cell>
          <cell r="E459" t="str">
            <v>0d</v>
          </cell>
          <cell r="G459">
            <v>41466</v>
          </cell>
          <cell r="H459">
            <v>458</v>
          </cell>
        </row>
        <row r="460">
          <cell r="B460" t="str">
            <v>7002-C49</v>
          </cell>
          <cell r="C460" t="str">
            <v>Mechanical Completion 7002-C49 Fire zone Q32D UPS &amp; Battery Room</v>
          </cell>
          <cell r="D460" t="str">
            <v>T.Q30.Q32</v>
          </cell>
          <cell r="E460" t="str">
            <v>0d</v>
          </cell>
          <cell r="G460">
            <v>41466</v>
          </cell>
          <cell r="H460">
            <v>459</v>
          </cell>
        </row>
        <row r="461">
          <cell r="B461" t="str">
            <v>7002-C50</v>
          </cell>
          <cell r="C461" t="str">
            <v>Mechanical Completion 7002-C50 Fire zone Q32E Corridors, Offices &amp; Laydown Area</v>
          </cell>
          <cell r="D461" t="str">
            <v>T.Q30.Q32</v>
          </cell>
          <cell r="E461" t="str">
            <v>0d</v>
          </cell>
          <cell r="G461">
            <v>41466</v>
          </cell>
          <cell r="H461">
            <v>460</v>
          </cell>
        </row>
        <row r="462">
          <cell r="B462" t="str">
            <v>7003-C01</v>
          </cell>
          <cell r="C462" t="str">
            <v>Mechanical Completion 7003-C01 Fire zone L11A Gymnasium &amp; Cinema</v>
          </cell>
          <cell r="D462" t="str">
            <v>T.L10.L11</v>
          </cell>
          <cell r="E462" t="str">
            <v>0d</v>
          </cell>
          <cell r="G462">
            <v>41466</v>
          </cell>
          <cell r="H462">
            <v>461</v>
          </cell>
        </row>
        <row r="463">
          <cell r="B463" t="str">
            <v>7003-C02</v>
          </cell>
          <cell r="C463" t="str">
            <v>Mechanical Completion 7003-C02 Fire zone L11B HVAC Plant Room</v>
          </cell>
          <cell r="D463" t="str">
            <v>T.L10.L11</v>
          </cell>
          <cell r="E463" t="str">
            <v>0d</v>
          </cell>
          <cell r="G463">
            <v>41466</v>
          </cell>
          <cell r="H463">
            <v>462</v>
          </cell>
        </row>
        <row r="464">
          <cell r="B464" t="str">
            <v>7004-C11</v>
          </cell>
          <cell r="C464" t="str">
            <v>Mechanical Completion 7004-C11 Panel 70JC020/021 F&amp;G Node 79 (Hull) (LER)</v>
          </cell>
          <cell r="D464" t="str">
            <v>T.Q30</v>
          </cell>
          <cell r="E464" t="str">
            <v>0d</v>
          </cell>
          <cell r="G464">
            <v>41466</v>
          </cell>
          <cell r="H464">
            <v>463</v>
          </cell>
        </row>
        <row r="465">
          <cell r="B465" t="str">
            <v>7005-C01</v>
          </cell>
          <cell r="C465" t="str">
            <v>Mechanical Completion 7005-C01 Gas Detection Cabinets</v>
          </cell>
          <cell r="D465" t="str">
            <v>H.M10</v>
          </cell>
          <cell r="E465" t="str">
            <v>0d</v>
          </cell>
          <cell r="G465">
            <v>41466</v>
          </cell>
          <cell r="H465">
            <v>464</v>
          </cell>
        </row>
        <row r="466">
          <cell r="B466" t="str">
            <v>7701-C36</v>
          </cell>
          <cell r="C466" t="str">
            <v>Mechanical Completion 7701-C36 M30 Area Extract West System 77GK128A/B</v>
          </cell>
          <cell r="D466" t="str">
            <v>H.M30</v>
          </cell>
          <cell r="E466" t="str">
            <v>0d</v>
          </cell>
          <cell r="G466">
            <v>41466</v>
          </cell>
          <cell r="H466">
            <v>465</v>
          </cell>
        </row>
        <row r="467">
          <cell r="B467" t="str">
            <v>9901-C39</v>
          </cell>
          <cell r="C467" t="str">
            <v>Mechanical Completion 9901-C39 D10 Offloading Station Area EL:44.000 to 69.000</v>
          </cell>
          <cell r="D467" t="str">
            <v>T.D10</v>
          </cell>
          <cell r="E467" t="str">
            <v>0d</v>
          </cell>
          <cell r="G467">
            <v>41466</v>
          </cell>
          <cell r="H467">
            <v>466</v>
          </cell>
        </row>
        <row r="468">
          <cell r="B468" t="str">
            <v>4501-C01</v>
          </cell>
          <cell r="C468" t="str">
            <v>Mechanical Completion 4501-C01 Fuel gas Cooler 45HJ001, Heaters 45FE001A/B &amp; Scrubber 45VG001</v>
          </cell>
          <cell r="D468" t="str">
            <v>T.P30</v>
          </cell>
          <cell r="E468" t="str">
            <v>0d</v>
          </cell>
          <cell r="G468">
            <v>41467</v>
          </cell>
          <cell r="H468">
            <v>467</v>
          </cell>
        </row>
        <row r="469">
          <cell r="B469" t="str">
            <v>4501-C02</v>
          </cell>
          <cell r="C469" t="str">
            <v>Mechanical Completion 4501-C02 Fuel gas Metering 45JX001 &amp; Calorimeter 45JX002</v>
          </cell>
          <cell r="D469" t="str">
            <v>T.P30</v>
          </cell>
          <cell r="E469" t="str">
            <v>0d</v>
          </cell>
          <cell r="G469">
            <v>41467</v>
          </cell>
          <cell r="H469">
            <v>468</v>
          </cell>
        </row>
        <row r="470">
          <cell r="B470" t="str">
            <v>9401-C13</v>
          </cell>
          <cell r="C470" t="str">
            <v>Mechanical Completion 9401-C13 EFCS/Chain stopper, South</v>
          </cell>
          <cell r="D470" t="str">
            <v>H.M20</v>
          </cell>
          <cell r="E470" t="str">
            <v>0d</v>
          </cell>
          <cell r="G470">
            <v>41467</v>
          </cell>
          <cell r="H470">
            <v>469</v>
          </cell>
        </row>
        <row r="471">
          <cell r="B471" t="str">
            <v>5201-C18</v>
          </cell>
          <cell r="C471" t="str">
            <v>Mechanical Completion 5201-C18 BallastTank No 4, East, 52TC014</v>
          </cell>
          <cell r="D471" t="str">
            <v>H.B10</v>
          </cell>
          <cell r="E471" t="str">
            <v>0d</v>
          </cell>
          <cell r="G471">
            <v>41468</v>
          </cell>
          <cell r="H471">
            <v>470</v>
          </cell>
        </row>
        <row r="472">
          <cell r="B472" t="str">
            <v>8642-C01</v>
          </cell>
          <cell r="C472" t="str">
            <v>Mechanical Completion 8642-C01 UHF internal radio and paging system</v>
          </cell>
          <cell r="D472" t="str">
            <v>T.L10</v>
          </cell>
          <cell r="E472" t="str">
            <v>0d</v>
          </cell>
          <cell r="G472">
            <v>41468</v>
          </cell>
          <cell r="H472">
            <v>471</v>
          </cell>
        </row>
        <row r="473">
          <cell r="B473" t="str">
            <v>8642-C02</v>
          </cell>
          <cell r="C473" t="str">
            <v>Mechanical Completion 8642-C02 External Antenna</v>
          </cell>
          <cell r="D473" t="str">
            <v>T.L10</v>
          </cell>
          <cell r="E473" t="str">
            <v>0d</v>
          </cell>
          <cell r="G473">
            <v>41468</v>
          </cell>
          <cell r="H473">
            <v>472</v>
          </cell>
        </row>
        <row r="474">
          <cell r="B474" t="str">
            <v>3901-C01</v>
          </cell>
          <cell r="C474" t="str">
            <v>Mechanical Completion 3901-C01 Praimary Bunkering Station 39XX001A</v>
          </cell>
          <cell r="D474" t="str">
            <v>T.Q30</v>
          </cell>
          <cell r="E474" t="str">
            <v>0d</v>
          </cell>
          <cell r="G474">
            <v>41470</v>
          </cell>
          <cell r="H474">
            <v>473</v>
          </cell>
        </row>
        <row r="475">
          <cell r="B475" t="str">
            <v>6201-C01</v>
          </cell>
          <cell r="C475" t="str">
            <v>Mechanical Completion 6201-C01 Diesel bunker reels and storage tanks 62TB001/2, &amp; Diesel transfer Pumps 62PG001A/B</v>
          </cell>
          <cell r="D475" t="str">
            <v>H.N10</v>
          </cell>
          <cell r="E475" t="str">
            <v>0d</v>
          </cell>
          <cell r="G475">
            <v>41470</v>
          </cell>
          <cell r="H475">
            <v>474</v>
          </cell>
        </row>
        <row r="476">
          <cell r="B476" t="str">
            <v>7003-C03</v>
          </cell>
          <cell r="C476" t="str">
            <v>Mechanical Completion 7003-C03 Fire zone L11C Dirty Staircase</v>
          </cell>
          <cell r="D476" t="str">
            <v>T.L10.L11</v>
          </cell>
          <cell r="E476" t="str">
            <v>0d</v>
          </cell>
          <cell r="G476">
            <v>41470</v>
          </cell>
          <cell r="H476">
            <v>475</v>
          </cell>
        </row>
        <row r="477">
          <cell r="B477" t="str">
            <v>7701-C40</v>
          </cell>
          <cell r="C477" t="str">
            <v>Mechanical Completion 7701-C40 LQ Galley Handling Area Extract System 77GK143</v>
          </cell>
          <cell r="D477" t="str">
            <v>T.L10</v>
          </cell>
          <cell r="E477" t="str">
            <v>0d</v>
          </cell>
          <cell r="G477">
            <v>41470</v>
          </cell>
          <cell r="H477">
            <v>476</v>
          </cell>
        </row>
        <row r="478">
          <cell r="B478" t="str">
            <v>5201-C19</v>
          </cell>
          <cell r="C478" t="str">
            <v>Mechanical Completion 5201-C19 BallastTank No 5, East, 52TC015</v>
          </cell>
          <cell r="D478" t="str">
            <v>H.B10</v>
          </cell>
          <cell r="E478" t="str">
            <v>0d</v>
          </cell>
          <cell r="G478">
            <v>41471</v>
          </cell>
          <cell r="H478">
            <v>477</v>
          </cell>
        </row>
        <row r="479">
          <cell r="B479" t="str">
            <v>7002-C03</v>
          </cell>
          <cell r="C479" t="str">
            <v>Mechanical Completion 7002-C03 FFire zone F20A Flare tower stack area</v>
          </cell>
          <cell r="D479" t="str">
            <v>T.F10</v>
          </cell>
          <cell r="E479" t="str">
            <v>0d</v>
          </cell>
          <cell r="G479">
            <v>41471</v>
          </cell>
          <cell r="H479">
            <v>478</v>
          </cell>
        </row>
        <row r="480">
          <cell r="B480" t="str">
            <v>7002-C04</v>
          </cell>
          <cell r="C480" t="str">
            <v>Mechanical Completion 7002-C04 Fire zone M10A Cargo Tank Top North West</v>
          </cell>
          <cell r="D480" t="str">
            <v>H.M10</v>
          </cell>
          <cell r="E480" t="str">
            <v>0d</v>
          </cell>
          <cell r="G480">
            <v>41471</v>
          </cell>
          <cell r="H480">
            <v>479</v>
          </cell>
        </row>
        <row r="481">
          <cell r="B481" t="str">
            <v>7002-C51</v>
          </cell>
          <cell r="C481" t="str">
            <v>Mechanical Completion 7002-C51 Fire zone Q33A Fire Pump Generator Room</v>
          </cell>
          <cell r="D481" t="str">
            <v>T.Q30.Q33</v>
          </cell>
          <cell r="E481" t="str">
            <v>0d</v>
          </cell>
          <cell r="G481">
            <v>41471</v>
          </cell>
          <cell r="H481">
            <v>480</v>
          </cell>
        </row>
        <row r="482">
          <cell r="B482" t="str">
            <v>7002-C52</v>
          </cell>
          <cell r="C482" t="str">
            <v>Mechanical Completion 7002-C52 Fire zone Q33B Fire Pump Generator</v>
          </cell>
          <cell r="D482" t="str">
            <v>T.Q30.Q33</v>
          </cell>
          <cell r="E482" t="str">
            <v>0d</v>
          </cell>
          <cell r="G482">
            <v>41471</v>
          </cell>
          <cell r="H482">
            <v>481</v>
          </cell>
        </row>
        <row r="483">
          <cell r="B483" t="str">
            <v>7002-C53</v>
          </cell>
          <cell r="C483" t="str">
            <v>Mechanical Completion 7002-C53 Fire zone Q33C ASDS Swrm and Transformers</v>
          </cell>
          <cell r="D483" t="str">
            <v>T.Q30.Q33</v>
          </cell>
          <cell r="E483" t="str">
            <v>0d</v>
          </cell>
          <cell r="G483">
            <v>41471</v>
          </cell>
          <cell r="H483">
            <v>482</v>
          </cell>
        </row>
        <row r="484">
          <cell r="B484" t="str">
            <v>7002-C54</v>
          </cell>
          <cell r="C484" t="str">
            <v>Mechanical Completion 7002-C54 Fire zone Q33D Fire Pump Generator</v>
          </cell>
          <cell r="D484" t="str">
            <v>T.Q30.Q33</v>
          </cell>
          <cell r="E484" t="str">
            <v>0d</v>
          </cell>
          <cell r="G484">
            <v>41471</v>
          </cell>
          <cell r="H484">
            <v>483</v>
          </cell>
        </row>
        <row r="485">
          <cell r="B485" t="str">
            <v>7003-C04</v>
          </cell>
          <cell r="C485" t="str">
            <v>Mechanical Completion 7003-C04 Fire zone L11D Main Staircase</v>
          </cell>
          <cell r="D485" t="str">
            <v>T.L10.L11</v>
          </cell>
          <cell r="E485" t="str">
            <v>0d</v>
          </cell>
          <cell r="G485">
            <v>41471</v>
          </cell>
          <cell r="H485">
            <v>484</v>
          </cell>
        </row>
        <row r="486">
          <cell r="B486" t="str">
            <v>7003-C20</v>
          </cell>
          <cell r="C486" t="str">
            <v>Mechanical Completion 7003-C20 Fire zone L17C Battery Room</v>
          </cell>
          <cell r="D486" t="str">
            <v>T.L10.L17</v>
          </cell>
          <cell r="E486" t="str">
            <v>0d</v>
          </cell>
          <cell r="G486">
            <v>41471</v>
          </cell>
          <cell r="H486">
            <v>485</v>
          </cell>
        </row>
        <row r="487">
          <cell r="B487" t="str">
            <v>7001-C02</v>
          </cell>
          <cell r="C487" t="str">
            <v>Mechanical Completion 7001-C02 Fire zone G12A Cargo Pump Room Center shaft</v>
          </cell>
          <cell r="D487" t="str">
            <v>H.G10.G12</v>
          </cell>
          <cell r="E487" t="str">
            <v>0d</v>
          </cell>
          <cell r="G487">
            <v>41472</v>
          </cell>
          <cell r="H487">
            <v>486</v>
          </cell>
        </row>
        <row r="488">
          <cell r="B488" t="str">
            <v>7003-C21</v>
          </cell>
          <cell r="C488" t="str">
            <v>Mechanical Completion 7003-C21 Fire zone L17D Stores</v>
          </cell>
          <cell r="D488" t="str">
            <v>T.L10.L17</v>
          </cell>
          <cell r="E488" t="str">
            <v>0d</v>
          </cell>
          <cell r="G488">
            <v>41472</v>
          </cell>
          <cell r="H488">
            <v>487</v>
          </cell>
        </row>
        <row r="489">
          <cell r="B489" t="str">
            <v>9401-C14</v>
          </cell>
          <cell r="C489" t="str">
            <v>Mechanical Completion 9401-C14 EFCS/Chain stopper, West</v>
          </cell>
          <cell r="D489" t="str">
            <v>H.M10</v>
          </cell>
          <cell r="E489" t="str">
            <v>0d</v>
          </cell>
          <cell r="G489">
            <v>41472</v>
          </cell>
          <cell r="H489">
            <v>488</v>
          </cell>
        </row>
        <row r="490">
          <cell r="B490" t="str">
            <v>5201-C20</v>
          </cell>
          <cell r="C490" t="str">
            <v>Mechanical Completion 5201-C20 BallastTank No 6, East, 52TC016</v>
          </cell>
          <cell r="D490" t="str">
            <v>H.B20</v>
          </cell>
          <cell r="E490" t="str">
            <v>0d</v>
          </cell>
          <cell r="G490">
            <v>41473</v>
          </cell>
          <cell r="H490">
            <v>489</v>
          </cell>
        </row>
        <row r="491">
          <cell r="B491" t="str">
            <v>8611-C07</v>
          </cell>
          <cell r="C491" t="str">
            <v>Mechanical Completion 8611-C07 Topside PA/GA A system</v>
          </cell>
          <cell r="D491" t="str">
            <v>T.P10</v>
          </cell>
          <cell r="E491" t="str">
            <v>0d</v>
          </cell>
          <cell r="G491">
            <v>41473</v>
          </cell>
          <cell r="H491">
            <v>490</v>
          </cell>
        </row>
        <row r="492">
          <cell r="B492" t="str">
            <v>3901-C02</v>
          </cell>
          <cell r="C492" t="str">
            <v>Mechanical Completion 3901-C02 Secendary Bunkering Station 39XX001B</v>
          </cell>
          <cell r="D492" t="str">
            <v>T.Q20</v>
          </cell>
          <cell r="E492" t="str">
            <v>0d</v>
          </cell>
          <cell r="G492">
            <v>41474</v>
          </cell>
          <cell r="H492">
            <v>491</v>
          </cell>
        </row>
        <row r="493">
          <cell r="B493" t="str">
            <v>7002-C76</v>
          </cell>
          <cell r="C493" t="str">
            <v>Mechanical Completion 7002-C76 Fire zone Q32F UPS &amp; UPS battery Room</v>
          </cell>
          <cell r="D493" t="str">
            <v>T.Q30.Q32</v>
          </cell>
          <cell r="E493" t="str">
            <v>0d</v>
          </cell>
          <cell r="G493">
            <v>41474</v>
          </cell>
          <cell r="H493">
            <v>492</v>
          </cell>
        </row>
        <row r="494">
          <cell r="B494" t="str">
            <v>7003-C22</v>
          </cell>
          <cell r="C494" t="str">
            <v>Mechanical Completion 7003-C22 Fire zone L18A Helideck Control Cabin</v>
          </cell>
          <cell r="D494" t="str">
            <v>T.L10.L18</v>
          </cell>
          <cell r="E494" t="str">
            <v>0d</v>
          </cell>
          <cell r="G494">
            <v>41474</v>
          </cell>
          <cell r="H494">
            <v>493</v>
          </cell>
        </row>
        <row r="495">
          <cell r="B495" t="str">
            <v>9401-C10</v>
          </cell>
          <cell r="C495" t="str">
            <v>Mechanical Completion 9401-C10 Chain Tensioner Unit, West</v>
          </cell>
          <cell r="D495" t="str">
            <v>H.M10</v>
          </cell>
          <cell r="E495" t="str">
            <v>0d</v>
          </cell>
          <cell r="G495">
            <v>41474</v>
          </cell>
          <cell r="H495">
            <v>494</v>
          </cell>
        </row>
        <row r="496">
          <cell r="B496" t="str">
            <v>7003-C05</v>
          </cell>
          <cell r="C496" t="str">
            <v>Mechanical Completion 7003-C05 Fire zone L11E West Staircase</v>
          </cell>
          <cell r="D496" t="str">
            <v>T.L10.L11</v>
          </cell>
          <cell r="E496" t="str">
            <v>0d</v>
          </cell>
          <cell r="G496">
            <v>41475</v>
          </cell>
          <cell r="H496">
            <v>495</v>
          </cell>
        </row>
        <row r="497">
          <cell r="B497" t="str">
            <v>8600-C01</v>
          </cell>
          <cell r="C497" t="str">
            <v>Mechanical Completion 8600-C01 General</v>
          </cell>
          <cell r="D497" t="str">
            <v>T.L10.L17</v>
          </cell>
          <cell r="E497" t="str">
            <v>0d</v>
          </cell>
          <cell r="G497">
            <v>41475</v>
          </cell>
          <cell r="H497">
            <v>496</v>
          </cell>
        </row>
        <row r="498">
          <cell r="B498" t="str">
            <v>8621-C03</v>
          </cell>
          <cell r="C498" t="str">
            <v>Mechanical Completion 8621-C03 PABX and telephone system Topside</v>
          </cell>
          <cell r="D498" t="str">
            <v>T.P10</v>
          </cell>
          <cell r="E498" t="str">
            <v>0d</v>
          </cell>
          <cell r="G498">
            <v>41475</v>
          </cell>
          <cell r="H498">
            <v>497</v>
          </cell>
        </row>
        <row r="499">
          <cell r="B499" t="str">
            <v>8645-C01</v>
          </cell>
          <cell r="C499" t="str">
            <v>Mechanical Completion 8645-C01 Personnel registration and tracking system (RFID)</v>
          </cell>
          <cell r="D499" t="str">
            <v>T.L10</v>
          </cell>
          <cell r="E499" t="str">
            <v>0d</v>
          </cell>
          <cell r="G499">
            <v>41475</v>
          </cell>
          <cell r="H499">
            <v>498</v>
          </cell>
        </row>
        <row r="500">
          <cell r="B500" t="str">
            <v>8651-C01</v>
          </cell>
          <cell r="C500" t="str">
            <v>Mechanical Completion 8651-C01 Closed circuit television system (CCTV) Hull</v>
          </cell>
          <cell r="D500" t="str">
            <v>H.G20.G21</v>
          </cell>
          <cell r="E500" t="str">
            <v>0d</v>
          </cell>
          <cell r="G500">
            <v>41475</v>
          </cell>
          <cell r="H500">
            <v>499</v>
          </cell>
        </row>
        <row r="501">
          <cell r="B501" t="str">
            <v>5201-C21</v>
          </cell>
          <cell r="C501" t="str">
            <v>Mechanical Completion 5201-C21 BallastTank No 7, East, 52TC017</v>
          </cell>
          <cell r="D501" t="str">
            <v>H.B20</v>
          </cell>
          <cell r="E501" t="str">
            <v>0d</v>
          </cell>
          <cell r="G501">
            <v>41477</v>
          </cell>
          <cell r="H501">
            <v>500</v>
          </cell>
        </row>
        <row r="502">
          <cell r="B502" t="str">
            <v>5301-C01</v>
          </cell>
          <cell r="C502" t="str">
            <v>Mechanical Completion 5301-C01 Potable water tanks 53TC001A/B/C</v>
          </cell>
          <cell r="D502" t="str">
            <v>H.N10</v>
          </cell>
          <cell r="E502" t="str">
            <v>0d</v>
          </cell>
          <cell r="G502">
            <v>41477</v>
          </cell>
          <cell r="H502">
            <v>501</v>
          </cell>
        </row>
        <row r="503">
          <cell r="B503" t="str">
            <v>7001-C20</v>
          </cell>
          <cell r="C503" t="str">
            <v>Mechanical Completion 7001-C20 F&amp;G Junction Boxes and Multicore cables Hull</v>
          </cell>
          <cell r="D503" t="str">
            <v>H.G20</v>
          </cell>
          <cell r="E503" t="str">
            <v>0d</v>
          </cell>
          <cell r="G503">
            <v>41477</v>
          </cell>
          <cell r="H503">
            <v>502</v>
          </cell>
        </row>
        <row r="504">
          <cell r="B504" t="str">
            <v>7002-C55</v>
          </cell>
          <cell r="C504" t="str">
            <v>Mechanical Completion 7002-C55 Fire zone Q33E Fire Pump Generator</v>
          </cell>
          <cell r="D504" t="str">
            <v>T.Q30.Q33</v>
          </cell>
          <cell r="E504" t="str">
            <v>0d</v>
          </cell>
          <cell r="G504">
            <v>41477</v>
          </cell>
          <cell r="H504">
            <v>503</v>
          </cell>
        </row>
        <row r="505">
          <cell r="B505" t="str">
            <v>7002-C56</v>
          </cell>
          <cell r="C505" t="str">
            <v>Mechanical Completion 7002-C56 Fire zone Q33F Corridors &amp; Muster Area</v>
          </cell>
          <cell r="D505" t="str">
            <v>T.Q30.Q33</v>
          </cell>
          <cell r="E505" t="str">
            <v>0d</v>
          </cell>
          <cell r="G505">
            <v>41477</v>
          </cell>
          <cell r="H505">
            <v>504</v>
          </cell>
        </row>
        <row r="506">
          <cell r="B506" t="str">
            <v>7002-C57</v>
          </cell>
          <cell r="C506" t="str">
            <v>Mechanical Completion 7002-C57 Fire zone Q34A Switchroom and Transformers</v>
          </cell>
          <cell r="D506" t="str">
            <v>T.Q30.Q34</v>
          </cell>
          <cell r="E506" t="str">
            <v>0d</v>
          </cell>
          <cell r="G506">
            <v>41477</v>
          </cell>
          <cell r="H506">
            <v>505</v>
          </cell>
        </row>
        <row r="507">
          <cell r="B507" t="str">
            <v>7002-C58</v>
          </cell>
          <cell r="C507" t="str">
            <v>Mechanical Completion 7002-C58 Fire zone Q34B Corridors &amp; Spare Rooms</v>
          </cell>
          <cell r="D507" t="str">
            <v>T.Q30.Q34</v>
          </cell>
          <cell r="E507" t="str">
            <v>0d</v>
          </cell>
          <cell r="G507">
            <v>41477</v>
          </cell>
          <cell r="H507">
            <v>506</v>
          </cell>
        </row>
        <row r="508">
          <cell r="B508" t="str">
            <v>7002-C59</v>
          </cell>
          <cell r="C508" t="str">
            <v>Mechanical Completion 7002-C59 Fire zone Q35A Weather Deck East</v>
          </cell>
          <cell r="D508" t="str">
            <v>T.Q30.Q35</v>
          </cell>
          <cell r="E508" t="str">
            <v>0d</v>
          </cell>
          <cell r="G508">
            <v>41477</v>
          </cell>
          <cell r="H508">
            <v>507</v>
          </cell>
        </row>
        <row r="509">
          <cell r="B509" t="str">
            <v>7002-C60</v>
          </cell>
          <cell r="C509" t="str">
            <v>Mechanical Completion 7002-C60 Fire zone Q35B East Crane 59MA001</v>
          </cell>
          <cell r="D509" t="str">
            <v>T.Q30.Q35</v>
          </cell>
          <cell r="E509" t="str">
            <v>0d</v>
          </cell>
          <cell r="G509">
            <v>41477</v>
          </cell>
          <cell r="H509">
            <v>508</v>
          </cell>
        </row>
        <row r="510">
          <cell r="B510" t="str">
            <v>7002-C77</v>
          </cell>
          <cell r="C510" t="str">
            <v>Mechanical Completion 7002-C77 Fire zone Q34C LV Switchboard Room</v>
          </cell>
          <cell r="D510" t="str">
            <v>T.Q30.Q34</v>
          </cell>
          <cell r="E510" t="str">
            <v>0d</v>
          </cell>
          <cell r="G510">
            <v>41477</v>
          </cell>
          <cell r="H510">
            <v>509</v>
          </cell>
        </row>
        <row r="511">
          <cell r="B511" t="str">
            <v>7002-C78</v>
          </cell>
          <cell r="C511" t="str">
            <v>Mechanical Completion 7002-C78 F&amp;G Junction Boxes and Multicore cables Topside</v>
          </cell>
          <cell r="D511" t="str">
            <v>T.Q30</v>
          </cell>
          <cell r="E511" t="str">
            <v>0d</v>
          </cell>
          <cell r="G511">
            <v>41477</v>
          </cell>
          <cell r="H511">
            <v>510</v>
          </cell>
        </row>
        <row r="512">
          <cell r="B512" t="str">
            <v>7003-C28</v>
          </cell>
          <cell r="C512" t="str">
            <v>Mechanical Completion 7003-C28 F&amp;G Junction Boxes and Multicore cables LQ</v>
          </cell>
          <cell r="D512" t="str">
            <v>T.L10.L17</v>
          </cell>
          <cell r="E512" t="str">
            <v>0d</v>
          </cell>
          <cell r="G512">
            <v>41477</v>
          </cell>
          <cell r="H512">
            <v>511</v>
          </cell>
        </row>
        <row r="513">
          <cell r="B513" t="str">
            <v>8624-C01</v>
          </cell>
          <cell r="C513" t="str">
            <v>Mechanical Completion 8624-C01 Office data and telephone cabling network Hull</v>
          </cell>
          <cell r="D513" t="str">
            <v>H.G20</v>
          </cell>
          <cell r="E513" t="str">
            <v>0d</v>
          </cell>
          <cell r="G513">
            <v>41477</v>
          </cell>
          <cell r="H513">
            <v>512</v>
          </cell>
        </row>
        <row r="514">
          <cell r="B514" t="str">
            <v>7002-C05</v>
          </cell>
          <cell r="C514" t="str">
            <v>Mechanical Completion 7002-C05 Fire zone M10B Cargo Tank Top North East</v>
          </cell>
          <cell r="D514" t="str">
            <v>H.M10</v>
          </cell>
          <cell r="E514" t="str">
            <v>0d</v>
          </cell>
          <cell r="G514">
            <v>41478</v>
          </cell>
          <cell r="H514">
            <v>513</v>
          </cell>
        </row>
        <row r="515">
          <cell r="B515" t="str">
            <v>7002-C06</v>
          </cell>
          <cell r="C515" t="str">
            <v>Mechanical Completion 7002-C06 Fire zone M20A Cargo Tank Top South West</v>
          </cell>
          <cell r="D515" t="str">
            <v>H.M20</v>
          </cell>
          <cell r="E515" t="str">
            <v>0d</v>
          </cell>
          <cell r="G515">
            <v>41478</v>
          </cell>
          <cell r="H515">
            <v>514</v>
          </cell>
        </row>
        <row r="516">
          <cell r="B516" t="str">
            <v>7003-C06</v>
          </cell>
          <cell r="C516" t="str">
            <v>Mechanical Completion 7003-C06 Fire zone L11F East Staircase</v>
          </cell>
          <cell r="D516" t="str">
            <v>T.L10.L11</v>
          </cell>
          <cell r="E516" t="str">
            <v>0d</v>
          </cell>
          <cell r="G516">
            <v>41478</v>
          </cell>
          <cell r="H516">
            <v>515</v>
          </cell>
        </row>
        <row r="517">
          <cell r="B517" t="str">
            <v>7003-C23</v>
          </cell>
          <cell r="C517" t="str">
            <v>Mechanical Completion 7003-C23 Fire zone L18B Lift Motor Room</v>
          </cell>
          <cell r="D517" t="str">
            <v>T.L10.L18</v>
          </cell>
          <cell r="E517" t="str">
            <v>0d</v>
          </cell>
          <cell r="G517">
            <v>41478</v>
          </cell>
          <cell r="H517">
            <v>516</v>
          </cell>
        </row>
        <row r="518">
          <cell r="B518" t="str">
            <v>7003-C24</v>
          </cell>
          <cell r="C518" t="str">
            <v>Mechanical Completion 7003-C24 Fire zone L18C Accommodation Roof Area</v>
          </cell>
          <cell r="D518" t="str">
            <v>T.L10.L18</v>
          </cell>
          <cell r="E518" t="str">
            <v>0d</v>
          </cell>
          <cell r="G518">
            <v>41478</v>
          </cell>
          <cell r="H518">
            <v>517</v>
          </cell>
        </row>
        <row r="519">
          <cell r="B519" t="str">
            <v>5201-C22</v>
          </cell>
          <cell r="C519" t="str">
            <v>Mechanical Completion 5201-C22 BallastTank No 8, East, 52TC018</v>
          </cell>
          <cell r="D519" t="str">
            <v>H.B20</v>
          </cell>
          <cell r="E519" t="str">
            <v>0d</v>
          </cell>
          <cell r="G519">
            <v>41479</v>
          </cell>
          <cell r="H519">
            <v>518</v>
          </cell>
        </row>
        <row r="520">
          <cell r="B520" t="str">
            <v>9801-C01</v>
          </cell>
          <cell r="C520" t="str">
            <v>Mechanical Completion 9801-C01 Cathodic protection of Ballast tanks</v>
          </cell>
          <cell r="D520" t="str">
            <v>H.B10</v>
          </cell>
          <cell r="E520" t="str">
            <v>0d</v>
          </cell>
          <cell r="G520">
            <v>41479</v>
          </cell>
          <cell r="H520">
            <v>519</v>
          </cell>
        </row>
        <row r="521">
          <cell r="B521" t="str">
            <v>2001-C03</v>
          </cell>
          <cell r="C521" t="str">
            <v>Mechanical Completion 2001-C03 Inter Stage Heater, 20HA002</v>
          </cell>
          <cell r="D521" t="str">
            <v>T.P20</v>
          </cell>
          <cell r="E521" t="str">
            <v>0d</v>
          </cell>
          <cell r="G521">
            <v>41480</v>
          </cell>
          <cell r="H521">
            <v>520</v>
          </cell>
        </row>
        <row r="522">
          <cell r="B522" t="str">
            <v>2001-C07</v>
          </cell>
          <cell r="C522" t="str">
            <v>Mechanical Completion 2001-C07 Gas Meetering 20JX001, &amp; Liquid Metering 20JX002 from Test Separator</v>
          </cell>
          <cell r="D522" t="str">
            <v>T.P20</v>
          </cell>
          <cell r="E522" t="str">
            <v>0d</v>
          </cell>
          <cell r="G522">
            <v>41480</v>
          </cell>
          <cell r="H522">
            <v>521</v>
          </cell>
        </row>
        <row r="523">
          <cell r="B523" t="str">
            <v>5601-C11</v>
          </cell>
          <cell r="C523" t="str">
            <v>Mechanical Completion 5601-C11 Chain Locker Drain</v>
          </cell>
          <cell r="D523" t="str">
            <v>H.B20</v>
          </cell>
          <cell r="E523" t="str">
            <v>0d</v>
          </cell>
          <cell r="G523">
            <v>41480</v>
          </cell>
          <cell r="H523">
            <v>522</v>
          </cell>
        </row>
        <row r="524">
          <cell r="B524" t="str">
            <v>7001-C10</v>
          </cell>
          <cell r="C524" t="str">
            <v>Mechanical Completion 7001-C10 Fire zone N11A Fuel Handling Room North shaft</v>
          </cell>
          <cell r="D524" t="str">
            <v>H.N10.N11</v>
          </cell>
          <cell r="E524" t="str">
            <v>0d</v>
          </cell>
          <cell r="G524">
            <v>41480</v>
          </cell>
          <cell r="H524">
            <v>523</v>
          </cell>
        </row>
        <row r="525">
          <cell r="B525" t="str">
            <v>7001-C18</v>
          </cell>
          <cell r="C525" t="str">
            <v>Mechanical Completion 7001-C18 Fire zone G21A Nitrogen Generation Package Center Shaft</v>
          </cell>
          <cell r="D525" t="str">
            <v>H.G20.G21</v>
          </cell>
          <cell r="E525" t="str">
            <v>0d</v>
          </cell>
          <cell r="G525">
            <v>41480</v>
          </cell>
          <cell r="H525">
            <v>524</v>
          </cell>
        </row>
        <row r="526">
          <cell r="B526" t="str">
            <v>7002-C61</v>
          </cell>
          <cell r="C526" t="str">
            <v>Mechanical Completion 7002-C61 Fire zone R10A Riser Area</v>
          </cell>
          <cell r="D526" t="str">
            <v>T.R10</v>
          </cell>
          <cell r="E526" t="str">
            <v>0d</v>
          </cell>
          <cell r="G526">
            <v>41480</v>
          </cell>
          <cell r="H526">
            <v>525</v>
          </cell>
        </row>
        <row r="527">
          <cell r="B527" t="str">
            <v>7002-C62</v>
          </cell>
          <cell r="C527" t="str">
            <v>Mechanical Completion 7002-C62 Fire zone P83C Chemical injection package</v>
          </cell>
          <cell r="D527" t="str">
            <v>T.P50</v>
          </cell>
          <cell r="E527" t="str">
            <v>0d</v>
          </cell>
          <cell r="G527">
            <v>41480</v>
          </cell>
          <cell r="H527">
            <v>526</v>
          </cell>
        </row>
        <row r="528">
          <cell r="B528" t="str">
            <v>7003-C25</v>
          </cell>
          <cell r="C528" t="str">
            <v>Mechanical Completion 7003-C25 Fire zone H10A Helideck</v>
          </cell>
          <cell r="D528" t="str">
            <v>T.H10</v>
          </cell>
          <cell r="E528" t="str">
            <v>0d</v>
          </cell>
          <cell r="G528">
            <v>41480</v>
          </cell>
          <cell r="H528">
            <v>527</v>
          </cell>
        </row>
        <row r="529">
          <cell r="B529" t="str">
            <v>9901-C10</v>
          </cell>
          <cell r="C529" t="str">
            <v>Mechanical Completion 9901-C10 R10 Riser Area</v>
          </cell>
          <cell r="D529" t="str">
            <v>T.P10</v>
          </cell>
          <cell r="E529" t="str">
            <v>0d</v>
          </cell>
          <cell r="G529">
            <v>41480</v>
          </cell>
          <cell r="H529">
            <v>528</v>
          </cell>
        </row>
        <row r="530">
          <cell r="B530" t="str">
            <v>7001-C19</v>
          </cell>
          <cell r="C530" t="str">
            <v>Mechanical Completion 7001-C19 Fire zone N10A Hull North shaft</v>
          </cell>
          <cell r="D530" t="str">
            <v>H.N10</v>
          </cell>
          <cell r="E530" t="str">
            <v>0d</v>
          </cell>
          <cell r="G530">
            <v>41481</v>
          </cell>
          <cell r="H530">
            <v>529</v>
          </cell>
        </row>
        <row r="531">
          <cell r="B531" t="str">
            <v>5201-C23</v>
          </cell>
          <cell r="C531" t="str">
            <v>Mechanical Completion 5201-C23 BallastTank No 9, East, 52TC019</v>
          </cell>
          <cell r="D531" t="str">
            <v>H.B20</v>
          </cell>
          <cell r="E531" t="str">
            <v>0d</v>
          </cell>
          <cell r="G531">
            <v>41482</v>
          </cell>
          <cell r="H531">
            <v>530</v>
          </cell>
        </row>
        <row r="532">
          <cell r="B532" t="str">
            <v>7002-C44</v>
          </cell>
          <cell r="C532" t="str">
            <v>Mechanical Completion 7002-C44 Fire zone Q31H Em. Switchroom &amp; Transformers</v>
          </cell>
          <cell r="D532" t="str">
            <v>T.Q30.Q31</v>
          </cell>
          <cell r="E532" t="str">
            <v>0d</v>
          </cell>
          <cell r="G532">
            <v>41482</v>
          </cell>
          <cell r="H532">
            <v>531</v>
          </cell>
        </row>
        <row r="533">
          <cell r="B533" t="str">
            <v>7002-C63</v>
          </cell>
          <cell r="C533" t="str">
            <v>Mechanical Completion 7002-C63 Fire zone Q21F Main Transformer Room</v>
          </cell>
          <cell r="D533" t="str">
            <v>T.Q20.Q21</v>
          </cell>
          <cell r="E533" t="str">
            <v>0d</v>
          </cell>
          <cell r="G533">
            <v>41482</v>
          </cell>
          <cell r="H533">
            <v>532</v>
          </cell>
        </row>
        <row r="534">
          <cell r="B534" t="str">
            <v>7002-C64</v>
          </cell>
          <cell r="C534" t="str">
            <v>Mechanical Completion 7002-C64 Fire zone Q24C Turbine generator Control Room</v>
          </cell>
          <cell r="D534" t="str">
            <v>T.Q20.Q24</v>
          </cell>
          <cell r="E534" t="str">
            <v>0d</v>
          </cell>
          <cell r="G534">
            <v>41482</v>
          </cell>
          <cell r="H534">
            <v>533</v>
          </cell>
        </row>
        <row r="535">
          <cell r="B535" t="str">
            <v>7003-C26</v>
          </cell>
          <cell r="C535" t="str">
            <v>Mechanical Completion 7003-C26 Fire zone L17E Equipment Room</v>
          </cell>
          <cell r="D535" t="str">
            <v>T.L10.L17</v>
          </cell>
          <cell r="E535" t="str">
            <v>0d</v>
          </cell>
          <cell r="G535">
            <v>41482</v>
          </cell>
          <cell r="H535">
            <v>534</v>
          </cell>
        </row>
        <row r="536">
          <cell r="B536" t="str">
            <v>7002-C07</v>
          </cell>
          <cell r="C536" t="str">
            <v>Mechanical Completion 7002-C07 Fire zone M20B Cargo Tank Top South East</v>
          </cell>
          <cell r="D536" t="str">
            <v>H.M20</v>
          </cell>
          <cell r="E536" t="str">
            <v>0d</v>
          </cell>
          <cell r="G536">
            <v>41484</v>
          </cell>
          <cell r="H536">
            <v>535</v>
          </cell>
        </row>
        <row r="537">
          <cell r="B537" t="str">
            <v>7002-C08</v>
          </cell>
          <cell r="C537" t="str">
            <v>Mechanical Completion 7002-C08 Fire zone M20C DEH Container 16FE001</v>
          </cell>
          <cell r="D537" t="str">
            <v>H.M20</v>
          </cell>
          <cell r="E537" t="str">
            <v>0d</v>
          </cell>
          <cell r="G537">
            <v>41484</v>
          </cell>
          <cell r="H537">
            <v>536</v>
          </cell>
        </row>
        <row r="538">
          <cell r="B538" t="str">
            <v>7003-C07</v>
          </cell>
          <cell r="C538" t="str">
            <v>Mechanical Completion 7003-C07 Fire zone L12A Main Control Center</v>
          </cell>
          <cell r="D538" t="str">
            <v>T.L10.L12</v>
          </cell>
          <cell r="E538" t="str">
            <v>0d</v>
          </cell>
          <cell r="G538">
            <v>41484</v>
          </cell>
          <cell r="H538">
            <v>537</v>
          </cell>
        </row>
        <row r="539">
          <cell r="B539" t="str">
            <v>5201-C24</v>
          </cell>
          <cell r="C539" t="str">
            <v>Mechanical Completion 5201-C24 BallastTank No 10, East, 52TC020</v>
          </cell>
          <cell r="D539" t="str">
            <v>H.B20</v>
          </cell>
          <cell r="E539" t="str">
            <v>0d</v>
          </cell>
          <cell r="G539">
            <v>41485</v>
          </cell>
          <cell r="H539">
            <v>538</v>
          </cell>
        </row>
        <row r="540">
          <cell r="B540" t="str">
            <v>7001-C17</v>
          </cell>
          <cell r="C540" t="str">
            <v>Mechanical Completion 7001-C17 Fire zone G20A Center Shaft Inner</v>
          </cell>
          <cell r="D540" t="str">
            <v>H.G20</v>
          </cell>
          <cell r="E540" t="str">
            <v>0d</v>
          </cell>
          <cell r="G540">
            <v>41485</v>
          </cell>
          <cell r="H540">
            <v>539</v>
          </cell>
        </row>
        <row r="541">
          <cell r="B541" t="str">
            <v>7002-C33</v>
          </cell>
          <cell r="C541" t="str">
            <v>Mechanical Completion 7002-C33 Fire zone Q24A Switchroom and Transformers</v>
          </cell>
          <cell r="D541" t="str">
            <v>T.Q20.Q24</v>
          </cell>
          <cell r="E541" t="str">
            <v>0d</v>
          </cell>
          <cell r="G541">
            <v>41485</v>
          </cell>
          <cell r="H541">
            <v>540</v>
          </cell>
        </row>
        <row r="542">
          <cell r="B542" t="str">
            <v>7002-C34</v>
          </cell>
          <cell r="C542" t="str">
            <v>Mechanical Completion 7002-C34 Fire zone Q24B Corridors and Muster Area</v>
          </cell>
          <cell r="D542" t="str">
            <v>T.Q20.Q24</v>
          </cell>
          <cell r="E542" t="str">
            <v>0d</v>
          </cell>
          <cell r="G542">
            <v>41485</v>
          </cell>
          <cell r="H542">
            <v>541</v>
          </cell>
        </row>
        <row r="543">
          <cell r="B543" t="str">
            <v>7002-C65</v>
          </cell>
          <cell r="C543" t="str">
            <v>Mechanical Completion 7002-C65 Fire zone Q35C Fire WaterPump generator 71XX001D</v>
          </cell>
          <cell r="D543" t="str">
            <v>T.Q30.Q35</v>
          </cell>
          <cell r="E543" t="str">
            <v>0d</v>
          </cell>
          <cell r="G543">
            <v>41485</v>
          </cell>
          <cell r="H543">
            <v>542</v>
          </cell>
        </row>
        <row r="544">
          <cell r="B544" t="str">
            <v>7002-C66</v>
          </cell>
          <cell r="C544" t="str">
            <v>Mechanical Completion 7002-C66 Fire zone Q21G HV ASDS Transformer room</v>
          </cell>
          <cell r="D544" t="str">
            <v>T.Q30.Q35</v>
          </cell>
          <cell r="E544" t="str">
            <v>0d</v>
          </cell>
          <cell r="G544">
            <v>41485</v>
          </cell>
          <cell r="H544">
            <v>543</v>
          </cell>
        </row>
        <row r="545">
          <cell r="B545" t="str">
            <v>7003-C27</v>
          </cell>
          <cell r="C545" t="str">
            <v>Mechanical Completion 7003-C27 Fire zone L17F Telecom Test Room</v>
          </cell>
          <cell r="D545" t="str">
            <v>T.L10.L17</v>
          </cell>
          <cell r="E545" t="str">
            <v>0d</v>
          </cell>
          <cell r="G545">
            <v>41485</v>
          </cell>
          <cell r="H545">
            <v>544</v>
          </cell>
        </row>
        <row r="546">
          <cell r="B546" t="str">
            <v>8636-C01</v>
          </cell>
          <cell r="C546" t="str">
            <v>Mechanical Completion 8636-C01 WiFi System</v>
          </cell>
          <cell r="D546" t="str">
            <v>T.L10</v>
          </cell>
          <cell r="E546" t="str">
            <v>0d</v>
          </cell>
          <cell r="G546">
            <v>41485</v>
          </cell>
          <cell r="H546">
            <v>545</v>
          </cell>
        </row>
        <row r="547">
          <cell r="B547" t="str">
            <v>7002-C45</v>
          </cell>
          <cell r="C547" t="str">
            <v>Mechanical Completion 7002-C45 Fire zone Q31X Internal Staircase</v>
          </cell>
          <cell r="D547" t="str">
            <v>T.Q30.Q31</v>
          </cell>
          <cell r="E547" t="str">
            <v>0d</v>
          </cell>
          <cell r="G547">
            <v>41486</v>
          </cell>
          <cell r="H547">
            <v>546</v>
          </cell>
        </row>
        <row r="548">
          <cell r="B548" t="str">
            <v>7002-C46</v>
          </cell>
          <cell r="C548" t="str">
            <v>Mechanical Completion 7002-C46 Fire zone Q32A Air Intake Utilities and Central Shaft</v>
          </cell>
          <cell r="D548" t="str">
            <v>T.Q30.Q32</v>
          </cell>
          <cell r="E548" t="str">
            <v>0d</v>
          </cell>
          <cell r="G548">
            <v>41486</v>
          </cell>
          <cell r="H548">
            <v>547</v>
          </cell>
        </row>
        <row r="549">
          <cell r="B549" t="str">
            <v>5301-C02</v>
          </cell>
          <cell r="C549" t="str">
            <v>Mechanical Completion 5301-C02 Potable water pumps 53PA001A/B and circulation pump 53PA007 + UV sterilization units</v>
          </cell>
          <cell r="D549" t="str">
            <v>H.N10</v>
          </cell>
          <cell r="E549" t="str">
            <v>0d</v>
          </cell>
          <cell r="G549">
            <v>41487</v>
          </cell>
          <cell r="H549">
            <v>548</v>
          </cell>
        </row>
        <row r="550">
          <cell r="B550" t="str">
            <v>7002-C09</v>
          </cell>
          <cell r="C550" t="str">
            <v>Mechanical Completion 7002-C09 Fire zone M20D DEH Container 16FE002</v>
          </cell>
          <cell r="D550" t="str">
            <v>H.M20</v>
          </cell>
          <cell r="E550" t="str">
            <v>0d</v>
          </cell>
          <cell r="G550">
            <v>41487</v>
          </cell>
          <cell r="H550">
            <v>549</v>
          </cell>
        </row>
        <row r="551">
          <cell r="B551" t="str">
            <v>7002-C10</v>
          </cell>
          <cell r="C551" t="str">
            <v>Mechanical Completion 7002-C10 Fire zone M30A Elect Cable Riser and HV Swrm</v>
          </cell>
          <cell r="D551" t="str">
            <v>H.M30</v>
          </cell>
          <cell r="E551" t="str">
            <v>0d</v>
          </cell>
          <cell r="G551">
            <v>41487</v>
          </cell>
          <cell r="H551">
            <v>550</v>
          </cell>
        </row>
        <row r="552">
          <cell r="B552" t="str">
            <v>7002-C35</v>
          </cell>
          <cell r="C552" t="str">
            <v>Mechanical Completion 7002-C35 Fire zone Q25A Weather Deck West</v>
          </cell>
          <cell r="D552" t="str">
            <v>T.Q20.Q25</v>
          </cell>
          <cell r="E552" t="str">
            <v>0d</v>
          </cell>
          <cell r="G552">
            <v>41487</v>
          </cell>
          <cell r="H552">
            <v>551</v>
          </cell>
        </row>
        <row r="553">
          <cell r="B553" t="str">
            <v>7002-C36</v>
          </cell>
          <cell r="C553" t="str">
            <v>Mechanical Completion 7002-C36 Fire zone Q25B West Crane 59MA002</v>
          </cell>
          <cell r="D553" t="str">
            <v>T.Q20.Q25</v>
          </cell>
          <cell r="E553" t="str">
            <v>0d</v>
          </cell>
          <cell r="G553">
            <v>41487</v>
          </cell>
          <cell r="H553">
            <v>552</v>
          </cell>
        </row>
        <row r="554">
          <cell r="B554" t="str">
            <v>9901-C03</v>
          </cell>
          <cell r="C554" t="str">
            <v>Mechanical Completion 9901-C03 B10 &amp; B20 Ballast Tanks North &amp; South</v>
          </cell>
          <cell r="D554" t="str">
            <v>H.B10</v>
          </cell>
          <cell r="E554" t="str">
            <v>0d</v>
          </cell>
          <cell r="G554">
            <v>41487</v>
          </cell>
          <cell r="H554">
            <v>553</v>
          </cell>
        </row>
        <row r="555">
          <cell r="B555" t="str">
            <v>7002-C67</v>
          </cell>
          <cell r="C555" t="str">
            <v>Mechanical Completion 7002-C67 Fire zone P83D Chemical injection package B</v>
          </cell>
          <cell r="D555" t="str">
            <v>T.P50</v>
          </cell>
          <cell r="E555" t="str">
            <v>0d</v>
          </cell>
          <cell r="G555">
            <v>41488</v>
          </cell>
          <cell r="H555">
            <v>554</v>
          </cell>
        </row>
        <row r="556">
          <cell r="B556" t="str">
            <v>7002-C68</v>
          </cell>
          <cell r="C556" t="str">
            <v>Mechanical Completion 7002-C68 Fire zone Q21H Heat trace Transformer room</v>
          </cell>
          <cell r="D556" t="str">
            <v>T.P60</v>
          </cell>
          <cell r="E556" t="str">
            <v>0d</v>
          </cell>
          <cell r="G556">
            <v>41488</v>
          </cell>
          <cell r="H556">
            <v>555</v>
          </cell>
        </row>
        <row r="557">
          <cell r="B557" t="str">
            <v>7003-C08</v>
          </cell>
          <cell r="C557" t="str">
            <v>Mechanical Completion 7003-C08 Fire zone L12B Offices and Lockers</v>
          </cell>
          <cell r="D557" t="str">
            <v>T.L10.L12</v>
          </cell>
          <cell r="E557" t="str">
            <v>0d</v>
          </cell>
          <cell r="G557">
            <v>41488</v>
          </cell>
          <cell r="H557">
            <v>556</v>
          </cell>
        </row>
        <row r="558">
          <cell r="B558" t="str">
            <v>8639-C01</v>
          </cell>
          <cell r="C558" t="str">
            <v>Mechanical Completion 8639-C01 Fibre optical link system</v>
          </cell>
          <cell r="D558" t="str">
            <v>T.L10</v>
          </cell>
          <cell r="E558" t="str">
            <v>0d</v>
          </cell>
          <cell r="G558">
            <v>41488</v>
          </cell>
          <cell r="H558">
            <v>557</v>
          </cell>
        </row>
        <row r="559">
          <cell r="B559" t="str">
            <v>8651-C02</v>
          </cell>
          <cell r="C559" t="str">
            <v>Mechanical Completion 8651-C01 Closed circuit television system (CCTV) LQ</v>
          </cell>
          <cell r="D559" t="str">
            <v>T.L10</v>
          </cell>
          <cell r="E559" t="str">
            <v>0d</v>
          </cell>
          <cell r="G559">
            <v>41488</v>
          </cell>
          <cell r="H559">
            <v>558</v>
          </cell>
        </row>
        <row r="560">
          <cell r="B560" t="str">
            <v>2001-C04</v>
          </cell>
          <cell r="C560" t="str">
            <v>Mechanical Completion 2001-C04 LP Separator, 20VA002</v>
          </cell>
          <cell r="D560" t="str">
            <v>T.P20</v>
          </cell>
          <cell r="E560" t="str">
            <v>0d</v>
          </cell>
          <cell r="G560">
            <v>41489</v>
          </cell>
          <cell r="H560">
            <v>559</v>
          </cell>
        </row>
        <row r="561">
          <cell r="B561" t="str">
            <v>7002-C37</v>
          </cell>
          <cell r="C561" t="str">
            <v>Mechanical Completion 7002-C37 Fire zone Q31A Primary Laydown Area</v>
          </cell>
          <cell r="D561" t="str">
            <v>T.Q30.Q31</v>
          </cell>
          <cell r="E561" t="str">
            <v>0d</v>
          </cell>
          <cell r="G561">
            <v>41489</v>
          </cell>
          <cell r="H561">
            <v>560</v>
          </cell>
        </row>
        <row r="562">
          <cell r="B562" t="str">
            <v>7002-C38</v>
          </cell>
          <cell r="C562" t="str">
            <v>Mechanical Completion 7002-C38 Fire zone Q31B Workshops</v>
          </cell>
          <cell r="D562" t="str">
            <v>T.Q30.Q31</v>
          </cell>
          <cell r="E562" t="str">
            <v>0d</v>
          </cell>
          <cell r="G562">
            <v>41489</v>
          </cell>
          <cell r="H562">
            <v>561</v>
          </cell>
        </row>
        <row r="563">
          <cell r="B563" t="str">
            <v>7002-C11</v>
          </cell>
          <cell r="C563" t="str">
            <v>Mechanical Completion 7002-C11 Fire zone M32A North Shaft &amp; Cable Riser Hang Off &amp; Gas Room</v>
          </cell>
          <cell r="D563" t="str">
            <v>H.M30.M32</v>
          </cell>
          <cell r="E563" t="str">
            <v>0d</v>
          </cell>
          <cell r="G563">
            <v>41491</v>
          </cell>
          <cell r="H563">
            <v>562</v>
          </cell>
        </row>
        <row r="564">
          <cell r="B564" t="str">
            <v>7002-C12</v>
          </cell>
          <cell r="C564" t="str">
            <v>Mechanical Completion 7002-C12 Fire zone P81A Process Level 1 West</v>
          </cell>
          <cell r="D564" t="str">
            <v>T.P10</v>
          </cell>
          <cell r="E564" t="str">
            <v>0d</v>
          </cell>
          <cell r="G564">
            <v>41491</v>
          </cell>
          <cell r="H564">
            <v>563</v>
          </cell>
        </row>
        <row r="565">
          <cell r="B565" t="str">
            <v>7002-C13</v>
          </cell>
          <cell r="C565" t="str">
            <v>Mechanical Completion 7002-C13 Fire zone P81B Process Level 1 East</v>
          </cell>
          <cell r="D565" t="str">
            <v>T.P10</v>
          </cell>
          <cell r="E565" t="str">
            <v>0d</v>
          </cell>
          <cell r="G565">
            <v>41491</v>
          </cell>
          <cell r="H565">
            <v>564</v>
          </cell>
        </row>
        <row r="566">
          <cell r="B566" t="str">
            <v>7002-C14</v>
          </cell>
          <cell r="C566" t="str">
            <v>Mechanical Completion 7002-C14 Fire zone P81C Process Lift Shaft</v>
          </cell>
          <cell r="D566" t="str">
            <v>T.P10</v>
          </cell>
          <cell r="E566" t="str">
            <v>0d</v>
          </cell>
          <cell r="G566">
            <v>41491</v>
          </cell>
          <cell r="H566">
            <v>565</v>
          </cell>
        </row>
        <row r="567">
          <cell r="B567" t="str">
            <v>7002-C69</v>
          </cell>
          <cell r="C567" t="str">
            <v>Mechanical Completion 7002-C69 Fire zone Q21W Lift for goods</v>
          </cell>
          <cell r="D567" t="str">
            <v>T.P60</v>
          </cell>
          <cell r="E567" t="str">
            <v>0d</v>
          </cell>
          <cell r="G567">
            <v>41491</v>
          </cell>
          <cell r="H567">
            <v>566</v>
          </cell>
        </row>
        <row r="568">
          <cell r="B568" t="str">
            <v>7002-C70</v>
          </cell>
          <cell r="C568" t="str">
            <v>Mechanical Completion 7002-C70 Fire zone Q32G Telecom UPS B Battery room</v>
          </cell>
          <cell r="D568" t="str">
            <v>T.P60</v>
          </cell>
          <cell r="E568" t="str">
            <v>0d</v>
          </cell>
          <cell r="G568">
            <v>41491</v>
          </cell>
          <cell r="H568">
            <v>567</v>
          </cell>
        </row>
        <row r="569">
          <cell r="B569" t="str">
            <v>7601-C04</v>
          </cell>
          <cell r="C569" t="str">
            <v>Mechanical Completion 7601-C04 Escape Chute incl. Liferafts and Equipment</v>
          </cell>
          <cell r="D569" t="str">
            <v>T.L10</v>
          </cell>
          <cell r="E569" t="str">
            <v>0d</v>
          </cell>
          <cell r="G569">
            <v>41491</v>
          </cell>
          <cell r="H569">
            <v>568</v>
          </cell>
        </row>
        <row r="570">
          <cell r="B570" t="str">
            <v>8624-C02</v>
          </cell>
          <cell r="C570" t="str">
            <v>Mechanical Completion 8624-C02 Office data and telephone cabling network LQ</v>
          </cell>
          <cell r="D570" t="str">
            <v>T.L10</v>
          </cell>
          <cell r="E570" t="str">
            <v>0d</v>
          </cell>
          <cell r="G570">
            <v>41491</v>
          </cell>
          <cell r="H570">
            <v>569</v>
          </cell>
        </row>
        <row r="571">
          <cell r="B571" t="str">
            <v>7002-C47</v>
          </cell>
          <cell r="C571" t="str">
            <v>Mechanical Completion 7002-C47 Fire zone Q32B HVAC Plantroom</v>
          </cell>
          <cell r="D571" t="str">
            <v>T.Q30.Q32</v>
          </cell>
          <cell r="E571" t="str">
            <v>0d</v>
          </cell>
          <cell r="G571">
            <v>41492</v>
          </cell>
          <cell r="H571">
            <v>570</v>
          </cell>
        </row>
        <row r="572">
          <cell r="B572" t="str">
            <v>7002-C15</v>
          </cell>
          <cell r="C572" t="str">
            <v>Mechanical Completion 7002-C15 Fire zone P82A Process Level 2 West</v>
          </cell>
          <cell r="D572" t="str">
            <v>T.P10</v>
          </cell>
          <cell r="E572" t="str">
            <v>0d</v>
          </cell>
          <cell r="G572">
            <v>41494</v>
          </cell>
          <cell r="H572">
            <v>571</v>
          </cell>
        </row>
        <row r="573">
          <cell r="B573" t="str">
            <v>7002-C16</v>
          </cell>
          <cell r="C573" t="str">
            <v>Mechanical Completion 7002-C16 Fire zone P82B Process Level 2 East</v>
          </cell>
          <cell r="D573" t="str">
            <v>T.P10</v>
          </cell>
          <cell r="E573" t="str">
            <v>0d</v>
          </cell>
          <cell r="G573">
            <v>41494</v>
          </cell>
          <cell r="H573">
            <v>572</v>
          </cell>
        </row>
        <row r="574">
          <cell r="B574" t="str">
            <v>7002-C17</v>
          </cell>
          <cell r="C574" t="str">
            <v>Mechanical Completion 7002-C17 Fire zone P83A Process Level 3 West</v>
          </cell>
          <cell r="D574" t="str">
            <v>T.P10</v>
          </cell>
          <cell r="E574" t="str">
            <v>0d</v>
          </cell>
          <cell r="G574">
            <v>41494</v>
          </cell>
          <cell r="H574">
            <v>573</v>
          </cell>
        </row>
        <row r="575">
          <cell r="B575" t="str">
            <v>7002-C18</v>
          </cell>
          <cell r="C575" t="str">
            <v>Mechanical Completion 7002-C18 Fire zone P83B Process Level 3 East</v>
          </cell>
          <cell r="D575" t="str">
            <v>T.P10</v>
          </cell>
          <cell r="E575" t="str">
            <v>0d</v>
          </cell>
          <cell r="G575">
            <v>41494</v>
          </cell>
          <cell r="H575">
            <v>574</v>
          </cell>
        </row>
        <row r="576">
          <cell r="B576" t="str">
            <v>7002-C39</v>
          </cell>
          <cell r="C576" t="str">
            <v>Mechanical Completion 7002-C39 Fire zone Q31C Stores</v>
          </cell>
          <cell r="D576" t="str">
            <v>T.Q30.Q31</v>
          </cell>
          <cell r="E576" t="str">
            <v>0d</v>
          </cell>
          <cell r="G576">
            <v>41494</v>
          </cell>
          <cell r="H576">
            <v>575</v>
          </cell>
        </row>
        <row r="577">
          <cell r="B577" t="str">
            <v>7002-C40</v>
          </cell>
          <cell r="C577" t="str">
            <v>Mechanical Completion 7002-C40 Fire zone Q31D Lab, Offices, Gen. Areas &amp; Firemans Store</v>
          </cell>
          <cell r="D577" t="str">
            <v>T.Q30.Q31</v>
          </cell>
          <cell r="E577" t="str">
            <v>0d</v>
          </cell>
          <cell r="G577">
            <v>41494</v>
          </cell>
          <cell r="H577">
            <v>576</v>
          </cell>
        </row>
        <row r="578">
          <cell r="B578" t="str">
            <v>7002-C71</v>
          </cell>
          <cell r="C578" t="str">
            <v>Mechanical Completion 7002-C71 Fire zone Q33G ASDS Transformer room</v>
          </cell>
          <cell r="D578" t="str">
            <v>T.P60</v>
          </cell>
          <cell r="E578" t="str">
            <v>0d</v>
          </cell>
          <cell r="G578">
            <v>41494</v>
          </cell>
          <cell r="H578">
            <v>577</v>
          </cell>
        </row>
        <row r="579">
          <cell r="B579" t="str">
            <v>7002-C72</v>
          </cell>
          <cell r="C579" t="str">
            <v>Mechanical Completion 7002-C72 Fire zone P84C Tote Tank &amp; Helifuel Storage</v>
          </cell>
          <cell r="D579" t="str">
            <v>T.Q30</v>
          </cell>
          <cell r="E579" t="str">
            <v>0d</v>
          </cell>
          <cell r="G579">
            <v>41494</v>
          </cell>
          <cell r="H579">
            <v>578</v>
          </cell>
        </row>
        <row r="580">
          <cell r="B580" t="str">
            <v>8642-C03</v>
          </cell>
          <cell r="C580" t="str">
            <v>Mechanical Completion 8642-C03 Leak Feeder Hull</v>
          </cell>
          <cell r="D580" t="str">
            <v>H.G20</v>
          </cell>
          <cell r="E580" t="str">
            <v>0d</v>
          </cell>
          <cell r="G580">
            <v>41494</v>
          </cell>
          <cell r="H580">
            <v>579</v>
          </cell>
        </row>
        <row r="581">
          <cell r="B581" t="str">
            <v>7003-C09</v>
          </cell>
          <cell r="C581" t="str">
            <v>Mechanical Completion 7003-C09 Fire zone L13A Dining &amp; Lounge Area</v>
          </cell>
          <cell r="D581" t="str">
            <v>T.L10.L13</v>
          </cell>
          <cell r="E581" t="str">
            <v>0d</v>
          </cell>
          <cell r="G581">
            <v>41495</v>
          </cell>
          <cell r="H581">
            <v>580</v>
          </cell>
        </row>
        <row r="582">
          <cell r="B582" t="str">
            <v>7002-C73</v>
          </cell>
          <cell r="C582" t="str">
            <v>Mechanical Completion 7002-C73 Fire zone Q22F Turbine in Turbine Generator</v>
          </cell>
          <cell r="D582" t="str">
            <v>T.Q20.Q22</v>
          </cell>
          <cell r="E582" t="str">
            <v>0d</v>
          </cell>
          <cell r="G582">
            <v>41496</v>
          </cell>
          <cell r="H582">
            <v>581</v>
          </cell>
        </row>
        <row r="583">
          <cell r="B583" t="str">
            <v>2001-C05</v>
          </cell>
          <cell r="C583" t="str">
            <v>Mechanical Completion 2001-C05 Suction &amp; Discharge of Crude Oil Transfer Pumps 20PA001A/B</v>
          </cell>
          <cell r="D583" t="str">
            <v>T.P20</v>
          </cell>
          <cell r="E583" t="str">
            <v>0d</v>
          </cell>
          <cell r="G583">
            <v>41498</v>
          </cell>
          <cell r="H583">
            <v>582</v>
          </cell>
        </row>
        <row r="584">
          <cell r="B584" t="str">
            <v>2001-C08</v>
          </cell>
          <cell r="C584" t="str">
            <v>Mechanical Completion 2001-C08 Topside Ringline, Crude Oil</v>
          </cell>
          <cell r="D584" t="str">
            <v>H.M10</v>
          </cell>
          <cell r="E584" t="str">
            <v>0d</v>
          </cell>
          <cell r="G584">
            <v>41498</v>
          </cell>
          <cell r="H584">
            <v>583</v>
          </cell>
        </row>
        <row r="585">
          <cell r="B585" t="str">
            <v>2001-C09</v>
          </cell>
          <cell r="C585" t="str">
            <v>Mechanical Completion 2001-C09 Crude Oil Transfer Pump 20PA001A</v>
          </cell>
          <cell r="D585" t="str">
            <v>T.P20</v>
          </cell>
          <cell r="E585" t="str">
            <v>0d</v>
          </cell>
          <cell r="G585">
            <v>41498</v>
          </cell>
          <cell r="H585">
            <v>584</v>
          </cell>
        </row>
        <row r="586">
          <cell r="B586" t="str">
            <v>2001-C10</v>
          </cell>
          <cell r="C586" t="str">
            <v>Mechanical Completion 2001-C10 Crude Oil Transfer Pump 20PA001B</v>
          </cell>
          <cell r="D586" t="str">
            <v>T.P20</v>
          </cell>
          <cell r="E586" t="str">
            <v>0d</v>
          </cell>
          <cell r="G586">
            <v>41498</v>
          </cell>
          <cell r="H586">
            <v>585</v>
          </cell>
        </row>
        <row r="587">
          <cell r="B587" t="str">
            <v>4401-C02</v>
          </cell>
          <cell r="C587" t="str">
            <v>Mechanical Completion 4401-C02 Jet Water To/From Sand Cleaning Unit, 44XX003</v>
          </cell>
          <cell r="D587" t="str">
            <v>T.P20</v>
          </cell>
          <cell r="E587" t="str">
            <v>0d</v>
          </cell>
          <cell r="G587">
            <v>41498</v>
          </cell>
          <cell r="H587">
            <v>586</v>
          </cell>
        </row>
        <row r="588">
          <cell r="B588" t="str">
            <v>4401-C04</v>
          </cell>
          <cell r="C588" t="str">
            <v>Mechanical Completion 4401-C04 Sand Cleaning Unit, 44XX003</v>
          </cell>
          <cell r="D588" t="str">
            <v>T.P20</v>
          </cell>
          <cell r="E588" t="str">
            <v>0d</v>
          </cell>
          <cell r="G588">
            <v>41498</v>
          </cell>
          <cell r="H588">
            <v>587</v>
          </cell>
        </row>
        <row r="589">
          <cell r="B589" t="str">
            <v>4401-C10</v>
          </cell>
          <cell r="C589" t="str">
            <v>Mechanical Completion 4401-C10 Sand Cleaning Flush Water Pump, 44PA008 to Sand Cleaning Unit, 44PA008</v>
          </cell>
          <cell r="D589" t="str">
            <v>T.P30</v>
          </cell>
          <cell r="E589" t="str">
            <v>0d</v>
          </cell>
          <cell r="G589">
            <v>41498</v>
          </cell>
          <cell r="H589">
            <v>588</v>
          </cell>
        </row>
        <row r="590">
          <cell r="B590" t="str">
            <v>7002-C41</v>
          </cell>
          <cell r="C590" t="str">
            <v>Mechanical Completion 7002-C41 Fire zone Q31E Emergency Generator</v>
          </cell>
          <cell r="D590" t="str">
            <v>T.Q30.Q31</v>
          </cell>
          <cell r="E590" t="str">
            <v>0d</v>
          </cell>
          <cell r="G590">
            <v>41498</v>
          </cell>
          <cell r="H590">
            <v>589</v>
          </cell>
        </row>
        <row r="591">
          <cell r="B591" t="str">
            <v>7002-C42</v>
          </cell>
          <cell r="C591" t="str">
            <v>Mechanical Completion 7002-C42 Fire zone Q31F Inert Gas Generator</v>
          </cell>
          <cell r="D591" t="str">
            <v>T.Q30.Q31</v>
          </cell>
          <cell r="E591" t="str">
            <v>0d</v>
          </cell>
          <cell r="G591">
            <v>41498</v>
          </cell>
          <cell r="H591">
            <v>590</v>
          </cell>
        </row>
        <row r="592">
          <cell r="B592" t="str">
            <v>9901-C28</v>
          </cell>
          <cell r="C592" t="str">
            <v>Mechanical Completion 9901-C28 Normal Heat tracing for piping (system)</v>
          </cell>
          <cell r="E592" t="str">
            <v>0d</v>
          </cell>
          <cell r="G592">
            <v>41498</v>
          </cell>
          <cell r="H592">
            <v>591</v>
          </cell>
        </row>
        <row r="593">
          <cell r="B593" t="str">
            <v>5301-C04</v>
          </cell>
          <cell r="C593" t="str">
            <v>Mechanical Completion 5301-C04 Service water distribution and pumps</v>
          </cell>
          <cell r="D593" t="str">
            <v>H.N10</v>
          </cell>
          <cell r="E593" t="str">
            <v>0d</v>
          </cell>
          <cell r="G593">
            <v>41499</v>
          </cell>
          <cell r="H593">
            <v>592</v>
          </cell>
        </row>
        <row r="594">
          <cell r="B594" t="str">
            <v>7002-C75</v>
          </cell>
          <cell r="C594" t="str">
            <v>Mechanical Completion 7002-C75 Fire zone Q31K Insulation W/S &amp; Dark/X-Ray Room</v>
          </cell>
          <cell r="D594" t="str">
            <v>T.Q30.Q31</v>
          </cell>
          <cell r="E594" t="str">
            <v>0d</v>
          </cell>
          <cell r="G594">
            <v>41499</v>
          </cell>
          <cell r="H594">
            <v>593</v>
          </cell>
        </row>
        <row r="595">
          <cell r="B595" t="str">
            <v>7003-C10</v>
          </cell>
          <cell r="C595" t="str">
            <v>Mechanical Completion 7003-C10 Fire zone L13B Kitchen Area</v>
          </cell>
          <cell r="D595" t="str">
            <v>T.L10.L13</v>
          </cell>
          <cell r="E595" t="str">
            <v>0d</v>
          </cell>
          <cell r="G595">
            <v>41499</v>
          </cell>
          <cell r="H595">
            <v>594</v>
          </cell>
        </row>
        <row r="596">
          <cell r="B596" t="str">
            <v>8642-C04</v>
          </cell>
          <cell r="C596" t="str">
            <v>Mechanical Completion 8642-C04 Leak Feeder LQ</v>
          </cell>
          <cell r="D596" t="str">
            <v>H.G20</v>
          </cell>
          <cell r="E596" t="str">
            <v>0d</v>
          </cell>
          <cell r="G596">
            <v>41500</v>
          </cell>
          <cell r="H596">
            <v>595</v>
          </cell>
        </row>
        <row r="597">
          <cell r="B597" t="str">
            <v>8651-C03</v>
          </cell>
          <cell r="C597" t="str">
            <v>Mechanical Completion 8651-C01 Closed circuit television system (CCTV) Topside</v>
          </cell>
          <cell r="D597" t="str">
            <v>T.P10</v>
          </cell>
          <cell r="E597" t="str">
            <v>0d</v>
          </cell>
          <cell r="G597">
            <v>41501</v>
          </cell>
          <cell r="H597">
            <v>596</v>
          </cell>
        </row>
        <row r="598">
          <cell r="B598" t="str">
            <v>4401-C03</v>
          </cell>
          <cell r="C598" t="str">
            <v>Mechanical Completion 4401-C03 Produced Water Recycle Pumps, 44PG004A/B from Electrostatic Coalescer</v>
          </cell>
          <cell r="D598" t="str">
            <v>T.P20</v>
          </cell>
          <cell r="E598" t="str">
            <v>0d</v>
          </cell>
          <cell r="G598">
            <v>41502</v>
          </cell>
          <cell r="H598">
            <v>597</v>
          </cell>
        </row>
        <row r="599">
          <cell r="B599" t="str">
            <v>9101-C01</v>
          </cell>
          <cell r="C599" t="str">
            <v>Mechanical Completion 9101-C01 Panel 91JC001 - Hull Stress Monitoring</v>
          </cell>
          <cell r="D599" t="str">
            <v>H.G20</v>
          </cell>
          <cell r="E599" t="str">
            <v>0d</v>
          </cell>
          <cell r="G599">
            <v>41502</v>
          </cell>
          <cell r="H599">
            <v>598</v>
          </cell>
        </row>
        <row r="600">
          <cell r="B600" t="str">
            <v>7002-C43</v>
          </cell>
          <cell r="C600" t="str">
            <v>Mechanical Completion 7002-C43 Fire zone Q31G Paint Store</v>
          </cell>
          <cell r="D600" t="str">
            <v>T.Q30.Q31</v>
          </cell>
          <cell r="E600" t="str">
            <v>0d</v>
          </cell>
          <cell r="G600">
            <v>41503</v>
          </cell>
          <cell r="H600">
            <v>599</v>
          </cell>
        </row>
        <row r="601">
          <cell r="B601" t="str">
            <v>7003-C11</v>
          </cell>
          <cell r="C601" t="str">
            <v>Mechanical Completion 7003-C11 Fire zone L13C Galley Extract Hood</v>
          </cell>
          <cell r="D601" t="str">
            <v>T.L10.L13</v>
          </cell>
          <cell r="E601" t="str">
            <v>0d</v>
          </cell>
          <cell r="G601">
            <v>41503</v>
          </cell>
          <cell r="H601">
            <v>600</v>
          </cell>
        </row>
        <row r="602">
          <cell r="B602" t="str">
            <v>7003-C12</v>
          </cell>
          <cell r="C602" t="str">
            <v>Mechanical Completion 7003-C12 Fire zone L13D Laundry</v>
          </cell>
          <cell r="D602" t="str">
            <v>T.L10.L13</v>
          </cell>
          <cell r="E602" t="str">
            <v>0d</v>
          </cell>
          <cell r="G602">
            <v>41503</v>
          </cell>
          <cell r="H602">
            <v>601</v>
          </cell>
        </row>
        <row r="603">
          <cell r="B603" t="str">
            <v>8624-C03</v>
          </cell>
          <cell r="C603" t="str">
            <v>Mechanical Completion 8624-C03 Office data and telephone cabling network Topside</v>
          </cell>
          <cell r="D603" t="str">
            <v>T.P10</v>
          </cell>
          <cell r="E603" t="str">
            <v>0d</v>
          </cell>
          <cell r="G603">
            <v>41503</v>
          </cell>
          <cell r="H603">
            <v>602</v>
          </cell>
        </row>
        <row r="604">
          <cell r="B604" t="str">
            <v>1301-C02</v>
          </cell>
          <cell r="C604" t="str">
            <v>Mechanical Completion 1301-C02 Annulus Vent, Flowline 1</v>
          </cell>
          <cell r="D604" t="str">
            <v>T.Z10</v>
          </cell>
          <cell r="E604" t="str">
            <v>0d</v>
          </cell>
          <cell r="G604">
            <v>41505</v>
          </cell>
          <cell r="H604">
            <v>603</v>
          </cell>
        </row>
        <row r="605">
          <cell r="B605" t="str">
            <v>7002-C19</v>
          </cell>
          <cell r="C605" t="str">
            <v>Mechanical Completion 7002-C19 Fire zone P84A Process Level 3 West</v>
          </cell>
          <cell r="D605" t="str">
            <v>T.P10</v>
          </cell>
          <cell r="E605" t="str">
            <v>0d</v>
          </cell>
          <cell r="G605">
            <v>41505</v>
          </cell>
          <cell r="H605">
            <v>604</v>
          </cell>
        </row>
        <row r="606">
          <cell r="B606" t="str">
            <v>7002-C20</v>
          </cell>
          <cell r="C606" t="str">
            <v>Mechanical Completion 7002-C20 Fire zone P84B Process Level 3 East</v>
          </cell>
          <cell r="D606" t="str">
            <v>T.P10</v>
          </cell>
          <cell r="E606" t="str">
            <v>0d</v>
          </cell>
          <cell r="G606">
            <v>41505</v>
          </cell>
          <cell r="H606">
            <v>605</v>
          </cell>
        </row>
        <row r="607">
          <cell r="B607" t="str">
            <v>7003-C13</v>
          </cell>
          <cell r="C607" t="str">
            <v>Mechanical Completion 7003-C13 Fire zone L14A Cabins</v>
          </cell>
          <cell r="D607" t="str">
            <v>T.L10.L14</v>
          </cell>
          <cell r="E607" t="str">
            <v>0d</v>
          </cell>
          <cell r="G607">
            <v>41505</v>
          </cell>
          <cell r="H607">
            <v>606</v>
          </cell>
        </row>
        <row r="608">
          <cell r="B608" t="str">
            <v>9701-C04</v>
          </cell>
          <cell r="C608" t="str">
            <v>Mechanical Completion 9701-C04 Watertight sliding doors (Hull)</v>
          </cell>
          <cell r="D608" t="str">
            <v>H.G20</v>
          </cell>
          <cell r="E608" t="str">
            <v>0d</v>
          </cell>
          <cell r="G608">
            <v>41505</v>
          </cell>
          <cell r="H608">
            <v>607</v>
          </cell>
        </row>
        <row r="609">
          <cell r="B609" t="str">
            <v>2001-C06</v>
          </cell>
          <cell r="C609" t="str">
            <v>Mechanical Completion 2001-C06 Electrostatic Coalescer 20VJ001 &amp; Crude Oil Coolers 20HB004A/B</v>
          </cell>
          <cell r="D609" t="str">
            <v>T.P20</v>
          </cell>
          <cell r="E609" t="str">
            <v>0d</v>
          </cell>
          <cell r="G609">
            <v>41507</v>
          </cell>
          <cell r="H609">
            <v>608</v>
          </cell>
        </row>
        <row r="610">
          <cell r="B610" t="str">
            <v>8642-C05</v>
          </cell>
          <cell r="C610" t="str">
            <v>Mechanical Completion 8642-C05 Leak Feeder Topside</v>
          </cell>
          <cell r="D610" t="str">
            <v>T.P10</v>
          </cell>
          <cell r="E610" t="str">
            <v>0d</v>
          </cell>
          <cell r="G610">
            <v>41507</v>
          </cell>
          <cell r="H610">
            <v>609</v>
          </cell>
        </row>
        <row r="611">
          <cell r="B611" t="str">
            <v>4401-C12</v>
          </cell>
          <cell r="C611" t="str">
            <v>Mechanical Completion 4401-C12 Produced Water Booster Pumps, 44PG002A/B</v>
          </cell>
          <cell r="D611" t="str">
            <v>T.P20</v>
          </cell>
          <cell r="E611" t="str">
            <v>0d</v>
          </cell>
          <cell r="G611">
            <v>41508</v>
          </cell>
          <cell r="H611">
            <v>610</v>
          </cell>
        </row>
        <row r="612">
          <cell r="B612" t="str">
            <v>7002-C21</v>
          </cell>
          <cell r="C612" t="str">
            <v>Mechanical Completion 7002-C21 Fire zone Q21A Secondary Laydown Area</v>
          </cell>
          <cell r="D612" t="str">
            <v>T.Q20.Q21</v>
          </cell>
          <cell r="E612" t="str">
            <v>0d</v>
          </cell>
          <cell r="G612">
            <v>41509</v>
          </cell>
          <cell r="H612">
            <v>611</v>
          </cell>
        </row>
        <row r="613">
          <cell r="B613" t="str">
            <v>7002-C22</v>
          </cell>
          <cell r="C613" t="str">
            <v>Mechanical Completion 7002-C22 Fire zone Q21B Elect Switchrooms &amp; Floor Voids</v>
          </cell>
          <cell r="D613" t="str">
            <v>T.Q20.Q21</v>
          </cell>
          <cell r="E613" t="str">
            <v>0d</v>
          </cell>
          <cell r="G613">
            <v>41509</v>
          </cell>
          <cell r="H613">
            <v>612</v>
          </cell>
        </row>
        <row r="614">
          <cell r="B614" t="str">
            <v>7301-C08</v>
          </cell>
          <cell r="C614" t="str">
            <v>Mechanical Completion 7301-C08 Workshop Overhead Crane</v>
          </cell>
          <cell r="D614" t="str">
            <v>T.Q30</v>
          </cell>
          <cell r="E614" t="str">
            <v>0d</v>
          </cell>
          <cell r="G614">
            <v>41510</v>
          </cell>
          <cell r="H614">
            <v>613</v>
          </cell>
        </row>
        <row r="615">
          <cell r="B615" t="str">
            <v>8611-C04</v>
          </cell>
          <cell r="C615" t="str">
            <v>Mechanical Completion 8611-C04 Hull PA/GA B system</v>
          </cell>
          <cell r="D615" t="str">
            <v>H.G20</v>
          </cell>
          <cell r="E615" t="str">
            <v>0d</v>
          </cell>
          <cell r="G615">
            <v>41510</v>
          </cell>
          <cell r="H615">
            <v>614</v>
          </cell>
        </row>
        <row r="616">
          <cell r="B616" t="str">
            <v>7003-C17</v>
          </cell>
          <cell r="C616" t="str">
            <v>Mechanical Completion 7003-C17 Fire zone L16A Cabins and Helideck Reception</v>
          </cell>
          <cell r="D616" t="str">
            <v>T.L10.L16</v>
          </cell>
          <cell r="E616" t="str">
            <v>0d</v>
          </cell>
          <cell r="G616">
            <v>41511</v>
          </cell>
          <cell r="H616">
            <v>615</v>
          </cell>
        </row>
        <row r="617">
          <cell r="B617" t="str">
            <v>7002-C27</v>
          </cell>
          <cell r="C617" t="str">
            <v>Mechanical Completion 7002-C27 Fire zone Q21Y Cable and Duct Shafts</v>
          </cell>
          <cell r="D617" t="str">
            <v>T.Q20.Q21</v>
          </cell>
          <cell r="E617" t="str">
            <v>0d</v>
          </cell>
          <cell r="G617">
            <v>41512</v>
          </cell>
          <cell r="H617">
            <v>616</v>
          </cell>
        </row>
        <row r="618">
          <cell r="B618" t="str">
            <v>7002-C28</v>
          </cell>
          <cell r="C618" t="str">
            <v>Mechanical Completion 7002-C28 Fire zone Q22A Gas Turbine Generator</v>
          </cell>
          <cell r="D618" t="str">
            <v>T.Q20.Q22</v>
          </cell>
          <cell r="E618" t="str">
            <v>0d</v>
          </cell>
          <cell r="G618">
            <v>41512</v>
          </cell>
          <cell r="H618">
            <v>617</v>
          </cell>
        </row>
        <row r="619">
          <cell r="B619" t="str">
            <v>7002-C31</v>
          </cell>
          <cell r="C619" t="str">
            <v>Mechanical Completion 7002-C31 Fire zone Q22D Fire Pump Generator</v>
          </cell>
          <cell r="D619" t="str">
            <v>T.Q20.Q22</v>
          </cell>
          <cell r="E619" t="str">
            <v>0d</v>
          </cell>
          <cell r="G619">
            <v>41512</v>
          </cell>
          <cell r="H619">
            <v>618</v>
          </cell>
        </row>
        <row r="620">
          <cell r="B620" t="str">
            <v>7002-C32</v>
          </cell>
          <cell r="C620" t="str">
            <v>Mechanical Completion 7002-C32 Fire zone Q22E Fire Pump Generator Room</v>
          </cell>
          <cell r="D620" t="str">
            <v>T.Q20.Q22</v>
          </cell>
          <cell r="E620" t="str">
            <v>0d</v>
          </cell>
          <cell r="G620">
            <v>41512</v>
          </cell>
          <cell r="H620">
            <v>619</v>
          </cell>
        </row>
        <row r="621">
          <cell r="B621" t="str">
            <v>7601-C01</v>
          </cell>
          <cell r="C621" t="str">
            <v>Mechanical Completion  7601-C01 Lifeboats with Equipment</v>
          </cell>
          <cell r="D621" t="str">
            <v>T.Q10</v>
          </cell>
          <cell r="E621" t="str">
            <v>0d</v>
          </cell>
          <cell r="G621">
            <v>41512</v>
          </cell>
          <cell r="H621">
            <v>620</v>
          </cell>
        </row>
        <row r="622">
          <cell r="B622" t="str">
            <v>4401-C09</v>
          </cell>
          <cell r="C622" t="str">
            <v>Mechanical Completion 4401-C09 Wash Water Interchanger, 44HB001</v>
          </cell>
          <cell r="D622" t="str">
            <v>T.P20</v>
          </cell>
          <cell r="E622" t="str">
            <v>0d</v>
          </cell>
          <cell r="G622">
            <v>41513</v>
          </cell>
          <cell r="H622">
            <v>621</v>
          </cell>
        </row>
        <row r="623">
          <cell r="B623" t="str">
            <v>1301-C04</v>
          </cell>
          <cell r="C623" t="str">
            <v>Mechanical Completion 1301-C04 Annulus Vent Gas Injection</v>
          </cell>
          <cell r="D623" t="str">
            <v>T.Z10</v>
          </cell>
          <cell r="E623" t="str">
            <v>0d</v>
          </cell>
          <cell r="G623">
            <v>41514</v>
          </cell>
          <cell r="H623">
            <v>622</v>
          </cell>
        </row>
        <row r="624">
          <cell r="B624" t="str">
            <v>7002-C23</v>
          </cell>
          <cell r="C624" t="str">
            <v>Mechanical Completion 7002-C23 Fire zone Q21CElect Transformers &amp; Floor Voids</v>
          </cell>
          <cell r="D624" t="str">
            <v>T.Q20.Q21</v>
          </cell>
          <cell r="E624" t="str">
            <v>0d</v>
          </cell>
          <cell r="G624">
            <v>41514</v>
          </cell>
          <cell r="H624">
            <v>623</v>
          </cell>
        </row>
        <row r="625">
          <cell r="B625" t="str">
            <v>7002-C24</v>
          </cell>
          <cell r="C625" t="str">
            <v>Mechanical Completion 7002-C24 Fire zone Q21D Elect Transformers &amp; Floor Voids</v>
          </cell>
          <cell r="D625" t="str">
            <v>T.Q20.Q21</v>
          </cell>
          <cell r="E625" t="str">
            <v>0d</v>
          </cell>
          <cell r="G625">
            <v>41514</v>
          </cell>
          <cell r="H625">
            <v>624</v>
          </cell>
        </row>
        <row r="626">
          <cell r="B626" t="str">
            <v>7003-C14</v>
          </cell>
          <cell r="C626" t="str">
            <v>Mechanical Completion 7003-C14 Fire zone L14B Escape Chute Embarkation Area</v>
          </cell>
          <cell r="D626" t="str">
            <v>T.L10.L14</v>
          </cell>
          <cell r="E626" t="str">
            <v>0d</v>
          </cell>
          <cell r="G626">
            <v>41514</v>
          </cell>
          <cell r="H626">
            <v>625</v>
          </cell>
        </row>
        <row r="627">
          <cell r="B627" t="str">
            <v>7301-C09</v>
          </cell>
          <cell r="C627" t="str">
            <v>Mechanical Completion 7301-C09 Monorails Hull</v>
          </cell>
          <cell r="D627" t="str">
            <v>H.G20</v>
          </cell>
          <cell r="E627" t="str">
            <v>0d</v>
          </cell>
          <cell r="G627">
            <v>41515</v>
          </cell>
          <cell r="H627">
            <v>626</v>
          </cell>
        </row>
        <row r="628">
          <cell r="B628" t="str">
            <v>0401-C01</v>
          </cell>
          <cell r="C628" t="str">
            <v>Mechanical Completion Commission 0401-C01 Workshop Equipment</v>
          </cell>
          <cell r="D628" t="str">
            <v>T.L10</v>
          </cell>
          <cell r="E628" t="str">
            <v>0d</v>
          </cell>
          <cell r="G628">
            <v>41516</v>
          </cell>
          <cell r="H628">
            <v>627</v>
          </cell>
        </row>
        <row r="629">
          <cell r="B629" t="str">
            <v>0401-C02</v>
          </cell>
          <cell r="C629" t="str">
            <v>Mechanical Completion Commission 0401-C02 Laboratory Equipment</v>
          </cell>
          <cell r="D629" t="str">
            <v>T.L10</v>
          </cell>
          <cell r="E629" t="str">
            <v>0d</v>
          </cell>
          <cell r="G629">
            <v>41516</v>
          </cell>
          <cell r="H629">
            <v>628</v>
          </cell>
        </row>
        <row r="630">
          <cell r="B630" t="str">
            <v>1301-C01</v>
          </cell>
          <cell r="C630" t="str">
            <v>Mechanical Completion 1301-C01 Riaser Pull in Winch 13MK001 and euqipment. P10 EL: 60,000</v>
          </cell>
          <cell r="D630" t="str">
            <v>T.Z10</v>
          </cell>
          <cell r="E630" t="str">
            <v>0d</v>
          </cell>
          <cell r="G630">
            <v>41516</v>
          </cell>
          <cell r="H630">
            <v>629</v>
          </cell>
        </row>
        <row r="631">
          <cell r="B631" t="str">
            <v>1301-C03</v>
          </cell>
          <cell r="C631" t="str">
            <v>Mechanical Completion 1301-C03 Annulus Vent, Flowline 2</v>
          </cell>
          <cell r="D631" t="str">
            <v>T.Z10</v>
          </cell>
          <cell r="E631" t="str">
            <v>0d</v>
          </cell>
          <cell r="G631">
            <v>41516</v>
          </cell>
          <cell r="H631">
            <v>630</v>
          </cell>
        </row>
        <row r="632">
          <cell r="B632" t="str">
            <v>1301-C05</v>
          </cell>
          <cell r="C632" t="str">
            <v>Mechanical Completion 1301-C05 Annulus Vent Gas Lift</v>
          </cell>
          <cell r="D632" t="str">
            <v>T.Z10</v>
          </cell>
          <cell r="E632" t="str">
            <v>0d</v>
          </cell>
          <cell r="G632">
            <v>41516</v>
          </cell>
          <cell r="H632">
            <v>631</v>
          </cell>
        </row>
        <row r="633">
          <cell r="B633" t="str">
            <v>1840-C01</v>
          </cell>
          <cell r="C633" t="str">
            <v>Mechanical Completion 1840-C01 Subsea Junction Box Production</v>
          </cell>
          <cell r="E633" t="str">
            <v>0d</v>
          </cell>
          <cell r="G633">
            <v>41516</v>
          </cell>
          <cell r="H633">
            <v>632</v>
          </cell>
        </row>
        <row r="634">
          <cell r="B634" t="str">
            <v>1840-C02</v>
          </cell>
          <cell r="C634" t="str">
            <v>Mechanical Completion 1840-C02 Subsea Hydraulic Power Unit</v>
          </cell>
          <cell r="E634" t="str">
            <v>0d</v>
          </cell>
          <cell r="G634">
            <v>41516</v>
          </cell>
          <cell r="H634">
            <v>633</v>
          </cell>
        </row>
        <row r="635">
          <cell r="B635" t="str">
            <v>1840-C03</v>
          </cell>
          <cell r="C635" t="str">
            <v>Mechanical Completion 1840-C03 MEG Injection J-tube Junction Box</v>
          </cell>
          <cell r="E635" t="str">
            <v>0d</v>
          </cell>
          <cell r="G635">
            <v>41516</v>
          </cell>
          <cell r="H635">
            <v>634</v>
          </cell>
        </row>
        <row r="636">
          <cell r="B636" t="str">
            <v>1840-C04</v>
          </cell>
          <cell r="C636" t="str">
            <v>Mechanical Completion 1840-C04 SSIV, Hydraulic and Chemical Injection J-tube Junction Boxes</v>
          </cell>
          <cell r="E636" t="str">
            <v>0d</v>
          </cell>
          <cell r="G636">
            <v>41516</v>
          </cell>
          <cell r="H636">
            <v>635</v>
          </cell>
        </row>
        <row r="637">
          <cell r="B637" t="str">
            <v>1840-C05</v>
          </cell>
          <cell r="C637" t="str">
            <v>Mechanical Completion 1840-C05 Electrical Power Umbilical Monitoring &amp; Umbillical Termination Units</v>
          </cell>
          <cell r="E637" t="str">
            <v>0d</v>
          </cell>
          <cell r="G637">
            <v>41516</v>
          </cell>
          <cell r="H637">
            <v>636</v>
          </cell>
        </row>
        <row r="638">
          <cell r="B638" t="str">
            <v>4201-C02</v>
          </cell>
          <cell r="C638" t="str">
            <v>Mechanical Completion 4201-C02 Chemical distribution system</v>
          </cell>
          <cell r="D638" t="str">
            <v>H.M20</v>
          </cell>
          <cell r="E638" t="str">
            <v>0d</v>
          </cell>
          <cell r="G638">
            <v>41516</v>
          </cell>
          <cell r="H638">
            <v>637</v>
          </cell>
        </row>
        <row r="639">
          <cell r="B639" t="str">
            <v>4201-C04</v>
          </cell>
          <cell r="C639" t="str">
            <v>Mechanical Completion 4201-C04 Scale squeeze mixing system</v>
          </cell>
          <cell r="D639" t="str">
            <v>H.M20</v>
          </cell>
          <cell r="E639" t="str">
            <v>0d</v>
          </cell>
          <cell r="G639">
            <v>41516</v>
          </cell>
          <cell r="H639">
            <v>638</v>
          </cell>
        </row>
        <row r="640">
          <cell r="B640" t="str">
            <v>4401-C06</v>
          </cell>
          <cell r="C640" t="str">
            <v>Mechanical Completion 4401-C06 LP &amp; Coalescer Hydrocyclones, 44CE002A/B</v>
          </cell>
          <cell r="D640" t="str">
            <v>T.P20</v>
          </cell>
          <cell r="E640" t="str">
            <v>0d</v>
          </cell>
          <cell r="G640">
            <v>41516</v>
          </cell>
          <cell r="H640">
            <v>639</v>
          </cell>
        </row>
        <row r="641">
          <cell r="B641" t="str">
            <v>4401-C07</v>
          </cell>
          <cell r="C641" t="str">
            <v>Mechanical Completion 4401-C07 Produced Water Flotation Unit, 44VD001/44VD002</v>
          </cell>
          <cell r="D641" t="str">
            <v>T.P20</v>
          </cell>
          <cell r="E641" t="str">
            <v>0d</v>
          </cell>
          <cell r="G641">
            <v>41516</v>
          </cell>
          <cell r="H641">
            <v>640</v>
          </cell>
        </row>
        <row r="642">
          <cell r="B642" t="str">
            <v>4401-C08</v>
          </cell>
          <cell r="C642" t="str">
            <v>Mechanical Completion 4401-C08 Produced water Degassing Drum, 44VD003</v>
          </cell>
          <cell r="D642" t="str">
            <v>T.P20</v>
          </cell>
          <cell r="E642" t="str">
            <v>0d</v>
          </cell>
          <cell r="G642">
            <v>41516</v>
          </cell>
          <cell r="H642">
            <v>641</v>
          </cell>
        </row>
        <row r="643">
          <cell r="B643" t="str">
            <v>4401-C11</v>
          </cell>
          <cell r="C643" t="str">
            <v>Mechanical Completion 4401-C11 Produced Water Skimming Pumps, 44PA007A/B</v>
          </cell>
          <cell r="D643" t="str">
            <v>T.P30</v>
          </cell>
          <cell r="E643" t="str">
            <v>0d</v>
          </cell>
          <cell r="G643">
            <v>41516</v>
          </cell>
          <cell r="H643">
            <v>642</v>
          </cell>
        </row>
        <row r="644">
          <cell r="B644" t="str">
            <v>4701-C01</v>
          </cell>
          <cell r="C644" t="str">
            <v>Mechanical Completion 4701-C01 Chlorination Package 47XX002</v>
          </cell>
          <cell r="D644" t="str">
            <v>H.G20</v>
          </cell>
          <cell r="E644" t="str">
            <v>0d</v>
          </cell>
          <cell r="G644">
            <v>41516</v>
          </cell>
          <cell r="H644">
            <v>643</v>
          </cell>
        </row>
        <row r="645">
          <cell r="B645" t="str">
            <v>4701-C02</v>
          </cell>
          <cell r="C645" t="str">
            <v>Mechanical Completion 4701-C02 Chlorination distribution</v>
          </cell>
          <cell r="D645" t="str">
            <v>H.G20</v>
          </cell>
          <cell r="E645" t="str">
            <v>0d</v>
          </cell>
          <cell r="G645">
            <v>41516</v>
          </cell>
          <cell r="H645">
            <v>644</v>
          </cell>
        </row>
        <row r="646">
          <cell r="B646" t="str">
            <v>5301-C03</v>
          </cell>
          <cell r="C646" t="str">
            <v>Mechanical Completion 5301-C03 Fresh water generators 53XX001A/B/C/D</v>
          </cell>
          <cell r="D646" t="str">
            <v>H.N10</v>
          </cell>
          <cell r="E646" t="str">
            <v>0d</v>
          </cell>
          <cell r="G646">
            <v>41516</v>
          </cell>
          <cell r="H646">
            <v>645</v>
          </cell>
        </row>
        <row r="647">
          <cell r="B647" t="str">
            <v>5301-C05</v>
          </cell>
          <cell r="C647" t="str">
            <v>Mechanical Completion 5301-C05 Cold and hot water distribution LQ</v>
          </cell>
          <cell r="D647" t="str">
            <v>T.L10</v>
          </cell>
          <cell r="E647" t="str">
            <v>0d</v>
          </cell>
          <cell r="G647">
            <v>41516</v>
          </cell>
          <cell r="H647">
            <v>646</v>
          </cell>
        </row>
        <row r="648">
          <cell r="B648" t="str">
            <v>5301-C06</v>
          </cell>
          <cell r="C648" t="str">
            <v>Mechanical Completion 5301-C06 Pipe to/from fresh water generators</v>
          </cell>
          <cell r="D648" t="str">
            <v>H.N10</v>
          </cell>
          <cell r="E648" t="str">
            <v>0d</v>
          </cell>
          <cell r="G648">
            <v>41516</v>
          </cell>
          <cell r="H648">
            <v>647</v>
          </cell>
        </row>
        <row r="649">
          <cell r="B649" t="str">
            <v>5301-C07</v>
          </cell>
          <cell r="C649" t="str">
            <v>Mechanical Completion 5301-C07 Fresh water distribution</v>
          </cell>
          <cell r="D649" t="str">
            <v>H.N10</v>
          </cell>
          <cell r="E649" t="str">
            <v>0d</v>
          </cell>
          <cell r="G649">
            <v>41516</v>
          </cell>
          <cell r="H649">
            <v>648</v>
          </cell>
        </row>
        <row r="650">
          <cell r="B650" t="str">
            <v>5301-C08</v>
          </cell>
          <cell r="C650" t="str">
            <v>Mechanical Completion 5301-C08 Wash water deaeration system</v>
          </cell>
          <cell r="D650" t="str">
            <v>H.N10</v>
          </cell>
          <cell r="E650" t="str">
            <v>0d</v>
          </cell>
          <cell r="G650">
            <v>41516</v>
          </cell>
          <cell r="H650">
            <v>649</v>
          </cell>
        </row>
        <row r="651">
          <cell r="B651" t="str">
            <v>5301-C09</v>
          </cell>
          <cell r="C651" t="str">
            <v>Mechanical Completion 5301-C09 Vacuum pump package 53XJ001</v>
          </cell>
          <cell r="D651" t="str">
            <v>H.N10</v>
          </cell>
          <cell r="E651" t="str">
            <v>0d</v>
          </cell>
          <cell r="G651">
            <v>41516</v>
          </cell>
          <cell r="H651">
            <v>650</v>
          </cell>
        </row>
        <row r="652">
          <cell r="B652" t="str">
            <v>5301-C10</v>
          </cell>
          <cell r="C652" t="str">
            <v>Mechanical Completion 5301-C10 Fresh water clorination units 53XR001A/B</v>
          </cell>
          <cell r="D652" t="str">
            <v>H.N10</v>
          </cell>
          <cell r="E652" t="str">
            <v>0d</v>
          </cell>
          <cell r="G652">
            <v>41516</v>
          </cell>
          <cell r="H652">
            <v>651</v>
          </cell>
        </row>
        <row r="653">
          <cell r="B653" t="str">
            <v>5301-C11</v>
          </cell>
          <cell r="C653" t="str">
            <v>Mechanical Completion 5301-C11 Hot water circulation pumps 53PA002A/B and calorifiers</v>
          </cell>
          <cell r="D653" t="str">
            <v>H.N10</v>
          </cell>
          <cell r="E653" t="str">
            <v>0d</v>
          </cell>
          <cell r="G653">
            <v>41516</v>
          </cell>
          <cell r="H653">
            <v>652</v>
          </cell>
        </row>
        <row r="654">
          <cell r="B654" t="str">
            <v>5401-C01</v>
          </cell>
          <cell r="C654" t="str">
            <v>Mechanical Completion 5401-C01 Hot water expansion and circulation system to HVAC</v>
          </cell>
          <cell r="D654" t="str">
            <v>H.M10</v>
          </cell>
          <cell r="E654" t="str">
            <v>0d</v>
          </cell>
          <cell r="G654">
            <v>41516</v>
          </cell>
          <cell r="H654">
            <v>653</v>
          </cell>
        </row>
        <row r="655">
          <cell r="B655" t="str">
            <v>5401-C02</v>
          </cell>
          <cell r="C655" t="str">
            <v>Mechanical Completion 5401-C02 High pressure hot water skid and distribution system</v>
          </cell>
          <cell r="D655" t="str">
            <v>H.N10</v>
          </cell>
          <cell r="E655" t="str">
            <v>0d</v>
          </cell>
          <cell r="G655">
            <v>41516</v>
          </cell>
          <cell r="H655">
            <v>654</v>
          </cell>
        </row>
        <row r="656">
          <cell r="B656" t="str">
            <v>6601-C01</v>
          </cell>
          <cell r="C656" t="str">
            <v>Mechanical Completion 6601-C01 Sewage Treatment, Vacuum Unit HQ86</v>
          </cell>
          <cell r="D656" t="str">
            <v>H.N10</v>
          </cell>
          <cell r="E656" t="str">
            <v>0d</v>
          </cell>
          <cell r="G656">
            <v>41516</v>
          </cell>
          <cell r="H656">
            <v>655</v>
          </cell>
        </row>
        <row r="657">
          <cell r="B657" t="str">
            <v>6601-C02</v>
          </cell>
          <cell r="C657" t="str">
            <v>Mechanical Completion 6601-C02 Sewage System LQ</v>
          </cell>
          <cell r="D657" t="str">
            <v>T.L10</v>
          </cell>
          <cell r="E657" t="str">
            <v>0d</v>
          </cell>
          <cell r="G657">
            <v>41516</v>
          </cell>
          <cell r="H657">
            <v>656</v>
          </cell>
        </row>
        <row r="658">
          <cell r="B658" t="str">
            <v>7002-C25</v>
          </cell>
          <cell r="C658" t="str">
            <v>Mechanical Completion 7002-C25 Fire zone Q21E Airlocks, Corridors &amp; Safety Store</v>
          </cell>
          <cell r="D658" t="str">
            <v>T.Q20.Q21</v>
          </cell>
          <cell r="E658" t="str">
            <v>0d</v>
          </cell>
          <cell r="G658">
            <v>41516</v>
          </cell>
          <cell r="H658">
            <v>657</v>
          </cell>
        </row>
        <row r="659">
          <cell r="B659" t="str">
            <v>7002-C26</v>
          </cell>
          <cell r="C659" t="str">
            <v>Mechanical Completion 7002-C26 Fire zone Q21X Internal Staircase</v>
          </cell>
          <cell r="D659" t="str">
            <v>T.Q20.Q21</v>
          </cell>
          <cell r="E659" t="str">
            <v>0d</v>
          </cell>
          <cell r="G659">
            <v>41516</v>
          </cell>
          <cell r="H659">
            <v>658</v>
          </cell>
        </row>
        <row r="660">
          <cell r="B660" t="str">
            <v>7002-C29</v>
          </cell>
          <cell r="C660" t="str">
            <v>Mechanical Completion 7002-C29 Fire zone Q22B Gas Turbine Generator Area</v>
          </cell>
          <cell r="D660" t="str">
            <v>T.Q20.Q22</v>
          </cell>
          <cell r="E660" t="str">
            <v>0d</v>
          </cell>
          <cell r="G660">
            <v>41516</v>
          </cell>
          <cell r="H660">
            <v>659</v>
          </cell>
        </row>
        <row r="661">
          <cell r="B661" t="str">
            <v>7002-C30</v>
          </cell>
          <cell r="C661" t="str">
            <v>Mechanical Completion 7002-C30 Fire zone Q22C HVAC Plantroom</v>
          </cell>
          <cell r="D661" t="str">
            <v>T.Q20.Q22</v>
          </cell>
          <cell r="E661" t="str">
            <v>0d</v>
          </cell>
          <cell r="G661">
            <v>41516</v>
          </cell>
          <cell r="H661">
            <v>660</v>
          </cell>
        </row>
        <row r="662">
          <cell r="B662" t="str">
            <v>7003-C15</v>
          </cell>
          <cell r="C662" t="str">
            <v>Mechanical Completion 7003-C15 Fire zone L14C Air Intake Accommodation and North Shaft</v>
          </cell>
          <cell r="D662" t="str">
            <v>T.L10.L14</v>
          </cell>
          <cell r="E662" t="str">
            <v>0d</v>
          </cell>
          <cell r="G662">
            <v>41516</v>
          </cell>
          <cell r="H662">
            <v>661</v>
          </cell>
        </row>
        <row r="663">
          <cell r="B663" t="str">
            <v>7003-C16</v>
          </cell>
          <cell r="C663" t="str">
            <v>Mechanical Completion 7003-C16 Fire zone L15A Cabins</v>
          </cell>
          <cell r="D663" t="str">
            <v>T.L10.L15</v>
          </cell>
          <cell r="E663" t="str">
            <v>0d</v>
          </cell>
          <cell r="G663">
            <v>41516</v>
          </cell>
          <cell r="H663">
            <v>662</v>
          </cell>
        </row>
        <row r="664">
          <cell r="B664" t="str">
            <v>7003-C18</v>
          </cell>
          <cell r="C664" t="str">
            <v>Mechanical Completion 7003-C18 Fire zone L17A HVAC Extract Plant room</v>
          </cell>
          <cell r="D664" t="str">
            <v>T.L10.L17</v>
          </cell>
          <cell r="E664" t="str">
            <v>0d</v>
          </cell>
          <cell r="G664">
            <v>41516</v>
          </cell>
          <cell r="H664">
            <v>663</v>
          </cell>
        </row>
        <row r="665">
          <cell r="B665" t="str">
            <v>7003-C19</v>
          </cell>
          <cell r="C665" t="str">
            <v>Mechanical Completion 7003-C19 Fire zone L17B Telecommunications Rooms</v>
          </cell>
          <cell r="D665" t="str">
            <v>T.L10.L17</v>
          </cell>
          <cell r="E665" t="str">
            <v>0d</v>
          </cell>
          <cell r="G665">
            <v>41516</v>
          </cell>
          <cell r="H665">
            <v>664</v>
          </cell>
        </row>
        <row r="666">
          <cell r="B666" t="str">
            <v>7201-C01</v>
          </cell>
          <cell r="C666" t="str">
            <v>Mechanical Completion 7201-C01 Deluge skid 72SU004</v>
          </cell>
          <cell r="D666" t="str">
            <v>T.Q30</v>
          </cell>
          <cell r="E666" t="str">
            <v>0d</v>
          </cell>
          <cell r="G666">
            <v>41516</v>
          </cell>
          <cell r="H666">
            <v>665</v>
          </cell>
        </row>
        <row r="667">
          <cell r="B667" t="str">
            <v>7201-C02</v>
          </cell>
          <cell r="C667" t="str">
            <v>Mechanical Completion 7201-C02 Deluge skid 72SU001</v>
          </cell>
          <cell r="D667" t="str">
            <v>T.P20</v>
          </cell>
          <cell r="E667" t="str">
            <v>0d</v>
          </cell>
          <cell r="G667">
            <v>41516</v>
          </cell>
          <cell r="H667">
            <v>666</v>
          </cell>
        </row>
        <row r="668">
          <cell r="B668" t="str">
            <v>7201-C04</v>
          </cell>
          <cell r="C668" t="str">
            <v>Mechanical Completion 7201-C04 Deluge skid helideck 72SU003</v>
          </cell>
          <cell r="D668" t="str">
            <v>T.H10</v>
          </cell>
          <cell r="E668" t="str">
            <v>0d</v>
          </cell>
          <cell r="G668">
            <v>41516</v>
          </cell>
          <cell r="H668">
            <v>667</v>
          </cell>
        </row>
        <row r="669">
          <cell r="B669" t="str">
            <v>7201-C05</v>
          </cell>
          <cell r="C669" t="str">
            <v>Mechanical Completion 7201-C05 Monitors, Hydrants &amp; Hosereels Hull</v>
          </cell>
          <cell r="D669" t="str">
            <v>H.G20</v>
          </cell>
          <cell r="E669" t="str">
            <v>0d</v>
          </cell>
          <cell r="G669">
            <v>41516</v>
          </cell>
          <cell r="H669">
            <v>668</v>
          </cell>
        </row>
        <row r="670">
          <cell r="B670" t="str">
            <v>7201-C06</v>
          </cell>
          <cell r="C670" t="str">
            <v>Mechanical Completion 7201-C06 Monitors, Hydrants &amp; Hosereels Topside</v>
          </cell>
          <cell r="D670" t="str">
            <v>T.P10</v>
          </cell>
          <cell r="E670" t="str">
            <v>0d</v>
          </cell>
          <cell r="G670">
            <v>41516</v>
          </cell>
          <cell r="H670">
            <v>669</v>
          </cell>
        </row>
        <row r="671">
          <cell r="B671" t="str">
            <v>7201-C07</v>
          </cell>
          <cell r="C671" t="str">
            <v>Mechanical Completion 7201-C07 Loose Fire Fighting Equipment Hull</v>
          </cell>
          <cell r="D671" t="str">
            <v>H.G20</v>
          </cell>
          <cell r="E671" t="str">
            <v>0d</v>
          </cell>
          <cell r="G671">
            <v>41516</v>
          </cell>
          <cell r="H671">
            <v>670</v>
          </cell>
        </row>
        <row r="672">
          <cell r="B672" t="str">
            <v>7201-C08</v>
          </cell>
          <cell r="C672" t="str">
            <v>Mechanical Completion 7201-C08 Loose Fire Fighting Equipment Topside incl. LQ</v>
          </cell>
          <cell r="D672" t="str">
            <v>T.P10</v>
          </cell>
          <cell r="E672" t="str">
            <v>0d</v>
          </cell>
          <cell r="G672">
            <v>41516</v>
          </cell>
          <cell r="H672">
            <v>671</v>
          </cell>
        </row>
        <row r="673">
          <cell r="B673" t="str">
            <v>7301-C10</v>
          </cell>
          <cell r="C673" t="str">
            <v>Mechanical Completion 7301-C10 Padeyes Hull</v>
          </cell>
          <cell r="D673" t="str">
            <v>H.G20</v>
          </cell>
          <cell r="E673" t="str">
            <v>0d</v>
          </cell>
          <cell r="G673">
            <v>41516</v>
          </cell>
          <cell r="H673">
            <v>672</v>
          </cell>
        </row>
        <row r="674">
          <cell r="B674" t="str">
            <v>7301-C11</v>
          </cell>
          <cell r="C674" t="str">
            <v>Mechanical Completion 7301-C11 Monorails Topside</v>
          </cell>
          <cell r="D674" t="str">
            <v>T.P10</v>
          </cell>
          <cell r="E674" t="str">
            <v>0d</v>
          </cell>
          <cell r="G674">
            <v>41516</v>
          </cell>
          <cell r="H674">
            <v>673</v>
          </cell>
        </row>
        <row r="675">
          <cell r="B675" t="str">
            <v>7301-C12</v>
          </cell>
          <cell r="C675" t="str">
            <v>Mechanical Completion 7301-C12 Padeyes Topside</v>
          </cell>
          <cell r="D675" t="str">
            <v>T.P10</v>
          </cell>
          <cell r="E675" t="str">
            <v>0d</v>
          </cell>
          <cell r="G675">
            <v>41516</v>
          </cell>
          <cell r="H675">
            <v>674</v>
          </cell>
        </row>
        <row r="676">
          <cell r="B676" t="str">
            <v>7601-C03</v>
          </cell>
          <cell r="C676" t="str">
            <v>Mechanical Completion 7601-C03 MOB-Boat with Equipment</v>
          </cell>
          <cell r="D676" t="str">
            <v>T.Q30</v>
          </cell>
          <cell r="E676" t="str">
            <v>0d</v>
          </cell>
          <cell r="G676">
            <v>41516</v>
          </cell>
          <cell r="H676">
            <v>675</v>
          </cell>
        </row>
        <row r="677">
          <cell r="B677" t="str">
            <v>7701-C25</v>
          </cell>
          <cell r="C677" t="str">
            <v>Mechanical Completion 7701-C25 Heat Recovery System LQ. 77PA101A/B</v>
          </cell>
          <cell r="D677" t="str">
            <v>T.L10</v>
          </cell>
          <cell r="E677" t="str">
            <v>0d</v>
          </cell>
          <cell r="G677">
            <v>41516</v>
          </cell>
          <cell r="H677">
            <v>676</v>
          </cell>
        </row>
        <row r="678">
          <cell r="B678" t="str">
            <v>7701-C43</v>
          </cell>
          <cell r="C678" t="str">
            <v>Mechanical Completion 7701-C43 Hot Water Heating System</v>
          </cell>
          <cell r="D678" t="str">
            <v>T.L10</v>
          </cell>
          <cell r="E678" t="str">
            <v>0d</v>
          </cell>
          <cell r="G678">
            <v>41516</v>
          </cell>
          <cell r="H678">
            <v>677</v>
          </cell>
        </row>
        <row r="679">
          <cell r="B679" t="str">
            <v>7701-C45</v>
          </cell>
          <cell r="C679" t="str">
            <v>Mechanical Completion 7701-C45 LQ Galley Refrigerated Stores</v>
          </cell>
          <cell r="D679" t="str">
            <v>T.L10</v>
          </cell>
          <cell r="E679" t="str">
            <v>0d</v>
          </cell>
          <cell r="G679">
            <v>41516</v>
          </cell>
          <cell r="H679">
            <v>678</v>
          </cell>
        </row>
        <row r="680">
          <cell r="B680" t="str">
            <v>7901-C03</v>
          </cell>
          <cell r="C680" t="str">
            <v>Mechanical Completion 7901-C03 APS/ESD Pushbuttons</v>
          </cell>
          <cell r="D680" t="str">
            <v>T.P10</v>
          </cell>
          <cell r="E680" t="str">
            <v>0d</v>
          </cell>
          <cell r="G680">
            <v>41516</v>
          </cell>
          <cell r="H680">
            <v>679</v>
          </cell>
        </row>
        <row r="681">
          <cell r="B681" t="str">
            <v>8001-C05</v>
          </cell>
          <cell r="C681" t="str">
            <v>Mechanical Completion 8001-C05 Subsea Cable Pull-In System</v>
          </cell>
          <cell r="D681" t="str">
            <v>H.M30</v>
          </cell>
          <cell r="E681" t="str">
            <v>0d</v>
          </cell>
          <cell r="G681">
            <v>41516</v>
          </cell>
          <cell r="H681">
            <v>680</v>
          </cell>
        </row>
        <row r="682">
          <cell r="B682" t="str">
            <v>9301-C01</v>
          </cell>
          <cell r="C682" t="str">
            <v>Mechanical Completion 9301-C01 Helideck LQ</v>
          </cell>
          <cell r="D682" t="str">
            <v>T.H10</v>
          </cell>
          <cell r="E682" t="str">
            <v>0d</v>
          </cell>
          <cell r="G682">
            <v>41516</v>
          </cell>
          <cell r="H682">
            <v>681</v>
          </cell>
        </row>
        <row r="683">
          <cell r="B683" t="str">
            <v>9301-C02</v>
          </cell>
          <cell r="C683" t="str">
            <v>Mechanical Completion 9301-C02 Central Vacuum Cleaning System Utility Area</v>
          </cell>
          <cell r="D683" t="str">
            <v>T.Q30</v>
          </cell>
          <cell r="E683" t="str">
            <v>0d</v>
          </cell>
          <cell r="G683">
            <v>41516</v>
          </cell>
          <cell r="H683">
            <v>682</v>
          </cell>
        </row>
        <row r="684">
          <cell r="B684" t="str">
            <v>9301-C03</v>
          </cell>
          <cell r="C684" t="str">
            <v>Mechanical Completion 9301-C03 Central Vacuum Cleaning System LQ</v>
          </cell>
          <cell r="D684" t="str">
            <v>T.L10</v>
          </cell>
          <cell r="E684" t="str">
            <v>0d</v>
          </cell>
          <cell r="G684">
            <v>41516</v>
          </cell>
          <cell r="H684">
            <v>683</v>
          </cell>
        </row>
        <row r="685">
          <cell r="B685" t="str">
            <v>9701-C01</v>
          </cell>
          <cell r="C685" t="str">
            <v>Mechanical Completion 9701-C01 Accomodation Systems LQ</v>
          </cell>
          <cell r="D685" t="str">
            <v>T.L10</v>
          </cell>
          <cell r="E685" t="str">
            <v>0d</v>
          </cell>
          <cell r="G685">
            <v>41516</v>
          </cell>
          <cell r="H685">
            <v>684</v>
          </cell>
        </row>
        <row r="686">
          <cell r="B686" t="str">
            <v>9701-C02</v>
          </cell>
          <cell r="C686" t="str">
            <v>Mechanical Completion 9701-C02 Galley Equipment</v>
          </cell>
          <cell r="D686" t="str">
            <v>T.L10</v>
          </cell>
          <cell r="E686" t="str">
            <v>0d</v>
          </cell>
          <cell r="G686">
            <v>41516</v>
          </cell>
          <cell r="H686">
            <v>685</v>
          </cell>
        </row>
        <row r="687">
          <cell r="B687" t="str">
            <v>9701-C03</v>
          </cell>
          <cell r="C687" t="str">
            <v>Mechanical Completion 9701-C03 Laundry Equipment</v>
          </cell>
          <cell r="D687" t="str">
            <v>T.L10</v>
          </cell>
          <cell r="E687" t="str">
            <v>0d</v>
          </cell>
          <cell r="G687">
            <v>41516</v>
          </cell>
          <cell r="H687">
            <v>686</v>
          </cell>
        </row>
        <row r="688">
          <cell r="B688" t="str">
            <v>9901-C11</v>
          </cell>
          <cell r="C688" t="str">
            <v>Mechanical Completion 9901-C11 Z10 Main Material handling route. El: 50,000 EL:55,500kk EL:60,000 EL: 69,000 and EL:76,0</v>
          </cell>
          <cell r="D688" t="str">
            <v>T.Z10</v>
          </cell>
          <cell r="E688" t="str">
            <v>0d</v>
          </cell>
          <cell r="G688">
            <v>41516</v>
          </cell>
          <cell r="H688">
            <v>687</v>
          </cell>
        </row>
        <row r="689">
          <cell r="B689" t="str">
            <v>9901-C15</v>
          </cell>
          <cell r="C689" t="str">
            <v>Mechanical Completion 9901-C15 Q10, Q20, Q30 and Q40. EL:50,000 Process deck</v>
          </cell>
          <cell r="D689" t="str">
            <v>T.Q10</v>
          </cell>
          <cell r="E689" t="str">
            <v>0d</v>
          </cell>
          <cell r="G689">
            <v>41516</v>
          </cell>
          <cell r="H689">
            <v>688</v>
          </cell>
        </row>
        <row r="690">
          <cell r="B690" t="str">
            <v>9901-C16</v>
          </cell>
          <cell r="C690" t="str">
            <v>Mechanical Completion 9901-C16 P10, P20, P30 and F10 EL:50,000 Process deck</v>
          </cell>
          <cell r="D690" t="str">
            <v>T.P10</v>
          </cell>
          <cell r="E690" t="str">
            <v>0d</v>
          </cell>
          <cell r="G690">
            <v>41516</v>
          </cell>
          <cell r="H690">
            <v>689</v>
          </cell>
        </row>
        <row r="691">
          <cell r="B691" t="str">
            <v>9901-C17</v>
          </cell>
          <cell r="C691" t="str">
            <v>Mechanical Completion 9901-C17 P40, P50, P60 and P70. EL:50.000 Process Deck</v>
          </cell>
          <cell r="D691" t="str">
            <v>T.P40</v>
          </cell>
          <cell r="E691" t="str">
            <v>0d</v>
          </cell>
          <cell r="G691">
            <v>41516</v>
          </cell>
          <cell r="H691">
            <v>690</v>
          </cell>
        </row>
        <row r="692">
          <cell r="B692" t="str">
            <v>9901-C18</v>
          </cell>
          <cell r="C692" t="str">
            <v>Mechanical Completion 9901-C18 Q10, Q20, Q30 and Q40. EL:55,500 Utility deck</v>
          </cell>
          <cell r="D692" t="str">
            <v>T.Q10</v>
          </cell>
          <cell r="E692" t="str">
            <v>0d</v>
          </cell>
          <cell r="G692">
            <v>41516</v>
          </cell>
          <cell r="H692">
            <v>691</v>
          </cell>
        </row>
        <row r="693">
          <cell r="B693" t="str">
            <v>9901-C19</v>
          </cell>
          <cell r="C693" t="str">
            <v>Mechanical Completion 9901-C19 Q10, Q20, Q30 and Q40. EL:60,000 Level 1</v>
          </cell>
          <cell r="D693" t="str">
            <v>T.Q10</v>
          </cell>
          <cell r="E693" t="str">
            <v>0d</v>
          </cell>
          <cell r="G693">
            <v>41516</v>
          </cell>
          <cell r="H693">
            <v>692</v>
          </cell>
        </row>
        <row r="694">
          <cell r="B694" t="str">
            <v>9901-C20</v>
          </cell>
          <cell r="C694" t="str">
            <v>Mechanical Completion 9901-C20 P10, P20, P30 and F10 EL:60,000 Level 1</v>
          </cell>
          <cell r="D694" t="str">
            <v>T.P10</v>
          </cell>
          <cell r="E694" t="str">
            <v>0d</v>
          </cell>
          <cell r="G694">
            <v>41516</v>
          </cell>
          <cell r="H694">
            <v>693</v>
          </cell>
        </row>
        <row r="695">
          <cell r="B695" t="str">
            <v>9901-C21</v>
          </cell>
          <cell r="C695" t="str">
            <v>Mechanical Completion 9901-C21 P40, P50, P60 and P70. EL:60.000 Level 1</v>
          </cell>
          <cell r="D695" t="str">
            <v>T.P40</v>
          </cell>
          <cell r="E695" t="str">
            <v>0d</v>
          </cell>
          <cell r="G695">
            <v>41516</v>
          </cell>
          <cell r="H695">
            <v>694</v>
          </cell>
        </row>
        <row r="696">
          <cell r="B696" t="str">
            <v>9901-C22</v>
          </cell>
          <cell r="C696" t="str">
            <v>Mechanical Completion 9901-C22 Q10, Q20, Q30 and Q40. EL:64,500 Utility deck</v>
          </cell>
          <cell r="D696" t="str">
            <v>T.Q10</v>
          </cell>
          <cell r="E696" t="str">
            <v>0d</v>
          </cell>
          <cell r="G696">
            <v>41516</v>
          </cell>
          <cell r="H696">
            <v>695</v>
          </cell>
        </row>
        <row r="697">
          <cell r="B697" t="str">
            <v>9901-C23</v>
          </cell>
          <cell r="C697" t="str">
            <v>Mechanical Completion 9901-C23 Q10, Q20, Q30 and Q40. EL:69,000 Level 2</v>
          </cell>
          <cell r="D697" t="str">
            <v>T.Q10</v>
          </cell>
          <cell r="E697" t="str">
            <v>0d</v>
          </cell>
          <cell r="G697">
            <v>41516</v>
          </cell>
          <cell r="H697">
            <v>696</v>
          </cell>
        </row>
        <row r="698">
          <cell r="B698" t="str">
            <v>9901-C24</v>
          </cell>
          <cell r="C698" t="str">
            <v>Mechanical Completion 9901-C24 P10, P20, P30 and F10 EL:69,000 Level 2</v>
          </cell>
          <cell r="D698" t="str">
            <v>T.P10</v>
          </cell>
          <cell r="E698" t="str">
            <v>0d</v>
          </cell>
          <cell r="G698">
            <v>41516</v>
          </cell>
          <cell r="H698">
            <v>697</v>
          </cell>
        </row>
        <row r="699">
          <cell r="B699" t="str">
            <v>9901-C25</v>
          </cell>
          <cell r="C699" t="str">
            <v>Mechanical Completion 9901-C25 P40, P50, P60 and P70. EL:69.000 Level 2</v>
          </cell>
          <cell r="D699" t="str">
            <v>T.P30</v>
          </cell>
          <cell r="E699" t="str">
            <v>0d</v>
          </cell>
          <cell r="G699">
            <v>41516</v>
          </cell>
          <cell r="H699">
            <v>698</v>
          </cell>
        </row>
        <row r="700">
          <cell r="B700" t="str">
            <v>9901-C26</v>
          </cell>
          <cell r="C700" t="str">
            <v>Mechanical Completion 9901-C26 Spare Storage Area. Z10, Totetank Laydown Area EL:76.000</v>
          </cell>
          <cell r="D700" t="str">
            <v>T.P20</v>
          </cell>
          <cell r="E700" t="str">
            <v>0d</v>
          </cell>
          <cell r="G700">
            <v>41516</v>
          </cell>
          <cell r="H700">
            <v>699</v>
          </cell>
        </row>
        <row r="701">
          <cell r="B701" t="str">
            <v>9901-C27</v>
          </cell>
          <cell r="C701" t="str">
            <v>Mechanical Completion 9901-C27 H10 Helideck EL: 76,700</v>
          </cell>
          <cell r="D701" t="str">
            <v>T.H10</v>
          </cell>
          <cell r="E701" t="str">
            <v>0d</v>
          </cell>
          <cell r="G701">
            <v>41516</v>
          </cell>
          <cell r="H701">
            <v>700</v>
          </cell>
        </row>
        <row r="702">
          <cell r="B702" t="str">
            <v>9901-C29</v>
          </cell>
          <cell r="C702" t="str">
            <v>Mechanical Completion 9901-C29 L11 Living Quarter, level 1</v>
          </cell>
          <cell r="D702" t="str">
            <v>T.L10.L11</v>
          </cell>
          <cell r="E702" t="str">
            <v>0d</v>
          </cell>
          <cell r="G702">
            <v>41516</v>
          </cell>
          <cell r="H702">
            <v>701</v>
          </cell>
        </row>
        <row r="703">
          <cell r="B703" t="str">
            <v>9901-C30</v>
          </cell>
          <cell r="C703" t="str">
            <v>Mechanical Completion 9901-C30 L12 Living Quarter, level 2</v>
          </cell>
          <cell r="D703" t="str">
            <v>T.L10.L12</v>
          </cell>
          <cell r="E703" t="str">
            <v>0d</v>
          </cell>
          <cell r="G703">
            <v>41516</v>
          </cell>
          <cell r="H703">
            <v>702</v>
          </cell>
        </row>
        <row r="704">
          <cell r="B704" t="str">
            <v>9901-C31</v>
          </cell>
          <cell r="C704" t="str">
            <v>Mechanical Completion 9901-C31 L13 Living Quarter, level 3</v>
          </cell>
          <cell r="D704" t="str">
            <v>T.L10.L13</v>
          </cell>
          <cell r="E704" t="str">
            <v>0d</v>
          </cell>
          <cell r="G704">
            <v>41516</v>
          </cell>
          <cell r="H704">
            <v>703</v>
          </cell>
        </row>
        <row r="705">
          <cell r="B705" t="str">
            <v>9901-C32</v>
          </cell>
          <cell r="C705" t="str">
            <v>Mechanical Completion 9901-C32 L14 Living Quarter, level 4</v>
          </cell>
          <cell r="D705" t="str">
            <v>T.L10.L14</v>
          </cell>
          <cell r="E705" t="str">
            <v>0d</v>
          </cell>
          <cell r="G705">
            <v>41516</v>
          </cell>
          <cell r="H705">
            <v>704</v>
          </cell>
        </row>
        <row r="706">
          <cell r="B706" t="str">
            <v>9901-C33</v>
          </cell>
          <cell r="C706" t="str">
            <v>Mechanical Completion 9901-C33 L15 Living Quarter, level 5</v>
          </cell>
          <cell r="D706" t="str">
            <v>T.L10.L15</v>
          </cell>
          <cell r="E706" t="str">
            <v>0d</v>
          </cell>
          <cell r="G706">
            <v>41516</v>
          </cell>
          <cell r="H706">
            <v>705</v>
          </cell>
        </row>
        <row r="707">
          <cell r="B707" t="str">
            <v>9901-C34</v>
          </cell>
          <cell r="C707" t="str">
            <v>Mechanical Completion 9901-C34 L16 Living Quarter, level 6</v>
          </cell>
          <cell r="D707" t="str">
            <v>T.L10.L16</v>
          </cell>
          <cell r="E707" t="str">
            <v>0d</v>
          </cell>
          <cell r="G707">
            <v>41516</v>
          </cell>
          <cell r="H707">
            <v>706</v>
          </cell>
        </row>
        <row r="708">
          <cell r="B708" t="str">
            <v>9901-C35</v>
          </cell>
          <cell r="C708" t="str">
            <v>Mechanical Completion 9901-C35 L17 Living Quarter, level 7</v>
          </cell>
          <cell r="D708" t="str">
            <v>T.L10.L17</v>
          </cell>
          <cell r="E708" t="str">
            <v>0d</v>
          </cell>
          <cell r="G708">
            <v>41516</v>
          </cell>
          <cell r="H708">
            <v>707</v>
          </cell>
        </row>
        <row r="709">
          <cell r="B709" t="str">
            <v>9901-C36</v>
          </cell>
          <cell r="C709" t="str">
            <v>Mechanical Completion 9901-C36 L18 Living Quarter, level 8</v>
          </cell>
          <cell r="D709" t="str">
            <v>T.L10.L18</v>
          </cell>
          <cell r="E709" t="str">
            <v>0d</v>
          </cell>
          <cell r="G709">
            <v>41516</v>
          </cell>
          <cell r="H709">
            <v>708</v>
          </cell>
        </row>
        <row r="710">
          <cell r="B710" t="str">
            <v>9901-C37</v>
          </cell>
          <cell r="C710" t="str">
            <v>Mechanical Completion 9901-C37 L19 Living Quarter, level 9</v>
          </cell>
          <cell r="D710" t="str">
            <v>T.L10.L19</v>
          </cell>
          <cell r="E710" t="str">
            <v>0d</v>
          </cell>
          <cell r="G710">
            <v>41516</v>
          </cell>
          <cell r="H710">
            <v>709</v>
          </cell>
        </row>
        <row r="711">
          <cell r="B711" t="str">
            <v>9901-C38</v>
          </cell>
          <cell r="C711" t="str">
            <v>Mechanical Completion 9901-C38 L20 Living Quarter, level 10 (Weather Deck)</v>
          </cell>
          <cell r="D711" t="str">
            <v>T.L20</v>
          </cell>
          <cell r="E711" t="str">
            <v>0d</v>
          </cell>
          <cell r="G711">
            <v>41516</v>
          </cell>
          <cell r="H711">
            <v>710</v>
          </cell>
        </row>
        <row r="712">
          <cell r="B712" t="str">
            <v>9901-C41</v>
          </cell>
          <cell r="C712" t="str">
            <v>Mechanical Completion 9901-C41 F20 Flare Boom All Flare Structure</v>
          </cell>
          <cell r="D712" t="str">
            <v>T.F20</v>
          </cell>
          <cell r="E712" t="str">
            <v>0d</v>
          </cell>
          <cell r="G712">
            <v>41516</v>
          </cell>
          <cell r="H712">
            <v>711</v>
          </cell>
        </row>
        <row r="713">
          <cell r="B713" t="str">
            <v>9901-C42</v>
          </cell>
          <cell r="C713" t="str">
            <v>Mechanical Completion 9901-C42 External Hull El. 00.000 to El. + 31.500 - Sea Chests and Caissons</v>
          </cell>
          <cell r="E713" t="str">
            <v>0d</v>
          </cell>
          <cell r="G713">
            <v>41516</v>
          </cell>
          <cell r="H713">
            <v>712</v>
          </cell>
        </row>
        <row r="714">
          <cell r="B714" t="str">
            <v>4201-C01</v>
          </cell>
          <cell r="C714" t="str">
            <v>Mechanical Completion 4201-C01 Chemical injection package 42XR001</v>
          </cell>
          <cell r="D714" t="str">
            <v>T.P50</v>
          </cell>
          <cell r="E714" t="str">
            <v>0d</v>
          </cell>
          <cell r="G714">
            <v>41517</v>
          </cell>
          <cell r="H714">
            <v>713</v>
          </cell>
        </row>
        <row r="715">
          <cell r="B715" t="str">
            <v>9901-C06</v>
          </cell>
          <cell r="C715" t="str">
            <v>Mechanical Completion 9901-C06 P40, P50, P60 and P70. EL:55.500 Utility Deck</v>
          </cell>
          <cell r="D715" t="str">
            <v>T.P10</v>
          </cell>
          <cell r="E715" t="str">
            <v>0d</v>
          </cell>
          <cell r="G715">
            <v>41517</v>
          </cell>
          <cell r="H715">
            <v>714</v>
          </cell>
        </row>
        <row r="716">
          <cell r="B716" t="str">
            <v>9901-C08</v>
          </cell>
          <cell r="C716" t="str">
            <v>Mechanical Completion 9901-C08 P40, P50, P60 and P70. EL:64.500 Utility Deck</v>
          </cell>
          <cell r="D716" t="str">
            <v>T.P10</v>
          </cell>
          <cell r="E716" t="str">
            <v>0d</v>
          </cell>
          <cell r="G716">
            <v>41517</v>
          </cell>
          <cell r="H716">
            <v>715</v>
          </cell>
        </row>
        <row r="717">
          <cell r="B717" t="str">
            <v>9901-C09</v>
          </cell>
          <cell r="C717" t="str">
            <v>Mechanical Completion 9901-C09 Normal Heat tracing for Area</v>
          </cell>
          <cell r="E717" t="str">
            <v>0d</v>
          </cell>
          <cell r="G717">
            <v>41519</v>
          </cell>
          <cell r="H717">
            <v>716</v>
          </cell>
        </row>
        <row r="718">
          <cell r="B718" t="str">
            <v>8611-C06</v>
          </cell>
          <cell r="C718" t="str">
            <v>Mechanical Completion 8611-C06 LQ PA/GA B system</v>
          </cell>
          <cell r="D718" t="str">
            <v>T.L10</v>
          </cell>
          <cell r="E718" t="str">
            <v>0d</v>
          </cell>
          <cell r="G718">
            <v>41520</v>
          </cell>
          <cell r="H718">
            <v>717</v>
          </cell>
        </row>
        <row r="719">
          <cell r="B719" t="str">
            <v>8611-C08</v>
          </cell>
          <cell r="C719" t="str">
            <v>Mechanical Completion 8611-C08 Topside PA/GA B system</v>
          </cell>
          <cell r="D719" t="str">
            <v>T.P10</v>
          </cell>
          <cell r="E719" t="str">
            <v>0d</v>
          </cell>
          <cell r="G719">
            <v>41529</v>
          </cell>
          <cell r="H719">
            <v>718</v>
          </cell>
        </row>
        <row r="720">
          <cell r="B720" t="str">
            <v>4301-C09</v>
          </cell>
          <cell r="C720" t="str">
            <v>Mechanical Completion 4301-C09 Flare Ignition system 43XX001</v>
          </cell>
          <cell r="D720" t="str">
            <v>T.F10</v>
          </cell>
          <cell r="E720" t="str">
            <v>0d</v>
          </cell>
          <cell r="G720">
            <v>41546</v>
          </cell>
          <cell r="H720">
            <v>719</v>
          </cell>
        </row>
        <row r="721">
          <cell r="B721" t="str">
            <v>9901-C13</v>
          </cell>
          <cell r="C721" t="str">
            <v>Mechanical Completion 9901-C13 M30, GIS Room / Riser Hang-Off Area</v>
          </cell>
          <cell r="D721" t="str">
            <v>H.M30</v>
          </cell>
          <cell r="E721" t="str">
            <v>0d</v>
          </cell>
          <cell r="G721">
            <v>41550</v>
          </cell>
          <cell r="H721">
            <v>720</v>
          </cell>
        </row>
        <row r="722">
          <cell r="B722" t="str">
            <v>9901-C14</v>
          </cell>
          <cell r="C722" t="str">
            <v>Mechanical Completion 9901-C14 Emergency Heat tracing for Area</v>
          </cell>
          <cell r="E722" t="str">
            <v>0d</v>
          </cell>
          <cell r="G722">
            <v>41557</v>
          </cell>
          <cell r="H722">
            <v>721</v>
          </cell>
        </row>
        <row r="723">
          <cell r="B723" t="str">
            <v>9901-C01</v>
          </cell>
          <cell r="C723" t="str">
            <v>Mechanical Completion 9901-C01 G10 &amp; G20 Center Shaft Area EL:0.000 to 40.000</v>
          </cell>
          <cell r="D723" t="str">
            <v>H.G10</v>
          </cell>
          <cell r="E723" t="str">
            <v>0d</v>
          </cell>
          <cell r="G723">
            <v>41562</v>
          </cell>
          <cell r="H723">
            <v>722</v>
          </cell>
        </row>
        <row r="724">
          <cell r="B724" t="str">
            <v>9901-C40</v>
          </cell>
          <cell r="C724" t="str">
            <v>Mechanical Completion 9901-C40 Emergency Heat tracing for piping (system)</v>
          </cell>
          <cell r="E724" t="str">
            <v>0d</v>
          </cell>
          <cell r="G724">
            <v>41563</v>
          </cell>
          <cell r="H724">
            <v>723</v>
          </cell>
        </row>
        <row r="725">
          <cell r="B725" t="str">
            <v>9901-C02</v>
          </cell>
          <cell r="C725" t="str">
            <v>Mechanical Completion 9901-C02 N10 North Shaft Area EL:0.000 to 40.000</v>
          </cell>
          <cell r="D725" t="str">
            <v>H.N10</v>
          </cell>
          <cell r="E725" t="str">
            <v>0d</v>
          </cell>
          <cell r="G725">
            <v>41564</v>
          </cell>
          <cell r="H725">
            <v>724</v>
          </cell>
        </row>
        <row r="726">
          <cell r="B726" t="str">
            <v>9901-C05</v>
          </cell>
          <cell r="C726" t="str">
            <v>Mechanical Completion 9901-C05 P10, P20, P30 and F10 EL:55.500 Utility Deck</v>
          </cell>
          <cell r="D726" t="str">
            <v>T.P10</v>
          </cell>
          <cell r="E726" t="str">
            <v>0d</v>
          </cell>
          <cell r="G726">
            <v>41566</v>
          </cell>
          <cell r="H726">
            <v>725</v>
          </cell>
        </row>
        <row r="727">
          <cell r="B727" t="str">
            <v>9901-C07</v>
          </cell>
          <cell r="C727" t="str">
            <v>Mechanical Completion 9901-C07 P10, P20, P30 and F10 EL:64.500 Utility Deck</v>
          </cell>
          <cell r="D727" t="str">
            <v>T.P10</v>
          </cell>
          <cell r="E727" t="str">
            <v>0d</v>
          </cell>
          <cell r="G727">
            <v>41566</v>
          </cell>
          <cell r="H727">
            <v>726</v>
          </cell>
        </row>
        <row r="728">
          <cell r="B728" t="str">
            <v>9901-C12</v>
          </cell>
          <cell r="C728" t="str">
            <v>Mechanical Completion 9901-C12 M10, M20 Main Deck North and South</v>
          </cell>
          <cell r="D728" t="str">
            <v>H.M10</v>
          </cell>
          <cell r="E728" t="str">
            <v>0d</v>
          </cell>
          <cell r="G728">
            <v>41568</v>
          </cell>
          <cell r="H728">
            <v>727</v>
          </cell>
        </row>
      </sheetData>
      <sheetData sheetId="2">
        <row r="1">
          <cell r="B1" t="str">
            <v>Project</v>
          </cell>
          <cell r="C1" t="str">
            <v>Company</v>
          </cell>
          <cell r="D1" t="str">
            <v>Date/time</v>
          </cell>
          <cell r="E1" t="str">
            <v>Page</v>
          </cell>
        </row>
        <row r="2">
          <cell r="B2" t="str">
            <v>Goliat</v>
          </cell>
          <cell r="C2" t="str">
            <v>ENI Norge</v>
          </cell>
          <cell r="D2">
            <v>41298</v>
          </cell>
          <cell r="E2">
            <v>1</v>
          </cell>
        </row>
        <row r="3">
          <cell r="B3" t="str">
            <v>Report Name</v>
          </cell>
          <cell r="C3" t="str">
            <v>Application</v>
          </cell>
          <cell r="D3">
            <v>1.1111111111111112E-2</v>
          </cell>
        </row>
        <row r="4">
          <cell r="B4" t="str">
            <v>Commissioning Milestones</v>
          </cell>
          <cell r="C4" t="str">
            <v>ProCoSys™</v>
          </cell>
        </row>
        <row r="5">
          <cell r="B5" t="str">
            <v>Comm. package</v>
          </cell>
          <cell r="C5" t="str">
            <v>Comm. st.</v>
          </cell>
          <cell r="D5" t="str">
            <v>MC st.</v>
          </cell>
          <cell r="E5" t="str">
            <v>Comm. resp.</v>
          </cell>
          <cell r="F5" t="str">
            <v>Comm. area</v>
          </cell>
          <cell r="G5" t="str">
            <v>Description</v>
          </cell>
          <cell r="H5" t="str">
            <v>Priority</v>
          </cell>
          <cell r="I5" t="str">
            <v>Planned startup</v>
          </cell>
        </row>
        <row r="6">
          <cell r="B6" t="str">
            <v>9902-C03</v>
          </cell>
          <cell r="C6" t="str">
            <v>OS</v>
          </cell>
          <cell r="D6" t="str">
            <v>OS</v>
          </cell>
          <cell r="E6" t="str">
            <v>ZHHI</v>
          </cell>
          <cell r="F6" t="str">
            <v>Q30</v>
          </cell>
          <cell r="G6" t="str">
            <v>LER, Q30 El:55.500</v>
          </cell>
          <cell r="I6">
            <v>41284</v>
          </cell>
        </row>
        <row r="7">
          <cell r="B7" t="str">
            <v>9902-C04</v>
          </cell>
          <cell r="C7" t="str">
            <v>OS</v>
          </cell>
          <cell r="D7" t="str">
            <v>OS</v>
          </cell>
          <cell r="E7" t="str">
            <v>ZHHI</v>
          </cell>
          <cell r="F7" t="str">
            <v>Q30</v>
          </cell>
          <cell r="G7" t="str">
            <v>UPS Room A, UPS Battery Room A, Q30 El:55.500</v>
          </cell>
          <cell r="I7">
            <v>41292</v>
          </cell>
        </row>
        <row r="8">
          <cell r="B8" t="str">
            <v>9902-C05</v>
          </cell>
          <cell r="C8" t="str">
            <v>OS</v>
          </cell>
          <cell r="D8" t="str">
            <v>OS</v>
          </cell>
          <cell r="E8" t="str">
            <v>ZHHI</v>
          </cell>
          <cell r="F8" t="str">
            <v>Q30</v>
          </cell>
          <cell r="G8" t="str">
            <v>UPS Room B, UPS Battery Room B, Q30 El:55.500</v>
          </cell>
          <cell r="I8">
            <v>41292</v>
          </cell>
        </row>
        <row r="9">
          <cell r="B9" t="str">
            <v>9902-C06</v>
          </cell>
          <cell r="C9" t="str">
            <v>OS</v>
          </cell>
          <cell r="D9" t="str">
            <v>OS</v>
          </cell>
          <cell r="E9" t="str">
            <v>ZHHI</v>
          </cell>
          <cell r="F9" t="str">
            <v>Q30</v>
          </cell>
          <cell r="G9" t="str">
            <v>HV/LV ASDS Switchboard Room, Q30 El:60.000</v>
          </cell>
          <cell r="I9">
            <v>41292</v>
          </cell>
        </row>
        <row r="10">
          <cell r="B10" t="str">
            <v>9902-C10</v>
          </cell>
          <cell r="C10" t="str">
            <v>OS</v>
          </cell>
          <cell r="D10" t="str">
            <v>OS</v>
          </cell>
          <cell r="E10" t="str">
            <v>ZHHI</v>
          </cell>
          <cell r="F10" t="str">
            <v>Q30</v>
          </cell>
          <cell r="G10" t="str">
            <v>High Voltage Transformer Room, Q30 El:64.500</v>
          </cell>
          <cell r="I10">
            <v>41292</v>
          </cell>
        </row>
        <row r="11">
          <cell r="B11" t="str">
            <v>9902-C11</v>
          </cell>
          <cell r="C11" t="str">
            <v>OS</v>
          </cell>
          <cell r="D11" t="str">
            <v>OS</v>
          </cell>
          <cell r="E11" t="str">
            <v>ZHHI</v>
          </cell>
          <cell r="F11" t="str">
            <v>Q30</v>
          </cell>
          <cell r="G11" t="str">
            <v>Emergency SWBD &amp; Transformer Room, Q40 El:50.000</v>
          </cell>
          <cell r="I11">
            <v>41292</v>
          </cell>
        </row>
        <row r="12">
          <cell r="B12" t="str">
            <v>8401-C01</v>
          </cell>
          <cell r="C12" t="str">
            <v>OS</v>
          </cell>
          <cell r="D12" t="str">
            <v>OS</v>
          </cell>
          <cell r="E12" t="str">
            <v>ZHHI</v>
          </cell>
          <cell r="F12" t="str">
            <v>Q40</v>
          </cell>
          <cell r="G12" t="str">
            <v>84EN001 Emergency switchboard 690V</v>
          </cell>
          <cell r="I12">
            <v>41299</v>
          </cell>
        </row>
        <row r="13">
          <cell r="B13" t="str">
            <v>8502-C01</v>
          </cell>
          <cell r="C13" t="str">
            <v>OS</v>
          </cell>
          <cell r="D13" t="str">
            <v>OS</v>
          </cell>
          <cell r="E13" t="str">
            <v>ZHHI</v>
          </cell>
          <cell r="F13" t="str">
            <v>Q30</v>
          </cell>
          <cell r="G13" t="str">
            <v>85ER001B UPS system B 320kVA</v>
          </cell>
          <cell r="I13">
            <v>41299</v>
          </cell>
        </row>
        <row r="14">
          <cell r="B14" t="str">
            <v>9902-C01</v>
          </cell>
          <cell r="C14" t="str">
            <v>OS</v>
          </cell>
          <cell r="D14" t="str">
            <v>OS</v>
          </cell>
          <cell r="E14" t="str">
            <v>ZHHI</v>
          </cell>
          <cell r="F14" t="str">
            <v>L12</v>
          </cell>
          <cell r="G14" t="str">
            <v>CCR Room L12-18, CCR Equipment Room L12-21, Test Room L12-43, E/I/T Room L12-05</v>
          </cell>
          <cell r="I14">
            <v>41299</v>
          </cell>
        </row>
        <row r="15">
          <cell r="B15" t="str">
            <v>9902-C07</v>
          </cell>
          <cell r="C15" t="str">
            <v>OS</v>
          </cell>
          <cell r="D15" t="str">
            <v>OS</v>
          </cell>
          <cell r="E15" t="str">
            <v>ZHHI</v>
          </cell>
          <cell r="F15" t="str">
            <v>Q30</v>
          </cell>
          <cell r="G15" t="str">
            <v>ASDS Transformer Room, Q30 El:60.000</v>
          </cell>
          <cell r="I15">
            <v>41299</v>
          </cell>
        </row>
        <row r="16">
          <cell r="B16" t="str">
            <v>9902-C09</v>
          </cell>
          <cell r="C16" t="str">
            <v>OS</v>
          </cell>
          <cell r="D16" t="str">
            <v>OS</v>
          </cell>
          <cell r="E16" t="str">
            <v>ZHHI</v>
          </cell>
          <cell r="F16" t="str">
            <v>Q30</v>
          </cell>
          <cell r="G16" t="str">
            <v>Low Voltage Switchboard Room, Q30 El:64.500</v>
          </cell>
          <cell r="I16">
            <v>41299</v>
          </cell>
        </row>
        <row r="17">
          <cell r="B17" t="str">
            <v>9902-C15</v>
          </cell>
          <cell r="C17" t="str">
            <v>OS</v>
          </cell>
          <cell r="D17" t="str">
            <v>OS</v>
          </cell>
          <cell r="E17" t="str">
            <v>ZHHI</v>
          </cell>
          <cell r="F17" t="str">
            <v>Q20</v>
          </cell>
          <cell r="G17" t="str">
            <v>LV Transformer Room, Q20 El:64.500</v>
          </cell>
          <cell r="I17">
            <v>41299</v>
          </cell>
        </row>
        <row r="18">
          <cell r="B18" t="str">
            <v>8801-C01</v>
          </cell>
          <cell r="C18" t="str">
            <v>OS</v>
          </cell>
          <cell r="D18" t="str">
            <v>OS</v>
          </cell>
          <cell r="E18" t="str">
            <v>ZHHI</v>
          </cell>
          <cell r="F18" t="str">
            <v>Q30</v>
          </cell>
          <cell r="G18" t="str">
            <v>Earthing, Bars,PE And IE</v>
          </cell>
          <cell r="I18">
            <v>41305</v>
          </cell>
        </row>
        <row r="19">
          <cell r="B19" t="str">
            <v>7701-C29</v>
          </cell>
          <cell r="C19" t="str">
            <v>OS</v>
          </cell>
          <cell r="D19" t="str">
            <v>OS</v>
          </cell>
          <cell r="E19" t="str">
            <v>ZHHI</v>
          </cell>
          <cell r="F19" t="str">
            <v>Q40</v>
          </cell>
          <cell r="G19" t="str">
            <v>Q40 Emergency switchgear room DX Cooling Unit 77GB109A/B</v>
          </cell>
          <cell r="I19">
            <v>41306</v>
          </cell>
        </row>
        <row r="20">
          <cell r="B20" t="str">
            <v>7701-C30</v>
          </cell>
          <cell r="C20" t="str">
            <v>OS</v>
          </cell>
          <cell r="D20" t="str">
            <v>OS</v>
          </cell>
          <cell r="E20" t="str">
            <v>ZHHI</v>
          </cell>
          <cell r="F20" t="str">
            <v>Q40</v>
          </cell>
          <cell r="G20" t="str">
            <v>Q40 Emergency switchgear room DX Cooling Unit 77GB102A/B</v>
          </cell>
          <cell r="I20">
            <v>41306</v>
          </cell>
        </row>
        <row r="21">
          <cell r="B21" t="str">
            <v>7701-C31</v>
          </cell>
          <cell r="C21" t="str">
            <v>OS</v>
          </cell>
          <cell r="D21" t="str">
            <v>OS</v>
          </cell>
          <cell r="E21" t="str">
            <v>ZHHI</v>
          </cell>
          <cell r="F21" t="str">
            <v>Q30</v>
          </cell>
          <cell r="G21" t="str">
            <v>Q30 LER DX Cooling Unit 77GB103A/B</v>
          </cell>
          <cell r="I21">
            <v>41306</v>
          </cell>
        </row>
        <row r="22">
          <cell r="B22" t="str">
            <v>Comm. package</v>
          </cell>
          <cell r="C22" t="str">
            <v>Comm. st.</v>
          </cell>
          <cell r="D22" t="str">
            <v>MC st.</v>
          </cell>
          <cell r="E22" t="str">
            <v>Comm. resp.</v>
          </cell>
          <cell r="F22" t="str">
            <v>Comm. area</v>
          </cell>
          <cell r="G22" t="str">
            <v>Description</v>
          </cell>
          <cell r="H22" t="str">
            <v>Priority</v>
          </cell>
          <cell r="I22" t="str">
            <v>Planned startup</v>
          </cell>
        </row>
        <row r="23">
          <cell r="B23" t="str">
            <v>8401-C02</v>
          </cell>
          <cell r="C23" t="str">
            <v>OS</v>
          </cell>
          <cell r="D23" t="str">
            <v>OS</v>
          </cell>
          <cell r="E23" t="str">
            <v>ZHHI</v>
          </cell>
          <cell r="F23" t="str">
            <v>Q24</v>
          </cell>
          <cell r="G23" t="str">
            <v>84EN002 TG1 utility switchboard 690V</v>
          </cell>
          <cell r="I23">
            <v>41306</v>
          </cell>
        </row>
        <row r="24">
          <cell r="B24" t="str">
            <v>9902-C02</v>
          </cell>
          <cell r="C24" t="str">
            <v>OS</v>
          </cell>
          <cell r="D24" t="str">
            <v>OS</v>
          </cell>
          <cell r="E24" t="str">
            <v>ZHHI</v>
          </cell>
          <cell r="F24" t="str">
            <v>L17</v>
          </cell>
          <cell r="G24" t="str">
            <v>El. Equipment Room, L17-10, Telecom Equipment Room L17-11, Telecom Test Room L17-20, Battery Room L17-13, E/I/T room L17-05, E/I/T room L17-19</v>
          </cell>
          <cell r="I24">
            <v>41306</v>
          </cell>
        </row>
        <row r="25">
          <cell r="B25" t="str">
            <v>9902-C14</v>
          </cell>
          <cell r="C25" t="str">
            <v>OS</v>
          </cell>
          <cell r="D25" t="str">
            <v>OS</v>
          </cell>
          <cell r="E25" t="str">
            <v>ZHHI</v>
          </cell>
          <cell r="F25" t="str">
            <v>Q20</v>
          </cell>
          <cell r="G25" t="str">
            <v>Heat Tracing Switchboard Room, (LQ Switchboard) Q20 El:50.000</v>
          </cell>
          <cell r="I25">
            <v>41306</v>
          </cell>
        </row>
        <row r="26">
          <cell r="B26" t="str">
            <v>8201-C02</v>
          </cell>
          <cell r="C26" t="str">
            <v>OS</v>
          </cell>
          <cell r="D26" t="str">
            <v>OS</v>
          </cell>
          <cell r="E26" t="str">
            <v>ZHHI</v>
          </cell>
          <cell r="F26" t="str">
            <v>Q34</v>
          </cell>
          <cell r="G26" t="str">
            <v>82EN002 Hull &amp; marine switchboard 690V</v>
          </cell>
          <cell r="I26">
            <v>41311</v>
          </cell>
        </row>
        <row r="27">
          <cell r="B27" t="str">
            <v>8402-C01</v>
          </cell>
          <cell r="C27" t="str">
            <v>OS</v>
          </cell>
          <cell r="D27" t="str">
            <v>OS</v>
          </cell>
          <cell r="E27" t="str">
            <v>ZHHI</v>
          </cell>
          <cell r="F27" t="str">
            <v>M10</v>
          </cell>
          <cell r="G27" t="str">
            <v>84EL001 Emergency Lighting &amp; Small power Main deck</v>
          </cell>
          <cell r="I27">
            <v>41311</v>
          </cell>
        </row>
        <row r="28">
          <cell r="B28" t="str">
            <v>8402-C02</v>
          </cell>
          <cell r="C28" t="str">
            <v>OS</v>
          </cell>
          <cell r="D28" t="str">
            <v>OS</v>
          </cell>
          <cell r="E28" t="str">
            <v>ZHHI</v>
          </cell>
          <cell r="F28" t="str">
            <v>Q40</v>
          </cell>
          <cell r="G28" t="str">
            <v>84EL001 Emergency Lighting &amp; Small power Process deck</v>
          </cell>
          <cell r="I28">
            <v>41311</v>
          </cell>
        </row>
        <row r="29">
          <cell r="B29" t="str">
            <v>4001-C01</v>
          </cell>
          <cell r="C29" t="str">
            <v>OS</v>
          </cell>
          <cell r="D29" t="str">
            <v>OS</v>
          </cell>
          <cell r="E29" t="str">
            <v>ZHHI</v>
          </cell>
          <cell r="F29" t="str">
            <v>M20</v>
          </cell>
          <cell r="G29" t="str">
            <v>Cooling Medium Expansion Vessel, 40VL001 &amp; Coolers 40HB001A/B &amp; Distribution</v>
          </cell>
          <cell r="I29">
            <v>41312</v>
          </cell>
        </row>
        <row r="30">
          <cell r="B30" t="str">
            <v>8401-C03</v>
          </cell>
          <cell r="C30" t="str">
            <v>OS</v>
          </cell>
          <cell r="D30" t="str">
            <v>OS</v>
          </cell>
          <cell r="E30" t="str">
            <v>ZHHI</v>
          </cell>
          <cell r="F30" t="str">
            <v>Q40</v>
          </cell>
          <cell r="G30" t="str">
            <v>84EL001 Emergency switchboard 400/230V</v>
          </cell>
          <cell r="I30">
            <v>41312</v>
          </cell>
        </row>
        <row r="31">
          <cell r="B31" t="str">
            <v>8501-C01</v>
          </cell>
          <cell r="C31" t="str">
            <v>OS</v>
          </cell>
          <cell r="D31" t="str">
            <v>OS</v>
          </cell>
          <cell r="E31" t="str">
            <v>ZHHI</v>
          </cell>
          <cell r="F31" t="str">
            <v>Q30</v>
          </cell>
          <cell r="G31" t="str">
            <v>85ER001A UPS system A 320kVA</v>
          </cell>
          <cell r="I31">
            <v>41312</v>
          </cell>
        </row>
        <row r="32">
          <cell r="B32" t="str">
            <v>5001-C07</v>
          </cell>
          <cell r="C32" t="str">
            <v>OS</v>
          </cell>
          <cell r="D32" t="str">
            <v>OS</v>
          </cell>
          <cell r="E32" t="str">
            <v>ZHHI</v>
          </cell>
          <cell r="F32" t="str">
            <v>G20</v>
          </cell>
          <cell r="G32" t="str">
            <v>Sea Water Lift Filters (50CA002A/B/C), &amp; Sea Water Headers</v>
          </cell>
          <cell r="I32">
            <v>41315</v>
          </cell>
        </row>
        <row r="33">
          <cell r="B33" t="str">
            <v>6301-C05</v>
          </cell>
          <cell r="C33" t="str">
            <v>OS</v>
          </cell>
          <cell r="D33" t="str">
            <v>OS</v>
          </cell>
          <cell r="E33" t="str">
            <v>ZHHI</v>
          </cell>
          <cell r="F33" t="str">
            <v>G20</v>
          </cell>
          <cell r="G33" t="str">
            <v>Instrument &amp; Service Air receiver &amp; Distribution, Hull</v>
          </cell>
          <cell r="I33">
            <v>41315</v>
          </cell>
        </row>
        <row r="34">
          <cell r="B34" t="str">
            <v>8402-C03</v>
          </cell>
          <cell r="C34" t="str">
            <v>OS</v>
          </cell>
          <cell r="D34" t="str">
            <v>OS</v>
          </cell>
          <cell r="E34" t="str">
            <v>ZHHI</v>
          </cell>
          <cell r="F34" t="str">
            <v>Q40</v>
          </cell>
          <cell r="G34" t="str">
            <v>84EL001 Emergency Lighting &amp; Small power Process Utility deck</v>
          </cell>
          <cell r="I34">
            <v>41316</v>
          </cell>
        </row>
        <row r="35">
          <cell r="B35" t="str">
            <v>8201-C04</v>
          </cell>
          <cell r="C35" t="str">
            <v>OS</v>
          </cell>
          <cell r="D35" t="str">
            <v>OS</v>
          </cell>
          <cell r="E35" t="str">
            <v>ZHHI</v>
          </cell>
          <cell r="F35" t="str">
            <v>Q30</v>
          </cell>
          <cell r="G35" t="str">
            <v>82EL003 Hull &amp; marine switchboard 400/230V</v>
          </cell>
          <cell r="I35">
            <v>41317</v>
          </cell>
        </row>
        <row r="36">
          <cell r="B36" t="str">
            <v>8201-C07</v>
          </cell>
          <cell r="C36" t="str">
            <v>OS</v>
          </cell>
          <cell r="D36" t="str">
            <v>OS</v>
          </cell>
          <cell r="E36" t="str">
            <v>ZHHI</v>
          </cell>
          <cell r="F36" t="str">
            <v>Q30</v>
          </cell>
          <cell r="G36" t="str">
            <v>82ED002 Mooring &amp; offloading ASDS switchboard 720V DC</v>
          </cell>
          <cell r="I36">
            <v>41317</v>
          </cell>
        </row>
        <row r="37">
          <cell r="B37" t="str">
            <v>8201-C10</v>
          </cell>
          <cell r="C37" t="str">
            <v>OS</v>
          </cell>
          <cell r="D37" t="str">
            <v>OS</v>
          </cell>
          <cell r="E37" t="str">
            <v>ZHHI</v>
          </cell>
          <cell r="F37" t="str">
            <v>Q30</v>
          </cell>
          <cell r="G37" t="str">
            <v>82ED001 Multi ASDS for LV motors 980V DC (incl. 82ET004A / 82ET004B / 82ET004C / 82ET004D)</v>
          </cell>
          <cell r="I37">
            <v>41317</v>
          </cell>
        </row>
        <row r="38">
          <cell r="B38" t="str">
            <v>8201-C24</v>
          </cell>
          <cell r="C38" t="str">
            <v>OS</v>
          </cell>
          <cell r="D38" t="str">
            <v>OS</v>
          </cell>
          <cell r="E38" t="str">
            <v>ZHHI</v>
          </cell>
          <cell r="F38" t="str">
            <v>N10</v>
          </cell>
          <cell r="G38" t="str">
            <v>82EL021 Normal distr. board North shaft</v>
          </cell>
          <cell r="I38">
            <v>41319</v>
          </cell>
        </row>
        <row r="39">
          <cell r="B39" t="str">
            <v>Comm. package</v>
          </cell>
          <cell r="C39" t="str">
            <v>Comm. st.</v>
          </cell>
          <cell r="D39" t="str">
            <v>MC st.</v>
          </cell>
          <cell r="E39" t="str">
            <v>Comm. resp.</v>
          </cell>
          <cell r="F39" t="str">
            <v>Comm. area</v>
          </cell>
          <cell r="G39" t="str">
            <v>Description</v>
          </cell>
          <cell r="H39" t="str">
            <v>Priority</v>
          </cell>
          <cell r="I39" t="str">
            <v>Planned startup</v>
          </cell>
        </row>
        <row r="40">
          <cell r="B40" t="str">
            <v>8202-C09</v>
          </cell>
          <cell r="C40" t="str">
            <v>OS</v>
          </cell>
          <cell r="D40" t="str">
            <v>OS</v>
          </cell>
          <cell r="E40" t="str">
            <v>ZHHI</v>
          </cell>
          <cell r="F40" t="str">
            <v>N10</v>
          </cell>
          <cell r="G40" t="str">
            <v>Lighting and Small Power North Shaft Hull, 82EL021</v>
          </cell>
          <cell r="I40">
            <v>41319</v>
          </cell>
        </row>
        <row r="41">
          <cell r="B41" t="str">
            <v>8501-C02</v>
          </cell>
          <cell r="C41" t="str">
            <v>OS</v>
          </cell>
          <cell r="D41" t="str">
            <v>OS</v>
          </cell>
          <cell r="E41" t="str">
            <v>ZHHI</v>
          </cell>
          <cell r="F41" t="str">
            <v>Q30</v>
          </cell>
          <cell r="G41" t="str">
            <v>85EL001A UPS Distr. Board UPS Room</v>
          </cell>
          <cell r="I41">
            <v>41319</v>
          </cell>
        </row>
        <row r="42">
          <cell r="B42" t="str">
            <v>8402-C04</v>
          </cell>
          <cell r="C42" t="str">
            <v>OS</v>
          </cell>
          <cell r="D42" t="str">
            <v>OS</v>
          </cell>
          <cell r="E42" t="str">
            <v>ZHHI</v>
          </cell>
          <cell r="F42" t="str">
            <v>Q40</v>
          </cell>
          <cell r="G42" t="str">
            <v>84EL001 Emergency Lighting &amp; Small power Level 1 deck</v>
          </cell>
          <cell r="I42">
            <v>41320</v>
          </cell>
        </row>
        <row r="43">
          <cell r="B43" t="str">
            <v>8201-C25</v>
          </cell>
          <cell r="C43" t="str">
            <v>OS</v>
          </cell>
          <cell r="D43" t="str">
            <v>OS</v>
          </cell>
          <cell r="E43" t="str">
            <v>ZHHI</v>
          </cell>
          <cell r="F43" t="str">
            <v>N10</v>
          </cell>
          <cell r="G43" t="str">
            <v>82EL022 Normal distr. board North shaft</v>
          </cell>
          <cell r="I43">
            <v>41321</v>
          </cell>
        </row>
        <row r="44">
          <cell r="B44" t="str">
            <v>8690-C01</v>
          </cell>
          <cell r="C44" t="str">
            <v>OS</v>
          </cell>
          <cell r="D44" t="str">
            <v>OS</v>
          </cell>
          <cell r="E44" t="str">
            <v>ZHHI</v>
          </cell>
          <cell r="F44" t="str">
            <v>L10</v>
          </cell>
          <cell r="G44" t="str">
            <v>Temporary telecom system</v>
          </cell>
          <cell r="I44">
            <v>41321</v>
          </cell>
        </row>
        <row r="45">
          <cell r="B45" t="str">
            <v>8701-C01</v>
          </cell>
          <cell r="C45" t="str">
            <v>OS</v>
          </cell>
          <cell r="D45" t="str">
            <v>OS</v>
          </cell>
          <cell r="E45" t="str">
            <v>ZHHI</v>
          </cell>
          <cell r="F45" t="str">
            <v>Q30</v>
          </cell>
          <cell r="G45" t="str">
            <v>Panel 87JC141 - LAN/Switch/FOC A-network (LER)</v>
          </cell>
          <cell r="I45">
            <v>41321</v>
          </cell>
        </row>
        <row r="46">
          <cell r="B46" t="str">
            <v>8701-C02</v>
          </cell>
          <cell r="C46" t="str">
            <v>OS</v>
          </cell>
          <cell r="D46" t="str">
            <v>OS</v>
          </cell>
          <cell r="E46" t="str">
            <v>ZHHI</v>
          </cell>
          <cell r="F46" t="str">
            <v>Q30</v>
          </cell>
          <cell r="G46" t="str">
            <v>Panel 87JC142 - LAN/Switch/FOC B-network (LER)</v>
          </cell>
          <cell r="I46">
            <v>41321</v>
          </cell>
        </row>
        <row r="47">
          <cell r="B47" t="str">
            <v>8701-C05</v>
          </cell>
          <cell r="C47" t="str">
            <v>OS</v>
          </cell>
          <cell r="D47" t="str">
            <v>OS</v>
          </cell>
          <cell r="E47" t="str">
            <v>ZHHI</v>
          </cell>
          <cell r="F47" t="str">
            <v>Q30</v>
          </cell>
          <cell r="G47" t="str">
            <v>Panel 87JC143 - SAS servers (LER)</v>
          </cell>
          <cell r="I47">
            <v>41321</v>
          </cell>
        </row>
        <row r="48">
          <cell r="B48" t="str">
            <v>8704-C02</v>
          </cell>
          <cell r="C48" t="str">
            <v>OS</v>
          </cell>
          <cell r="D48" t="str">
            <v>OS</v>
          </cell>
          <cell r="E48" t="str">
            <v>ZHHI</v>
          </cell>
          <cell r="F48" t="str">
            <v>Q30</v>
          </cell>
          <cell r="G48" t="str">
            <v>Operation Equipment (LER)</v>
          </cell>
          <cell r="I48">
            <v>41321</v>
          </cell>
        </row>
        <row r="49">
          <cell r="B49" t="str">
            <v>8201-C26</v>
          </cell>
          <cell r="C49" t="str">
            <v>OS</v>
          </cell>
          <cell r="D49" t="str">
            <v>OS</v>
          </cell>
          <cell r="E49" t="str">
            <v>ZHHI</v>
          </cell>
          <cell r="F49" t="str">
            <v>G20</v>
          </cell>
          <cell r="G49" t="str">
            <v>82EL023 Normal distr. board Center shaft</v>
          </cell>
          <cell r="I49">
            <v>41323</v>
          </cell>
        </row>
        <row r="50">
          <cell r="B50" t="str">
            <v>8202-C10</v>
          </cell>
          <cell r="C50" t="str">
            <v>OS</v>
          </cell>
          <cell r="D50" t="str">
            <v>OS</v>
          </cell>
          <cell r="E50" t="str">
            <v>ZHHI</v>
          </cell>
          <cell r="F50" t="str">
            <v>G20</v>
          </cell>
          <cell r="G50" t="str">
            <v>Lighting and Small Power Centre Shaft Hull, 82EL023</v>
          </cell>
          <cell r="I50">
            <v>41324</v>
          </cell>
        </row>
        <row r="51">
          <cell r="B51" t="str">
            <v>7701-C32</v>
          </cell>
          <cell r="C51" t="str">
            <v>OS</v>
          </cell>
          <cell r="D51" t="str">
            <v>OS</v>
          </cell>
          <cell r="E51" t="str">
            <v>ZHHI</v>
          </cell>
          <cell r="F51" t="str">
            <v>L10</v>
          </cell>
          <cell r="G51" t="str">
            <v>LQ-CCR DX Cooling Unit 77GB104</v>
          </cell>
          <cell r="I51">
            <v>41325</v>
          </cell>
        </row>
        <row r="52">
          <cell r="B52" t="str">
            <v>8201-C27</v>
          </cell>
          <cell r="C52" t="str">
            <v>OS</v>
          </cell>
          <cell r="D52" t="str">
            <v>OS</v>
          </cell>
          <cell r="E52" t="str">
            <v>ZHHI</v>
          </cell>
          <cell r="F52" t="str">
            <v>G20</v>
          </cell>
          <cell r="G52" t="str">
            <v>82EL024 Normal distr. board Center shaft</v>
          </cell>
          <cell r="I52">
            <v>41325</v>
          </cell>
        </row>
        <row r="53">
          <cell r="B53" t="str">
            <v>8402-C05</v>
          </cell>
          <cell r="C53" t="str">
            <v>OS</v>
          </cell>
          <cell r="D53" t="str">
            <v>OS</v>
          </cell>
          <cell r="E53" t="str">
            <v>ZHHI</v>
          </cell>
          <cell r="F53" t="str">
            <v>Q40</v>
          </cell>
          <cell r="G53" t="str">
            <v>84EL001 Emergency Lighting &amp; Small power Level 2 deck</v>
          </cell>
          <cell r="I53">
            <v>41325</v>
          </cell>
        </row>
        <row r="54">
          <cell r="B54" t="str">
            <v>8701-C18</v>
          </cell>
          <cell r="C54" t="str">
            <v>OS</v>
          </cell>
          <cell r="D54" t="str">
            <v>OS</v>
          </cell>
          <cell r="E54" t="str">
            <v>ZHHI</v>
          </cell>
          <cell r="F54" t="str">
            <v>Q30</v>
          </cell>
          <cell r="G54" t="str">
            <v>Panel 87JC012 - Node C12 - 63 Air Compressors and Dryers (PCS) (LER)</v>
          </cell>
          <cell r="I54">
            <v>41325</v>
          </cell>
        </row>
        <row r="55">
          <cell r="B55" t="str">
            <v>8701-C21</v>
          </cell>
          <cell r="C55" t="str">
            <v>OS</v>
          </cell>
          <cell r="D55" t="str">
            <v>OS</v>
          </cell>
          <cell r="E55" t="str">
            <v>ZHHI</v>
          </cell>
          <cell r="F55" t="str">
            <v>Q30</v>
          </cell>
          <cell r="G55" t="str">
            <v>Panel 87JC016 - Node C16 - 39 Bunkering - 65 Main HPU (PCS) (LER)</v>
          </cell>
          <cell r="I55">
            <v>41325</v>
          </cell>
        </row>
        <row r="56">
          <cell r="B56" t="str">
            <v>Comm. package</v>
          </cell>
          <cell r="C56" t="str">
            <v>Comm. st.</v>
          </cell>
          <cell r="D56" t="str">
            <v>MC st.</v>
          </cell>
          <cell r="E56" t="str">
            <v>Comm. resp.</v>
          </cell>
          <cell r="F56" t="str">
            <v>Comm. area</v>
          </cell>
          <cell r="G56" t="str">
            <v>Description</v>
          </cell>
          <cell r="H56" t="str">
            <v>Priority</v>
          </cell>
          <cell r="I56" t="str">
            <v>Planned startup</v>
          </cell>
        </row>
        <row r="57">
          <cell r="B57" t="str">
            <v>8704-C03</v>
          </cell>
          <cell r="C57" t="str">
            <v>OS</v>
          </cell>
          <cell r="D57" t="str">
            <v>OS</v>
          </cell>
          <cell r="E57" t="str">
            <v>ZHHI</v>
          </cell>
          <cell r="F57" t="str">
            <v>Q30</v>
          </cell>
          <cell r="G57" t="str">
            <v>Operation Equipment (Instr. Workshop &amp; Sw. Board Room)</v>
          </cell>
          <cell r="I57">
            <v>41325</v>
          </cell>
        </row>
        <row r="58">
          <cell r="B58" t="str">
            <v>8001-C02</v>
          </cell>
          <cell r="C58" t="str">
            <v>OS</v>
          </cell>
          <cell r="D58" t="str">
            <v>OS</v>
          </cell>
          <cell r="E58" t="str">
            <v>ZHHI</v>
          </cell>
          <cell r="F58" t="str">
            <v>Q20</v>
          </cell>
          <cell r="G58" t="str">
            <v>80EH002 Main switchgear 11kV</v>
          </cell>
          <cell r="I58">
            <v>41326</v>
          </cell>
        </row>
        <row r="59">
          <cell r="B59" t="str">
            <v>8201-C28</v>
          </cell>
          <cell r="C59" t="str">
            <v>OS</v>
          </cell>
          <cell r="D59" t="str">
            <v>OS</v>
          </cell>
          <cell r="E59" t="str">
            <v>ZHHI</v>
          </cell>
          <cell r="F59" t="str">
            <v>Q30</v>
          </cell>
          <cell r="G59" t="str">
            <v>Back-up MCCB for Lighting &amp; Small power circuits (82EL003)</v>
          </cell>
          <cell r="I59">
            <v>41326</v>
          </cell>
        </row>
        <row r="60">
          <cell r="B60" t="str">
            <v>8701-C19</v>
          </cell>
          <cell r="C60" t="str">
            <v>OS</v>
          </cell>
          <cell r="D60" t="str">
            <v>OS</v>
          </cell>
          <cell r="E60" t="str">
            <v>ZHHI</v>
          </cell>
          <cell r="F60" t="str">
            <v>Q30</v>
          </cell>
          <cell r="G60" t="str">
            <v>Panel 87JC013 - Node C13 - 43 Vapour recovery - 43 Flare ibnition - 44 Sand cleaning (PCS) (LER)</v>
          </cell>
          <cell r="I60">
            <v>41326</v>
          </cell>
        </row>
        <row r="61">
          <cell r="B61" t="str">
            <v>4301-C01</v>
          </cell>
          <cell r="C61" t="str">
            <v>OS</v>
          </cell>
          <cell r="D61" t="str">
            <v>OS</v>
          </cell>
          <cell r="E61" t="str">
            <v>ZHHI</v>
          </cell>
          <cell r="F61" t="str">
            <v>F10</v>
          </cell>
          <cell r="G61" t="str">
            <v>HP flare header</v>
          </cell>
          <cell r="I61">
            <v>41327</v>
          </cell>
        </row>
        <row r="62">
          <cell r="B62" t="str">
            <v>8701-C10</v>
          </cell>
          <cell r="C62" t="str">
            <v>OS</v>
          </cell>
          <cell r="D62" t="str">
            <v>OS</v>
          </cell>
          <cell r="E62" t="str">
            <v>ZHHI</v>
          </cell>
          <cell r="F62" t="str">
            <v>Q30</v>
          </cell>
          <cell r="G62" t="str">
            <v>Panel 87JC004 - Node C04 - 40 Cooling medium - 41 heating medium - 45 Fuel gas (PCS) (LER)</v>
          </cell>
          <cell r="I62">
            <v>41327</v>
          </cell>
        </row>
        <row r="63">
          <cell r="B63" t="str">
            <v>8701-C12</v>
          </cell>
          <cell r="C63" t="str">
            <v>OS</v>
          </cell>
          <cell r="D63" t="str">
            <v>OS</v>
          </cell>
          <cell r="E63" t="str">
            <v>ZHHI</v>
          </cell>
          <cell r="F63" t="str">
            <v>Q30</v>
          </cell>
          <cell r="G63" t="str">
            <v>Panel 87JC006 - Node C06 - 50 Sea water - 71 Fire water (PCS) (LER)</v>
          </cell>
          <cell r="I63">
            <v>41327</v>
          </cell>
        </row>
        <row r="64">
          <cell r="B64" t="str">
            <v>8701-C22</v>
          </cell>
          <cell r="C64" t="str">
            <v>OS</v>
          </cell>
          <cell r="D64" t="str">
            <v>OS</v>
          </cell>
          <cell r="E64" t="str">
            <v>ZHHI</v>
          </cell>
          <cell r="F64" t="str">
            <v>Q30</v>
          </cell>
          <cell r="G64" t="str">
            <v>Panel 87JC017 - Node C17 - 77 HVAC (PCS) (LER)</v>
          </cell>
          <cell r="I64">
            <v>41327</v>
          </cell>
        </row>
        <row r="65">
          <cell r="B65" t="str">
            <v>7701-C34</v>
          </cell>
          <cell r="C65" t="str">
            <v>OS</v>
          </cell>
          <cell r="D65" t="str">
            <v>OS</v>
          </cell>
          <cell r="E65" t="str">
            <v>ZHHI</v>
          </cell>
          <cell r="F65" t="str">
            <v>L10</v>
          </cell>
          <cell r="G65" t="str">
            <v>LQ-CER DX Cooling Unit 77GB105A/B</v>
          </cell>
          <cell r="I65">
            <v>41328</v>
          </cell>
        </row>
        <row r="66">
          <cell r="B66" t="str">
            <v>8202-C11</v>
          </cell>
          <cell r="C66" t="str">
            <v>OS</v>
          </cell>
          <cell r="D66" t="str">
            <v>OS</v>
          </cell>
          <cell r="E66" t="str">
            <v>ZHHI</v>
          </cell>
          <cell r="F66" t="str">
            <v>N10</v>
          </cell>
          <cell r="G66" t="str">
            <v>Lighting and Small Power North Shaft Hull, 82EL022</v>
          </cell>
          <cell r="I66">
            <v>41328</v>
          </cell>
        </row>
        <row r="67">
          <cell r="B67" t="str">
            <v>6301-C10</v>
          </cell>
          <cell r="C67" t="str">
            <v>OS</v>
          </cell>
          <cell r="D67" t="str">
            <v>OS</v>
          </cell>
          <cell r="E67" t="str">
            <v>ZHHI</v>
          </cell>
          <cell r="F67" t="str">
            <v>L10</v>
          </cell>
          <cell r="G67" t="str">
            <v>Instrument Air Distribution, LQ</v>
          </cell>
          <cell r="I67">
            <v>41329</v>
          </cell>
        </row>
        <row r="68">
          <cell r="B68" t="str">
            <v>4001-C02</v>
          </cell>
          <cell r="C68" t="str">
            <v>OS</v>
          </cell>
          <cell r="D68" t="str">
            <v>OS</v>
          </cell>
          <cell r="E68" t="str">
            <v>ZHHI</v>
          </cell>
          <cell r="F68" t="str">
            <v>G20</v>
          </cell>
          <cell r="G68" t="str">
            <v>Cooling Medium Make-Up Pump 40PA002 and Tank 40TA001</v>
          </cell>
          <cell r="I68">
            <v>41330</v>
          </cell>
        </row>
        <row r="69">
          <cell r="B69" t="str">
            <v>5001-C06</v>
          </cell>
          <cell r="C69" t="str">
            <v>OS</v>
          </cell>
          <cell r="D69" t="str">
            <v>OS</v>
          </cell>
          <cell r="E69" t="str">
            <v>ZHHI</v>
          </cell>
          <cell r="F69" t="str">
            <v>N10</v>
          </cell>
          <cell r="G69" t="str">
            <v>Sea Water Cooling Filters (50CA001A/B), &amp; Sea Water Cooling Headers</v>
          </cell>
          <cell r="I69">
            <v>41330</v>
          </cell>
        </row>
        <row r="70">
          <cell r="B70" t="str">
            <v>5001-C02</v>
          </cell>
          <cell r="C70" t="str">
            <v>OS</v>
          </cell>
          <cell r="D70" t="str">
            <v>OS</v>
          </cell>
          <cell r="E70" t="str">
            <v>ZHHI</v>
          </cell>
          <cell r="F70" t="str">
            <v>N10</v>
          </cell>
          <cell r="G70" t="str">
            <v>Emergency Seawater Cooling Pumps, 50PA005</v>
          </cell>
          <cell r="I70">
            <v>41331</v>
          </cell>
        </row>
        <row r="71">
          <cell r="B71" t="str">
            <v>6301-C01</v>
          </cell>
          <cell r="C71" t="str">
            <v>OS</v>
          </cell>
          <cell r="D71" t="str">
            <v>OS</v>
          </cell>
          <cell r="E71" t="str">
            <v>ZHHI</v>
          </cell>
          <cell r="F71" t="str">
            <v>G20</v>
          </cell>
          <cell r="G71" t="str">
            <v>Air compressors A, 63KC001A</v>
          </cell>
          <cell r="I71">
            <v>41331</v>
          </cell>
        </row>
        <row r="72">
          <cell r="B72" t="str">
            <v>6301-C04</v>
          </cell>
          <cell r="C72" t="str">
            <v>OS</v>
          </cell>
          <cell r="D72" t="str">
            <v>OS</v>
          </cell>
          <cell r="E72" t="str">
            <v>ZHHI</v>
          </cell>
          <cell r="F72" t="str">
            <v>G20</v>
          </cell>
          <cell r="G72" t="str">
            <v>Air Dryers, 63XX001</v>
          </cell>
          <cell r="I72">
            <v>41331</v>
          </cell>
        </row>
        <row r="73">
          <cell r="B73" t="str">
            <v>Comm. package</v>
          </cell>
          <cell r="C73" t="str">
            <v>Comm. st.</v>
          </cell>
          <cell r="D73" t="str">
            <v>MC st.</v>
          </cell>
          <cell r="E73" t="str">
            <v>Comm. resp.</v>
          </cell>
          <cell r="F73" t="str">
            <v>Comm. area</v>
          </cell>
          <cell r="G73" t="str">
            <v>Description</v>
          </cell>
          <cell r="H73" t="str">
            <v>Priority</v>
          </cell>
          <cell r="I73" t="str">
            <v>Planned startup</v>
          </cell>
        </row>
        <row r="74">
          <cell r="B74" t="str">
            <v>8201-C29</v>
          </cell>
          <cell r="C74" t="str">
            <v>OS</v>
          </cell>
          <cell r="D74" t="str">
            <v>OS</v>
          </cell>
          <cell r="E74" t="str">
            <v>ZHHI</v>
          </cell>
          <cell r="F74" t="str">
            <v>H10</v>
          </cell>
          <cell r="G74" t="str">
            <v>82EL006 Helideck heat trace switchboard</v>
          </cell>
          <cell r="I74">
            <v>41331</v>
          </cell>
        </row>
        <row r="75">
          <cell r="B75" t="str">
            <v>8501-C03</v>
          </cell>
          <cell r="C75" t="str">
            <v>OS</v>
          </cell>
          <cell r="D75" t="str">
            <v>OS</v>
          </cell>
          <cell r="E75" t="str">
            <v>ZHHI</v>
          </cell>
          <cell r="F75" t="str">
            <v>L12</v>
          </cell>
          <cell r="G75" t="str">
            <v>85EL002A UPS Distr. Board CER</v>
          </cell>
          <cell r="I75">
            <v>41331</v>
          </cell>
        </row>
        <row r="76">
          <cell r="B76" t="str">
            <v>8701-C14</v>
          </cell>
          <cell r="C76" t="str">
            <v>OS</v>
          </cell>
          <cell r="D76" t="str">
            <v>OS</v>
          </cell>
          <cell r="E76" t="str">
            <v>ZHHI</v>
          </cell>
          <cell r="F76" t="str">
            <v>Q30</v>
          </cell>
          <cell r="G76" t="str">
            <v>Panel 87JC008 - Node C08 - 47 Chlorination 53 Fresh water 54 Hot water (PCS) (LER)</v>
          </cell>
          <cell r="I76">
            <v>41331</v>
          </cell>
        </row>
        <row r="77">
          <cell r="B77" t="str">
            <v>8502-C02</v>
          </cell>
          <cell r="C77" t="str">
            <v>OS</v>
          </cell>
          <cell r="D77" t="str">
            <v>OS</v>
          </cell>
          <cell r="E77" t="str">
            <v>ZHHI</v>
          </cell>
          <cell r="F77" t="str">
            <v>Q30</v>
          </cell>
          <cell r="G77" t="str">
            <v>85EL001B UPS Distr. Board UPS Room</v>
          </cell>
          <cell r="I77">
            <v>41332</v>
          </cell>
        </row>
        <row r="78">
          <cell r="B78" t="str">
            <v>3301-C01</v>
          </cell>
          <cell r="C78" t="str">
            <v>OS</v>
          </cell>
          <cell r="D78" t="str">
            <v>OS</v>
          </cell>
          <cell r="E78" t="str">
            <v>ZHHI</v>
          </cell>
          <cell r="F78" t="str">
            <v>M10</v>
          </cell>
          <cell r="G78" t="str">
            <v>Cargo ringmain</v>
          </cell>
          <cell r="I78">
            <v>41333</v>
          </cell>
        </row>
        <row r="79">
          <cell r="B79" t="str">
            <v>8202-C12</v>
          </cell>
          <cell r="C79" t="str">
            <v>OS</v>
          </cell>
          <cell r="D79" t="str">
            <v>OS</v>
          </cell>
          <cell r="E79" t="str">
            <v>ZHHI</v>
          </cell>
          <cell r="F79" t="str">
            <v>G20</v>
          </cell>
          <cell r="G79" t="str">
            <v>Lighting and Small Power Centre Shaft Hull, 82EL024</v>
          </cell>
          <cell r="I79">
            <v>41333</v>
          </cell>
        </row>
        <row r="80">
          <cell r="B80" t="str">
            <v>8701-C23</v>
          </cell>
          <cell r="C80" t="str">
            <v>OS</v>
          </cell>
          <cell r="D80" t="str">
            <v>OS</v>
          </cell>
          <cell r="E80" t="str">
            <v>ZHHI</v>
          </cell>
          <cell r="F80" t="str">
            <v>Q30</v>
          </cell>
          <cell r="G80" t="str">
            <v>Panel 87JC018 - Node C18 - 77 HVAC (PCS) (LER)</v>
          </cell>
          <cell r="I80">
            <v>41333</v>
          </cell>
        </row>
        <row r="81">
          <cell r="B81" t="str">
            <v>8701-C26</v>
          </cell>
          <cell r="C81" t="str">
            <v>OS</v>
          </cell>
          <cell r="D81" t="str">
            <v>OS</v>
          </cell>
          <cell r="E81" t="str">
            <v>ZHHI</v>
          </cell>
          <cell r="F81" t="str">
            <v>Q30</v>
          </cell>
          <cell r="G81" t="str">
            <v>Panel 87JC023 - Node C23 - 53 Fresh water UV sterilizer, Chlorination and Alkaline (PCS) (LER)</v>
          </cell>
          <cell r="I81">
            <v>41333</v>
          </cell>
        </row>
        <row r="82">
          <cell r="B82" t="str">
            <v>4001-C04</v>
          </cell>
          <cell r="C82" t="str">
            <v>OS</v>
          </cell>
          <cell r="D82" t="str">
            <v>OS</v>
          </cell>
          <cell r="E82" t="str">
            <v>ZHHI</v>
          </cell>
          <cell r="F82" t="str">
            <v>M10</v>
          </cell>
          <cell r="G82" t="str">
            <v>Cooling Medium Cirkulation Pump 40PA001A</v>
          </cell>
          <cell r="I82">
            <v>41334</v>
          </cell>
        </row>
        <row r="83">
          <cell r="B83" t="str">
            <v>6401-C02</v>
          </cell>
          <cell r="C83" t="str">
            <v>OS</v>
          </cell>
          <cell r="D83" t="str">
            <v>OS</v>
          </cell>
          <cell r="E83" t="str">
            <v>ZHHI</v>
          </cell>
          <cell r="F83" t="str">
            <v>G20</v>
          </cell>
          <cell r="G83" t="str">
            <v>Nitrogen Receiver &amp; Nitrogen Distribution</v>
          </cell>
          <cell r="I83">
            <v>41334</v>
          </cell>
        </row>
        <row r="84">
          <cell r="B84" t="str">
            <v>7601-C05</v>
          </cell>
          <cell r="C84" t="str">
            <v>OS</v>
          </cell>
          <cell r="D84" t="str">
            <v>OS</v>
          </cell>
          <cell r="E84" t="str">
            <v>ZHHI</v>
          </cell>
          <cell r="F84" t="str">
            <v>L10</v>
          </cell>
          <cell r="G84" t="str">
            <v>Miscellaneous Lifesaving Equipment</v>
          </cell>
          <cell r="I84">
            <v>41334</v>
          </cell>
        </row>
        <row r="85">
          <cell r="B85" t="str">
            <v>7601-C06</v>
          </cell>
          <cell r="C85" t="str">
            <v>OS</v>
          </cell>
          <cell r="D85" t="str">
            <v>OS</v>
          </cell>
          <cell r="E85" t="str">
            <v>ZHHI</v>
          </cell>
          <cell r="F85" t="str">
            <v>L10</v>
          </cell>
          <cell r="G85" t="str">
            <v>Miscellaneous Safety Equipment</v>
          </cell>
          <cell r="I85">
            <v>41334</v>
          </cell>
        </row>
        <row r="86">
          <cell r="B86" t="str">
            <v>7601-C07</v>
          </cell>
          <cell r="C86" t="str">
            <v>OS</v>
          </cell>
          <cell r="D86" t="str">
            <v>OS</v>
          </cell>
          <cell r="E86" t="str">
            <v>ZHHI</v>
          </cell>
          <cell r="F86" t="str">
            <v>L10</v>
          </cell>
          <cell r="G86" t="str">
            <v>Miscellaneous Medical Equipment</v>
          </cell>
          <cell r="I86">
            <v>41334</v>
          </cell>
        </row>
        <row r="87">
          <cell r="B87" t="str">
            <v>8503-C01</v>
          </cell>
          <cell r="C87" t="str">
            <v>OS</v>
          </cell>
          <cell r="D87" t="str">
            <v>OS</v>
          </cell>
          <cell r="E87" t="str">
            <v>ZHHI</v>
          </cell>
          <cell r="F87" t="str">
            <v>Q30</v>
          </cell>
          <cell r="G87" t="str">
            <v>85EL005 UPS Distr. Board</v>
          </cell>
          <cell r="I87">
            <v>41334</v>
          </cell>
        </row>
        <row r="88">
          <cell r="B88" t="str">
            <v>5001-C04</v>
          </cell>
          <cell r="C88" t="str">
            <v>OS</v>
          </cell>
          <cell r="D88" t="str">
            <v>OS</v>
          </cell>
          <cell r="E88" t="str">
            <v>ZHHI</v>
          </cell>
          <cell r="F88" t="str">
            <v>G20</v>
          </cell>
          <cell r="G88" t="str">
            <v>Emergency Seawater Cooling Pumps, 50PA006</v>
          </cell>
          <cell r="I88">
            <v>41335</v>
          </cell>
        </row>
        <row r="89">
          <cell r="B89" t="str">
            <v>6301-C02</v>
          </cell>
          <cell r="C89" t="str">
            <v>OS</v>
          </cell>
          <cell r="D89" t="str">
            <v>OS</v>
          </cell>
          <cell r="E89" t="str">
            <v>ZHHI</v>
          </cell>
          <cell r="F89" t="str">
            <v>G20</v>
          </cell>
          <cell r="G89" t="str">
            <v>Air compressors B, 63KC001B</v>
          </cell>
          <cell r="I89">
            <v>41335</v>
          </cell>
        </row>
        <row r="90">
          <cell r="B90" t="str">
            <v>Comm. package</v>
          </cell>
          <cell r="C90" t="str">
            <v>Comm. st.</v>
          </cell>
          <cell r="D90" t="str">
            <v>MC st.</v>
          </cell>
          <cell r="E90" t="str">
            <v>Comm. resp.</v>
          </cell>
          <cell r="F90" t="str">
            <v>Comm. area</v>
          </cell>
          <cell r="G90" t="str">
            <v>Description</v>
          </cell>
          <cell r="H90" t="str">
            <v>Priority</v>
          </cell>
          <cell r="I90" t="str">
            <v>Planned startup</v>
          </cell>
        </row>
        <row r="91">
          <cell r="B91" t="str">
            <v>8701-C25</v>
          </cell>
          <cell r="C91" t="str">
            <v>OS</v>
          </cell>
          <cell r="D91" t="str">
            <v>OS</v>
          </cell>
          <cell r="E91" t="str">
            <v>ZHHI</v>
          </cell>
          <cell r="F91" t="str">
            <v>Q30</v>
          </cell>
          <cell r="G91" t="str">
            <v>Panel 87JC020 - Node C20 - 64 Nitrogen Generator and Inert gas (PCS) (LER)</v>
          </cell>
          <cell r="I91">
            <v>41335</v>
          </cell>
        </row>
        <row r="92">
          <cell r="B92" t="str">
            <v>8503-C03</v>
          </cell>
          <cell r="C92" t="str">
            <v>OS</v>
          </cell>
          <cell r="D92" t="str">
            <v>OS</v>
          </cell>
          <cell r="E92" t="str">
            <v>ZHHI</v>
          </cell>
          <cell r="F92" t="str">
            <v>H10</v>
          </cell>
          <cell r="G92" t="str">
            <v>85EC100 UPS Helideck Control Panel, Lighting</v>
          </cell>
          <cell r="I92">
            <v>41338</v>
          </cell>
        </row>
        <row r="93">
          <cell r="B93" t="str">
            <v>2301-C02</v>
          </cell>
          <cell r="C93" t="str">
            <v>OS</v>
          </cell>
          <cell r="D93" t="str">
            <v>OS</v>
          </cell>
          <cell r="E93" t="str">
            <v>ZHHI</v>
          </cell>
          <cell r="F93" t="str">
            <v>M20</v>
          </cell>
          <cell r="G93" t="str">
            <v>1 st Stage Recomp Recycle Pumps, 23PA001A/B</v>
          </cell>
          <cell r="I93">
            <v>41339</v>
          </cell>
        </row>
        <row r="94">
          <cell r="B94" t="str">
            <v>4001-C06</v>
          </cell>
          <cell r="C94" t="str">
            <v>OS</v>
          </cell>
          <cell r="D94" t="str">
            <v>OS</v>
          </cell>
          <cell r="E94" t="str">
            <v>ZHHI</v>
          </cell>
          <cell r="F94" t="str">
            <v>M20</v>
          </cell>
          <cell r="G94" t="str">
            <v>Cooling Medium Circulation Pump 40PA001B</v>
          </cell>
          <cell r="I94">
            <v>41339</v>
          </cell>
        </row>
        <row r="95">
          <cell r="B95" t="str">
            <v>5001-C09</v>
          </cell>
          <cell r="C95" t="str">
            <v>OS</v>
          </cell>
          <cell r="D95" t="str">
            <v>OS</v>
          </cell>
          <cell r="E95" t="str">
            <v>ZHHI</v>
          </cell>
          <cell r="F95" t="str">
            <v>G10</v>
          </cell>
          <cell r="G95" t="str">
            <v>Overboard Caissons</v>
          </cell>
          <cell r="I95">
            <v>41339</v>
          </cell>
        </row>
        <row r="96">
          <cell r="B96" t="str">
            <v>7701-C33</v>
          </cell>
          <cell r="C96" t="str">
            <v>OS</v>
          </cell>
          <cell r="D96" t="str">
            <v>OS</v>
          </cell>
          <cell r="E96" t="str">
            <v>ZHHI</v>
          </cell>
          <cell r="F96" t="str">
            <v>Q30</v>
          </cell>
          <cell r="G96" t="str">
            <v>Q30 UPS A &amp; B System 77GB106A /B</v>
          </cell>
          <cell r="I96">
            <v>41339</v>
          </cell>
        </row>
        <row r="97">
          <cell r="B97" t="str">
            <v>8201-C01</v>
          </cell>
          <cell r="C97" t="str">
            <v>OS</v>
          </cell>
          <cell r="D97" t="str">
            <v>OS</v>
          </cell>
          <cell r="E97" t="str">
            <v>ZHHI</v>
          </cell>
          <cell r="F97" t="str">
            <v>Q30</v>
          </cell>
          <cell r="G97" t="str">
            <v>82EN001 Topside switchboard 690V</v>
          </cell>
          <cell r="I97">
            <v>41339</v>
          </cell>
        </row>
        <row r="98">
          <cell r="B98" t="str">
            <v>8201-C03</v>
          </cell>
          <cell r="C98" t="str">
            <v>OS</v>
          </cell>
          <cell r="D98" t="str">
            <v>OS</v>
          </cell>
          <cell r="E98" t="str">
            <v>ZHHI</v>
          </cell>
          <cell r="F98" t="str">
            <v>Q20</v>
          </cell>
          <cell r="G98" t="str">
            <v>82EN003 Heat trace &amp; Living quarters switchboard 690V</v>
          </cell>
          <cell r="I98">
            <v>41339</v>
          </cell>
        </row>
        <row r="99">
          <cell r="B99" t="str">
            <v>8401-C05</v>
          </cell>
          <cell r="C99" t="str">
            <v>OS</v>
          </cell>
          <cell r="D99" t="str">
            <v>OS</v>
          </cell>
          <cell r="E99" t="str">
            <v>ZHHI</v>
          </cell>
          <cell r="F99" t="str">
            <v>Q30</v>
          </cell>
          <cell r="G99" t="str">
            <v>Panel 84JC100 - Node L53 - Emergency generator (Em. Gen. Room)</v>
          </cell>
          <cell r="I99">
            <v>41339</v>
          </cell>
        </row>
        <row r="100">
          <cell r="B100" t="str">
            <v>8503-C04</v>
          </cell>
          <cell r="C100" t="str">
            <v>OS</v>
          </cell>
          <cell r="D100" t="str">
            <v>OS</v>
          </cell>
          <cell r="E100" t="str">
            <v>ZHHI</v>
          </cell>
          <cell r="F100" t="str">
            <v>L10</v>
          </cell>
          <cell r="G100" t="str">
            <v>Navigational Aids</v>
          </cell>
          <cell r="I100">
            <v>41339</v>
          </cell>
        </row>
        <row r="101">
          <cell r="B101" t="str">
            <v>8701-C15</v>
          </cell>
          <cell r="C101" t="str">
            <v>OS</v>
          </cell>
          <cell r="D101" t="str">
            <v>OS</v>
          </cell>
          <cell r="E101" t="str">
            <v>ZHHI</v>
          </cell>
          <cell r="F101" t="str">
            <v>Q30</v>
          </cell>
          <cell r="G101" t="str">
            <v>Panel 87JC009 - Node C09 - 56 Open drain - 57 Closed drain (PCS) (LER)</v>
          </cell>
          <cell r="I101">
            <v>41339</v>
          </cell>
        </row>
        <row r="102">
          <cell r="B102" t="str">
            <v>4301-C03</v>
          </cell>
          <cell r="C102" t="str">
            <v>OS</v>
          </cell>
          <cell r="D102" t="str">
            <v>OS</v>
          </cell>
          <cell r="E102" t="str">
            <v>ZHHI</v>
          </cell>
          <cell r="F102" t="str">
            <v>F10</v>
          </cell>
          <cell r="G102" t="str">
            <v>HP Flare Knockout drum 43VD001 &amp; flare tip 43FC001</v>
          </cell>
          <cell r="I102">
            <v>41340</v>
          </cell>
        </row>
        <row r="103">
          <cell r="B103" t="str">
            <v>5601-C01</v>
          </cell>
          <cell r="C103" t="str">
            <v>OS</v>
          </cell>
          <cell r="D103" t="str">
            <v>OS</v>
          </cell>
          <cell r="E103" t="str">
            <v>ZHHI</v>
          </cell>
          <cell r="F103" t="str">
            <v>G10</v>
          </cell>
          <cell r="G103" t="str">
            <v>Hazardous open drain header</v>
          </cell>
          <cell r="I103">
            <v>41340</v>
          </cell>
        </row>
        <row r="104">
          <cell r="B104" t="str">
            <v>6301-C03</v>
          </cell>
          <cell r="C104" t="str">
            <v>OS</v>
          </cell>
          <cell r="D104" t="str">
            <v>OS</v>
          </cell>
          <cell r="E104" t="str">
            <v>ZHHI</v>
          </cell>
          <cell r="F104" t="str">
            <v>G20</v>
          </cell>
          <cell r="G104" t="str">
            <v>Air compressors C, 63KC001C</v>
          </cell>
          <cell r="I104">
            <v>41340</v>
          </cell>
        </row>
        <row r="105">
          <cell r="B105" t="str">
            <v>7701-C26</v>
          </cell>
          <cell r="C105" t="str">
            <v>OS</v>
          </cell>
          <cell r="D105" t="str">
            <v>OS</v>
          </cell>
          <cell r="E105" t="str">
            <v>ZHHI</v>
          </cell>
          <cell r="F105" t="str">
            <v>Q30</v>
          </cell>
          <cell r="G105" t="str">
            <v>Q30 Battery room A Extract System 77GK136A/B</v>
          </cell>
          <cell r="I105">
            <v>41340</v>
          </cell>
        </row>
        <row r="106">
          <cell r="B106" t="str">
            <v>5701-C01</v>
          </cell>
          <cell r="C106" t="str">
            <v>OS</v>
          </cell>
          <cell r="D106" t="str">
            <v>OS</v>
          </cell>
          <cell r="E106" t="str">
            <v>ZHHI</v>
          </cell>
          <cell r="F106" t="str">
            <v>M20</v>
          </cell>
          <cell r="G106" t="str">
            <v>Closed Drain Header</v>
          </cell>
          <cell r="I106">
            <v>41341</v>
          </cell>
        </row>
        <row r="107">
          <cell r="B107" t="str">
            <v>Comm. package</v>
          </cell>
          <cell r="C107" t="str">
            <v>Comm. st.</v>
          </cell>
          <cell r="D107" t="str">
            <v>MC st.</v>
          </cell>
          <cell r="E107" t="str">
            <v>Comm. resp.</v>
          </cell>
          <cell r="F107" t="str">
            <v>Comm. area</v>
          </cell>
          <cell r="G107" t="str">
            <v>Description</v>
          </cell>
          <cell r="H107" t="str">
            <v>Priority</v>
          </cell>
          <cell r="I107" t="str">
            <v>Planned startup</v>
          </cell>
        </row>
        <row r="108">
          <cell r="B108" t="str">
            <v>8701-C13</v>
          </cell>
          <cell r="C108" t="str">
            <v>OS</v>
          </cell>
          <cell r="D108" t="str">
            <v>OS</v>
          </cell>
          <cell r="E108" t="str">
            <v>ZHHI</v>
          </cell>
          <cell r="F108" t="str">
            <v>Q30</v>
          </cell>
          <cell r="G108" t="str">
            <v>Panel 87JC007 - Node C07 - 52 ballast water (PCS) (LER)</v>
          </cell>
          <cell r="I108">
            <v>41341</v>
          </cell>
        </row>
        <row r="109">
          <cell r="B109" t="str">
            <v>4001-C07</v>
          </cell>
          <cell r="C109" t="str">
            <v>OS</v>
          </cell>
          <cell r="D109" t="str">
            <v>OS</v>
          </cell>
          <cell r="E109" t="str">
            <v>ZHHI</v>
          </cell>
          <cell r="F109" t="str">
            <v>M20</v>
          </cell>
          <cell r="G109" t="str">
            <v>Cooling Medium Circulation Pump 40PA001C</v>
          </cell>
          <cell r="I109">
            <v>41344</v>
          </cell>
        </row>
        <row r="110">
          <cell r="B110" t="str">
            <v>6301-C06</v>
          </cell>
          <cell r="C110" t="str">
            <v>OS</v>
          </cell>
          <cell r="D110" t="str">
            <v>OS</v>
          </cell>
          <cell r="E110" t="str">
            <v>ZHHI</v>
          </cell>
          <cell r="F110" t="str">
            <v>L10</v>
          </cell>
          <cell r="G110" t="str">
            <v>Service Air Distribution, Accomodation, Helideck, North Shaft (Under Accomodation)</v>
          </cell>
          <cell r="I110">
            <v>41344</v>
          </cell>
        </row>
        <row r="111">
          <cell r="B111" t="str">
            <v>6501-C01</v>
          </cell>
          <cell r="C111" t="str">
            <v>OS</v>
          </cell>
          <cell r="D111" t="str">
            <v>OS</v>
          </cell>
          <cell r="E111" t="str">
            <v>ZHHI</v>
          </cell>
          <cell r="F111" t="str">
            <v>M10</v>
          </cell>
          <cell r="G111" t="str">
            <v>Hydraulic Skid, Pump &amp; Accumulator system, Hull</v>
          </cell>
          <cell r="I111">
            <v>41344</v>
          </cell>
        </row>
        <row r="112">
          <cell r="B112" t="str">
            <v>7701-C18</v>
          </cell>
          <cell r="C112" t="str">
            <v>OS</v>
          </cell>
          <cell r="D112" t="str">
            <v>OS</v>
          </cell>
          <cell r="E112" t="str">
            <v>ZHHI</v>
          </cell>
          <cell r="F112" t="str">
            <v>Q20</v>
          </cell>
          <cell r="G112" t="str">
            <v>Q20 E&amp;I Rooms Supply System 77GA102A/B</v>
          </cell>
          <cell r="I112">
            <v>41344</v>
          </cell>
        </row>
        <row r="113">
          <cell r="B113" t="str">
            <v>7701-C27</v>
          </cell>
          <cell r="C113" t="str">
            <v>OS</v>
          </cell>
          <cell r="D113" t="str">
            <v>OS</v>
          </cell>
          <cell r="E113" t="str">
            <v>ZHHI</v>
          </cell>
          <cell r="F113" t="str">
            <v>Q30</v>
          </cell>
          <cell r="G113" t="str">
            <v>Q30 Battery Room B Extract System 77GK137A/B</v>
          </cell>
          <cell r="I113">
            <v>41344</v>
          </cell>
        </row>
        <row r="114">
          <cell r="B114" t="str">
            <v>8401-C04</v>
          </cell>
          <cell r="C114" t="str">
            <v>OS</v>
          </cell>
          <cell r="D114" t="str">
            <v>OS</v>
          </cell>
          <cell r="E114" t="str">
            <v>ZHHI</v>
          </cell>
          <cell r="F114" t="str">
            <v>Q30</v>
          </cell>
          <cell r="G114" t="str">
            <v>84EG001 Emergency generator</v>
          </cell>
          <cell r="I114">
            <v>41344</v>
          </cell>
        </row>
        <row r="115">
          <cell r="B115" t="str">
            <v>5001-C03</v>
          </cell>
          <cell r="C115" t="str">
            <v>OS</v>
          </cell>
          <cell r="D115" t="str">
            <v>OS</v>
          </cell>
          <cell r="E115" t="str">
            <v>ZHHI</v>
          </cell>
          <cell r="F115" t="str">
            <v>G20</v>
          </cell>
          <cell r="G115" t="str">
            <v>Suction &amp; Discharge of Seawater Lift Pumps 50PA004A/B/C</v>
          </cell>
          <cell r="I115">
            <v>41345</v>
          </cell>
        </row>
        <row r="116">
          <cell r="B116" t="str">
            <v>5001-C12</v>
          </cell>
          <cell r="C116" t="str">
            <v>OS</v>
          </cell>
          <cell r="D116" t="str">
            <v>OS</v>
          </cell>
          <cell r="E116" t="str">
            <v>ZHHI</v>
          </cell>
          <cell r="F116" t="str">
            <v>G20</v>
          </cell>
          <cell r="G116" t="str">
            <v>Seawater Lift Pumps 50PA004A</v>
          </cell>
          <cell r="I116">
            <v>41345</v>
          </cell>
        </row>
        <row r="117">
          <cell r="B117" t="str">
            <v>6501-C02</v>
          </cell>
          <cell r="C117" t="str">
            <v>OS</v>
          </cell>
          <cell r="D117" t="str">
            <v>OS</v>
          </cell>
          <cell r="E117" t="str">
            <v>ZHHI</v>
          </cell>
          <cell r="F117" t="str">
            <v>M10</v>
          </cell>
          <cell r="G117" t="str">
            <v>Hydraulic Accumulator system, Topside</v>
          </cell>
          <cell r="I117">
            <v>41345</v>
          </cell>
        </row>
        <row r="118">
          <cell r="B118" t="str">
            <v>8001-C01</v>
          </cell>
          <cell r="C118" t="str">
            <v>OS</v>
          </cell>
          <cell r="D118" t="str">
            <v>OS</v>
          </cell>
          <cell r="E118" t="str">
            <v>ZHHI</v>
          </cell>
          <cell r="F118" t="str">
            <v>M30</v>
          </cell>
          <cell r="G118" t="str">
            <v>80EH001 Main switchgear 110kV</v>
          </cell>
          <cell r="I118">
            <v>41345</v>
          </cell>
        </row>
        <row r="119">
          <cell r="B119" t="str">
            <v>8101-C01</v>
          </cell>
          <cell r="C119" t="str">
            <v>OS</v>
          </cell>
          <cell r="D119" t="str">
            <v>OS</v>
          </cell>
          <cell r="E119" t="str">
            <v>ZHHI</v>
          </cell>
          <cell r="F119" t="str">
            <v>Q30</v>
          </cell>
          <cell r="G119" t="str">
            <v>81ED001 Multi ASDS for HV motors 3,05kV (incl. 81ET001A / 81ET001B)</v>
          </cell>
          <cell r="I119">
            <v>41345</v>
          </cell>
        </row>
        <row r="120">
          <cell r="B120" t="str">
            <v>8201-C05</v>
          </cell>
          <cell r="C120" t="str">
            <v>OS</v>
          </cell>
          <cell r="D120" t="str">
            <v>OS</v>
          </cell>
          <cell r="E120" t="str">
            <v>ZHHI</v>
          </cell>
          <cell r="F120" t="str">
            <v>L10</v>
          </cell>
          <cell r="G120" t="str">
            <v>82EL004 Living quarters switchboard 400/230V</v>
          </cell>
          <cell r="I120">
            <v>41345</v>
          </cell>
        </row>
        <row r="121">
          <cell r="B121" t="str">
            <v>8201-C06</v>
          </cell>
          <cell r="C121" t="str">
            <v>OS</v>
          </cell>
          <cell r="D121" t="str">
            <v>OS</v>
          </cell>
          <cell r="E121" t="str">
            <v>ZHHI</v>
          </cell>
          <cell r="F121" t="str">
            <v>Q34</v>
          </cell>
          <cell r="G121" t="str">
            <v>82EL001 Topside switchboard 400/230V</v>
          </cell>
          <cell r="I121">
            <v>41345</v>
          </cell>
        </row>
        <row r="122">
          <cell r="B122" t="str">
            <v>8401-C07</v>
          </cell>
          <cell r="C122" t="str">
            <v>OS</v>
          </cell>
          <cell r="D122" t="str">
            <v>OS</v>
          </cell>
          <cell r="E122" t="str">
            <v>ZHHI</v>
          </cell>
          <cell r="F122" t="str">
            <v>L10</v>
          </cell>
          <cell r="G122" t="str">
            <v>84EL011 Emergency distr. board and lighting &amp; small power LQ (L11)</v>
          </cell>
          <cell r="I122">
            <v>41345</v>
          </cell>
        </row>
        <row r="123">
          <cell r="B123" t="str">
            <v>8701-C17</v>
          </cell>
          <cell r="C123" t="str">
            <v>OS</v>
          </cell>
          <cell r="D123" t="str">
            <v>OS</v>
          </cell>
          <cell r="E123" t="str">
            <v>ZHHI</v>
          </cell>
          <cell r="F123" t="str">
            <v>Q30</v>
          </cell>
          <cell r="G123" t="str">
            <v>Panel 87JC011 - Node C11 - 62 Diesel oil (PCS) (LER)</v>
          </cell>
          <cell r="I123">
            <v>41345</v>
          </cell>
        </row>
        <row r="124">
          <cell r="B124" t="str">
            <v>Comm. package</v>
          </cell>
          <cell r="C124" t="str">
            <v>Comm. st.</v>
          </cell>
          <cell r="D124" t="str">
            <v>MC st.</v>
          </cell>
          <cell r="E124" t="str">
            <v>Comm. resp.</v>
          </cell>
          <cell r="F124" t="str">
            <v>Comm. area</v>
          </cell>
          <cell r="G124" t="str">
            <v>Description</v>
          </cell>
          <cell r="H124" t="str">
            <v>Priority</v>
          </cell>
          <cell r="I124" t="str">
            <v>Planned startup</v>
          </cell>
        </row>
        <row r="125">
          <cell r="B125" t="str">
            <v>8701-C20</v>
          </cell>
          <cell r="C125" t="str">
            <v>OS</v>
          </cell>
          <cell r="D125" t="str">
            <v>OS</v>
          </cell>
          <cell r="E125" t="str">
            <v>ZHHI</v>
          </cell>
          <cell r="F125" t="str">
            <v>Q30</v>
          </cell>
          <cell r="G125" t="str">
            <v>Panel 87JC015 - Node C15 - 33 Offloading (PCS) (LER)</v>
          </cell>
          <cell r="I125">
            <v>41345</v>
          </cell>
        </row>
        <row r="126">
          <cell r="B126" t="str">
            <v>2301-C06</v>
          </cell>
          <cell r="C126" t="str">
            <v>OS</v>
          </cell>
          <cell r="D126" t="str">
            <v>OS</v>
          </cell>
          <cell r="E126" t="str">
            <v>ZHHI</v>
          </cell>
          <cell r="F126" t="str">
            <v>Q32LER</v>
          </cell>
          <cell r="G126" t="str">
            <v>Panel 23JC001- UCP Antisurge Node 40/44 (PCS)(LER)</v>
          </cell>
          <cell r="I126">
            <v>41347</v>
          </cell>
        </row>
        <row r="127">
          <cell r="B127" t="str">
            <v>8201-C11</v>
          </cell>
          <cell r="C127" t="str">
            <v>OS</v>
          </cell>
          <cell r="D127" t="str">
            <v>OS</v>
          </cell>
          <cell r="E127" t="str">
            <v>ZHHI</v>
          </cell>
          <cell r="F127" t="str">
            <v>L10</v>
          </cell>
          <cell r="G127" t="str">
            <v>82EL011 Normal distr. board and lighting &amp; small power LQ (L11)</v>
          </cell>
          <cell r="I127">
            <v>41347</v>
          </cell>
        </row>
        <row r="128">
          <cell r="B128" t="str">
            <v>8202-C01</v>
          </cell>
          <cell r="C128" t="str">
            <v>OS</v>
          </cell>
          <cell r="D128" t="str">
            <v>OS</v>
          </cell>
          <cell r="E128" t="str">
            <v>ZHHI</v>
          </cell>
          <cell r="F128" t="str">
            <v>Q30</v>
          </cell>
          <cell r="G128" t="str">
            <v>82EL003 Lighting &amp; Small power, Topside,Utility Area,A3-2</v>
          </cell>
          <cell r="I128">
            <v>41347</v>
          </cell>
        </row>
        <row r="129">
          <cell r="B129" t="str">
            <v>8701-C36</v>
          </cell>
          <cell r="C129" t="str">
            <v>OS</v>
          </cell>
          <cell r="D129" t="str">
            <v>OS</v>
          </cell>
          <cell r="E129" t="str">
            <v>ZHHI</v>
          </cell>
          <cell r="F129" t="str">
            <v>G20</v>
          </cell>
          <cell r="G129" t="str">
            <v>PCS Junction Boxes and Multicore cables Hull</v>
          </cell>
          <cell r="I129">
            <v>41347</v>
          </cell>
        </row>
        <row r="130">
          <cell r="B130" t="str">
            <v>8701-C37</v>
          </cell>
          <cell r="C130" t="str">
            <v>OS</v>
          </cell>
          <cell r="D130" t="str">
            <v>OS</v>
          </cell>
          <cell r="E130" t="str">
            <v>ZHHI</v>
          </cell>
          <cell r="F130" t="str">
            <v>P10</v>
          </cell>
          <cell r="G130" t="str">
            <v>PCS Junction Boxes and Multicore cables Topside</v>
          </cell>
          <cell r="I130">
            <v>41347</v>
          </cell>
        </row>
        <row r="131">
          <cell r="B131" t="str">
            <v>8701-C38</v>
          </cell>
          <cell r="C131" t="str">
            <v>OS</v>
          </cell>
          <cell r="D131" t="str">
            <v>OS</v>
          </cell>
          <cell r="E131" t="str">
            <v>ZHHI</v>
          </cell>
          <cell r="F131" t="str">
            <v>L10</v>
          </cell>
          <cell r="G131" t="str">
            <v>PCS Junction Boxes and Multicore cables LQ</v>
          </cell>
          <cell r="I131">
            <v>41347</v>
          </cell>
        </row>
        <row r="132">
          <cell r="B132" t="str">
            <v>8702-C01</v>
          </cell>
          <cell r="C132" t="str">
            <v>OS</v>
          </cell>
          <cell r="D132" t="str">
            <v>OS</v>
          </cell>
          <cell r="E132" t="str">
            <v>ZHHI</v>
          </cell>
          <cell r="F132" t="str">
            <v>Q30</v>
          </cell>
          <cell r="G132" t="str">
            <v>Panel 87JC050/51 - Node P30 (PSD) (LER)</v>
          </cell>
          <cell r="I132">
            <v>41347</v>
          </cell>
        </row>
        <row r="133">
          <cell r="B133" t="str">
            <v>8702-C11</v>
          </cell>
          <cell r="C133" t="str">
            <v>OS</v>
          </cell>
          <cell r="D133" t="str">
            <v>OS</v>
          </cell>
          <cell r="E133" t="str">
            <v>ZHHI</v>
          </cell>
          <cell r="F133" t="str">
            <v>G20</v>
          </cell>
          <cell r="G133" t="str">
            <v>PSD Junction Boxes and Multicore cables Hull</v>
          </cell>
          <cell r="I133">
            <v>41347</v>
          </cell>
        </row>
        <row r="134">
          <cell r="B134" t="str">
            <v>8702-C12</v>
          </cell>
          <cell r="C134" t="str">
            <v>OS</v>
          </cell>
          <cell r="D134" t="str">
            <v>OS</v>
          </cell>
          <cell r="E134" t="str">
            <v>ZHHI</v>
          </cell>
          <cell r="F134" t="str">
            <v>P10</v>
          </cell>
          <cell r="G134" t="str">
            <v>PSD Junction Boxes and Multicore cables Topside</v>
          </cell>
          <cell r="I134">
            <v>41347</v>
          </cell>
        </row>
        <row r="135">
          <cell r="B135" t="str">
            <v>8702-C13</v>
          </cell>
          <cell r="C135" t="str">
            <v>OS</v>
          </cell>
          <cell r="D135" t="str">
            <v>OS</v>
          </cell>
          <cell r="E135" t="str">
            <v>ZHHI</v>
          </cell>
          <cell r="F135" t="str">
            <v>L10</v>
          </cell>
          <cell r="G135" t="str">
            <v>PSD Junction Boxes and Multicore cables LQ</v>
          </cell>
          <cell r="I135">
            <v>41347</v>
          </cell>
        </row>
        <row r="136">
          <cell r="B136" t="str">
            <v>6201-C03</v>
          </cell>
          <cell r="C136" t="str">
            <v>OS</v>
          </cell>
          <cell r="D136" t="str">
            <v>OS</v>
          </cell>
          <cell r="E136" t="str">
            <v>ZHHI</v>
          </cell>
          <cell r="F136" t="str">
            <v>N10</v>
          </cell>
          <cell r="G136" t="str">
            <v>Diesel purifier pumps 62PG003A/B &amp; Purifire unit 62XX001 + drain lines</v>
          </cell>
          <cell r="I136">
            <v>41348</v>
          </cell>
        </row>
        <row r="137">
          <cell r="B137" t="str">
            <v>8401-C08</v>
          </cell>
          <cell r="C137" t="str">
            <v>OS</v>
          </cell>
          <cell r="D137" t="str">
            <v>OS</v>
          </cell>
          <cell r="E137" t="str">
            <v>ZHHI</v>
          </cell>
          <cell r="F137" t="str">
            <v>L10</v>
          </cell>
          <cell r="G137" t="str">
            <v>84EL012 Emergency distr. board and lighting &amp; small power LQ (L12)</v>
          </cell>
          <cell r="I137">
            <v>41348</v>
          </cell>
        </row>
        <row r="138">
          <cell r="B138" t="str">
            <v>5001-C13</v>
          </cell>
          <cell r="C138" t="str">
            <v>OS</v>
          </cell>
          <cell r="D138" t="str">
            <v>OS</v>
          </cell>
          <cell r="E138" t="str">
            <v>ZHHI</v>
          </cell>
          <cell r="F138" t="str">
            <v>G20</v>
          </cell>
          <cell r="G138" t="str">
            <v>Seawater Lift Pumps 50PA004B</v>
          </cell>
          <cell r="I138">
            <v>41349</v>
          </cell>
        </row>
        <row r="139">
          <cell r="B139" t="str">
            <v>6301-C07</v>
          </cell>
          <cell r="C139" t="str">
            <v>OS</v>
          </cell>
          <cell r="D139" t="str">
            <v>OS</v>
          </cell>
          <cell r="E139" t="str">
            <v>ZHHI</v>
          </cell>
          <cell r="F139" t="str">
            <v>G20</v>
          </cell>
          <cell r="G139" t="str">
            <v>Service Air Distribution, Central Shaft</v>
          </cell>
          <cell r="I139">
            <v>41349</v>
          </cell>
        </row>
        <row r="140">
          <cell r="B140" t="str">
            <v>6401-C01</v>
          </cell>
          <cell r="C140" t="str">
            <v>OS</v>
          </cell>
          <cell r="D140" t="str">
            <v>OS</v>
          </cell>
          <cell r="E140" t="str">
            <v>ZHHI</v>
          </cell>
          <cell r="F140" t="str">
            <v>G20</v>
          </cell>
          <cell r="G140" t="str">
            <v>Nitrogen generator, 64XY001</v>
          </cell>
          <cell r="I140">
            <v>41349</v>
          </cell>
        </row>
        <row r="141">
          <cell r="B141" t="str">
            <v>Comm. package</v>
          </cell>
          <cell r="C141" t="str">
            <v>Comm. st.</v>
          </cell>
          <cell r="D141" t="str">
            <v>MC st.</v>
          </cell>
          <cell r="E141" t="str">
            <v>Comm. resp.</v>
          </cell>
          <cell r="F141" t="str">
            <v>Comm. area</v>
          </cell>
          <cell r="G141" t="str">
            <v>Description</v>
          </cell>
          <cell r="H141" t="str">
            <v>Priority</v>
          </cell>
          <cell r="I141" t="str">
            <v>Planned startup</v>
          </cell>
        </row>
        <row r="142">
          <cell r="B142" t="str">
            <v>8702-C02</v>
          </cell>
          <cell r="C142" t="str">
            <v>OS</v>
          </cell>
          <cell r="D142" t="str">
            <v>OS</v>
          </cell>
          <cell r="E142" t="str">
            <v>ZHHI</v>
          </cell>
          <cell r="F142" t="str">
            <v>Q30</v>
          </cell>
          <cell r="G142" t="str">
            <v>Panel 87JC052/53 - Node P31 (PSD) (LER)</v>
          </cell>
          <cell r="I142">
            <v>41349</v>
          </cell>
        </row>
        <row r="143">
          <cell r="B143" t="str">
            <v>4301-C02</v>
          </cell>
          <cell r="C143" t="str">
            <v>OS</v>
          </cell>
          <cell r="D143" t="str">
            <v>OS</v>
          </cell>
          <cell r="E143" t="str">
            <v>ZHHI</v>
          </cell>
          <cell r="F143" t="str">
            <v>F10</v>
          </cell>
          <cell r="G143" t="str">
            <v>LP flare header</v>
          </cell>
          <cell r="I143">
            <v>41350</v>
          </cell>
        </row>
        <row r="144">
          <cell r="B144" t="str">
            <v>2301-C05</v>
          </cell>
          <cell r="C144" t="str">
            <v>OS</v>
          </cell>
          <cell r="D144" t="str">
            <v>OS</v>
          </cell>
          <cell r="E144" t="str">
            <v>ZHHI</v>
          </cell>
          <cell r="F144" t="str">
            <v>P40</v>
          </cell>
          <cell r="G144" t="str">
            <v>Lube Oil System Recomp. 23KA001/002</v>
          </cell>
          <cell r="I144">
            <v>41351</v>
          </cell>
        </row>
        <row r="145">
          <cell r="B145" t="str">
            <v>2301-C07</v>
          </cell>
          <cell r="C145" t="str">
            <v>OS</v>
          </cell>
          <cell r="D145" t="str">
            <v>OS</v>
          </cell>
          <cell r="E145" t="str">
            <v>ZHHI</v>
          </cell>
          <cell r="F145" t="str">
            <v>Q32LER</v>
          </cell>
          <cell r="G145" t="str">
            <v>Panel 23JC002 - Vibration Monitoring (PCS)(LER)</v>
          </cell>
          <cell r="I145">
            <v>41351</v>
          </cell>
        </row>
        <row r="146">
          <cell r="B146" t="str">
            <v>8201-C12</v>
          </cell>
          <cell r="C146" t="str">
            <v>OS</v>
          </cell>
          <cell r="D146" t="str">
            <v>OS</v>
          </cell>
          <cell r="E146" t="str">
            <v>ZHHI</v>
          </cell>
          <cell r="F146" t="str">
            <v>L10</v>
          </cell>
          <cell r="G146" t="str">
            <v>82EL012 Normal distr. board and lighting &amp; small power LQ (L12)</v>
          </cell>
          <cell r="I146">
            <v>41351</v>
          </cell>
        </row>
        <row r="147">
          <cell r="B147" t="str">
            <v>7701-C11</v>
          </cell>
          <cell r="C147" t="str">
            <v>OS</v>
          </cell>
          <cell r="D147" t="str">
            <v>OS</v>
          </cell>
          <cell r="E147" t="str">
            <v>ZHHI</v>
          </cell>
          <cell r="F147" t="str">
            <v>L10</v>
          </cell>
          <cell r="G147" t="str">
            <v>LQ Battery Room Extract System 77GK127A/B</v>
          </cell>
          <cell r="I147">
            <v>41352</v>
          </cell>
        </row>
        <row r="148">
          <cell r="B148" t="str">
            <v>7701-C19</v>
          </cell>
          <cell r="C148" t="str">
            <v>OS</v>
          </cell>
          <cell r="D148" t="str">
            <v>OS</v>
          </cell>
          <cell r="E148" t="str">
            <v>ZHHI</v>
          </cell>
          <cell r="F148" t="str">
            <v>Q30</v>
          </cell>
          <cell r="G148" t="str">
            <v>Q30 E&amp;I Rooms Supply System 77GA103A/B</v>
          </cell>
          <cell r="I148">
            <v>41352</v>
          </cell>
        </row>
        <row r="149">
          <cell r="B149" t="str">
            <v>8202-C02</v>
          </cell>
          <cell r="C149" t="str">
            <v>OS</v>
          </cell>
          <cell r="D149" t="str">
            <v>OS</v>
          </cell>
          <cell r="E149" t="str">
            <v>ZHHI</v>
          </cell>
          <cell r="F149" t="str">
            <v>P20</v>
          </cell>
          <cell r="G149" t="str">
            <v>82EL003 Lighting and Small Power Topside P20,P30,A3-1</v>
          </cell>
          <cell r="I149">
            <v>41352</v>
          </cell>
        </row>
        <row r="150">
          <cell r="B150" t="str">
            <v>2301-C01</v>
          </cell>
          <cell r="C150" t="str">
            <v>OS</v>
          </cell>
          <cell r="D150" t="str">
            <v>OS</v>
          </cell>
          <cell r="E150" t="str">
            <v>ZHHI</v>
          </cell>
          <cell r="F150" t="str">
            <v>P40</v>
          </cell>
          <cell r="G150" t="str">
            <v>1 st Stage Recomp Coolers, 23HJ001, 23HJ002 &amp; Scrubbers 23VG001, 23VG002</v>
          </cell>
          <cell r="I150">
            <v>41353</v>
          </cell>
        </row>
        <row r="151">
          <cell r="B151" t="str">
            <v>6301-C08</v>
          </cell>
          <cell r="C151" t="str">
            <v>OS</v>
          </cell>
          <cell r="D151" t="str">
            <v>OS</v>
          </cell>
          <cell r="E151" t="str">
            <v>ZHHI</v>
          </cell>
          <cell r="F151" t="str">
            <v>P10</v>
          </cell>
          <cell r="G151" t="str">
            <v>Service Air Distribution, Process Deck, Main Deck</v>
          </cell>
          <cell r="I151">
            <v>41353</v>
          </cell>
        </row>
        <row r="152">
          <cell r="B152" t="str">
            <v>6501-C03</v>
          </cell>
          <cell r="C152" t="str">
            <v>OS</v>
          </cell>
          <cell r="D152" t="str">
            <v>OS</v>
          </cell>
          <cell r="E152" t="str">
            <v>ZHHI</v>
          </cell>
          <cell r="F152" t="str">
            <v>G20</v>
          </cell>
          <cell r="G152" t="str">
            <v>Hydraulic supply/return, Hull</v>
          </cell>
          <cell r="I152">
            <v>41353</v>
          </cell>
        </row>
        <row r="153">
          <cell r="B153" t="str">
            <v>8401-C09</v>
          </cell>
          <cell r="C153" t="str">
            <v>OS</v>
          </cell>
          <cell r="D153" t="str">
            <v>OS</v>
          </cell>
          <cell r="E153" t="str">
            <v>ZHHI</v>
          </cell>
          <cell r="F153" t="str">
            <v>L10</v>
          </cell>
          <cell r="G153" t="str">
            <v>84EL013 Emergency distr. board and lighting &amp; small power LQ (L13)</v>
          </cell>
          <cell r="I153">
            <v>41353</v>
          </cell>
        </row>
        <row r="154">
          <cell r="B154" t="str">
            <v>8702-C03</v>
          </cell>
          <cell r="C154" t="str">
            <v>OS</v>
          </cell>
          <cell r="D154" t="str">
            <v>OS</v>
          </cell>
          <cell r="E154" t="str">
            <v>ZHHI</v>
          </cell>
          <cell r="F154" t="str">
            <v>Q30</v>
          </cell>
          <cell r="G154" t="str">
            <v>Panel 87JC054/55 - Node P32 (PSD) (LER)</v>
          </cell>
          <cell r="I154">
            <v>41353</v>
          </cell>
        </row>
        <row r="155">
          <cell r="B155" t="str">
            <v>2701-C18</v>
          </cell>
          <cell r="C155" t="str">
            <v>OS</v>
          </cell>
          <cell r="D155" t="str">
            <v>OS</v>
          </cell>
          <cell r="E155" t="str">
            <v>ZHHI</v>
          </cell>
          <cell r="F155" t="str">
            <v>Q32LER</v>
          </cell>
          <cell r="G155" t="str">
            <v>Panel 27JC007 - UCP Antisurge Node 43/47 (PCS)(LER)</v>
          </cell>
          <cell r="I155">
            <v>41354</v>
          </cell>
        </row>
        <row r="156">
          <cell r="B156" t="str">
            <v>5001-C14</v>
          </cell>
          <cell r="C156" t="str">
            <v>OS</v>
          </cell>
          <cell r="D156" t="str">
            <v>OS</v>
          </cell>
          <cell r="E156" t="str">
            <v>ZHHI</v>
          </cell>
          <cell r="F156" t="str">
            <v>G20</v>
          </cell>
          <cell r="G156" t="str">
            <v>Seawater Lift Pumps 50PA004C</v>
          </cell>
          <cell r="I156">
            <v>41354</v>
          </cell>
        </row>
        <row r="157">
          <cell r="B157" t="str">
            <v>8201-C13</v>
          </cell>
          <cell r="C157" t="str">
            <v>OS</v>
          </cell>
          <cell r="D157" t="str">
            <v>OS</v>
          </cell>
          <cell r="E157" t="str">
            <v>ZHHI</v>
          </cell>
          <cell r="F157" t="str">
            <v>L10</v>
          </cell>
          <cell r="G157" t="str">
            <v>82EL013 Normal distr. board and lighting &amp; small power LQ (L13)</v>
          </cell>
          <cell r="I157">
            <v>41355</v>
          </cell>
        </row>
        <row r="158">
          <cell r="B158" t="str">
            <v>Comm. package</v>
          </cell>
          <cell r="C158" t="str">
            <v>Comm. st.</v>
          </cell>
          <cell r="D158" t="str">
            <v>MC st.</v>
          </cell>
          <cell r="E158" t="str">
            <v>Comm. resp.</v>
          </cell>
          <cell r="F158" t="str">
            <v>Comm. area</v>
          </cell>
          <cell r="G158" t="str">
            <v>Description</v>
          </cell>
          <cell r="H158" t="str">
            <v>Priority</v>
          </cell>
          <cell r="I158" t="str">
            <v>Planned startup</v>
          </cell>
        </row>
        <row r="159">
          <cell r="B159" t="str">
            <v>8702-C04</v>
          </cell>
          <cell r="C159" t="str">
            <v>OS</v>
          </cell>
          <cell r="D159" t="str">
            <v>OS</v>
          </cell>
          <cell r="E159" t="str">
            <v>ZHHI</v>
          </cell>
          <cell r="F159" t="str">
            <v>Q30</v>
          </cell>
          <cell r="G159" t="str">
            <v>Panel 87JC056/57 - Node P33 (PSD) (LER)</v>
          </cell>
          <cell r="I159">
            <v>41355</v>
          </cell>
        </row>
        <row r="160">
          <cell r="B160" t="str">
            <v>8202-C03</v>
          </cell>
          <cell r="C160" t="str">
            <v>OS</v>
          </cell>
          <cell r="D160" t="str">
            <v>OS</v>
          </cell>
          <cell r="E160" t="str">
            <v>ZHHI</v>
          </cell>
          <cell r="F160" t="str">
            <v>P10</v>
          </cell>
          <cell r="G160" t="str">
            <v>82EL003 Lighting and Small Power Topside P10,A2-2</v>
          </cell>
          <cell r="I160">
            <v>41356</v>
          </cell>
        </row>
        <row r="161">
          <cell r="B161" t="str">
            <v>5001-C01</v>
          </cell>
          <cell r="C161" t="str">
            <v>OS</v>
          </cell>
          <cell r="D161" t="str">
            <v>OS</v>
          </cell>
          <cell r="E161" t="str">
            <v>ZHHI</v>
          </cell>
          <cell r="F161" t="str">
            <v>N10</v>
          </cell>
          <cell r="G161" t="str">
            <v>Suction &amp; Discharge of Seawater Cooling Pumps 50PA001A/B</v>
          </cell>
          <cell r="I161">
            <v>41358</v>
          </cell>
        </row>
        <row r="162">
          <cell r="B162" t="str">
            <v>6301-C09</v>
          </cell>
          <cell r="C162" t="str">
            <v>OS</v>
          </cell>
          <cell r="D162" t="str">
            <v>OS</v>
          </cell>
          <cell r="E162" t="str">
            <v>ZHHI</v>
          </cell>
          <cell r="F162" t="str">
            <v>P10</v>
          </cell>
          <cell r="G162" t="str">
            <v>Instrument Air for Breathing Connections, Hull &amp; Topside</v>
          </cell>
          <cell r="I162">
            <v>41358</v>
          </cell>
        </row>
        <row r="163">
          <cell r="B163" t="str">
            <v>8401-C10</v>
          </cell>
          <cell r="C163" t="str">
            <v>OS</v>
          </cell>
          <cell r="D163" t="str">
            <v>OS</v>
          </cell>
          <cell r="E163" t="str">
            <v>ZHHI</v>
          </cell>
          <cell r="F163" t="str">
            <v>L10</v>
          </cell>
          <cell r="G163" t="str">
            <v>84EL014 Emergency distr. board and lighting &amp; small power LQ (L14)</v>
          </cell>
          <cell r="I163">
            <v>41358</v>
          </cell>
        </row>
        <row r="164">
          <cell r="B164" t="str">
            <v>2701-C19</v>
          </cell>
          <cell r="C164" t="str">
            <v>OS</v>
          </cell>
          <cell r="D164" t="str">
            <v>OS</v>
          </cell>
          <cell r="E164" t="str">
            <v>ZHHI</v>
          </cell>
          <cell r="F164" t="str">
            <v>Q32LER</v>
          </cell>
          <cell r="G164" t="str">
            <v>Panel 27JC008 - Vibration Monitoring (PCS)(LER)</v>
          </cell>
          <cell r="I164">
            <v>41359</v>
          </cell>
        </row>
        <row r="165">
          <cell r="B165" t="str">
            <v>5001-C10</v>
          </cell>
          <cell r="C165" t="str">
            <v>OS</v>
          </cell>
          <cell r="D165" t="str">
            <v>OS</v>
          </cell>
          <cell r="E165" t="str">
            <v>ZHHI</v>
          </cell>
          <cell r="F165" t="str">
            <v>N10</v>
          </cell>
          <cell r="G165" t="str">
            <v>Seawater Cooling Pump 50PA001A</v>
          </cell>
          <cell r="I165">
            <v>41359</v>
          </cell>
        </row>
        <row r="166">
          <cell r="B166" t="str">
            <v>8001-C04</v>
          </cell>
          <cell r="C166" t="str">
            <v>OS</v>
          </cell>
          <cell r="D166" t="str">
            <v>OS</v>
          </cell>
          <cell r="E166" t="str">
            <v>ZHHI</v>
          </cell>
          <cell r="F166" t="str">
            <v>Q20</v>
          </cell>
          <cell r="G166" t="str">
            <v>Panel 80EC100,80JC100 Node L52 - Turbin generator (LER Turbin)</v>
          </cell>
          <cell r="I166">
            <v>41359</v>
          </cell>
        </row>
        <row r="167">
          <cell r="B167" t="str">
            <v>8101-C02</v>
          </cell>
          <cell r="C167" t="str">
            <v>OS</v>
          </cell>
          <cell r="D167" t="str">
            <v>OS</v>
          </cell>
          <cell r="E167" t="str">
            <v>ZHHI</v>
          </cell>
          <cell r="F167" t="str">
            <v>Q30</v>
          </cell>
          <cell r="G167" t="str">
            <v>81ED002 Multi ASDS for HV motors 3,05kV (incl. 81ET002A / 81ET002B)</v>
          </cell>
          <cell r="I167">
            <v>41359</v>
          </cell>
        </row>
        <row r="168">
          <cell r="B168" t="str">
            <v>8702-C05</v>
          </cell>
          <cell r="C168" t="str">
            <v>OS</v>
          </cell>
          <cell r="D168" t="str">
            <v>OS</v>
          </cell>
          <cell r="E168" t="str">
            <v>ZHHI</v>
          </cell>
          <cell r="F168" t="str">
            <v>Q30</v>
          </cell>
          <cell r="G168" t="str">
            <v>Panel 87JC058/59 - Node P34 (PSD) (LER)</v>
          </cell>
          <cell r="I168">
            <v>41359</v>
          </cell>
        </row>
        <row r="169">
          <cell r="B169" t="str">
            <v>4202-C02</v>
          </cell>
          <cell r="C169" t="str">
            <v>OS</v>
          </cell>
          <cell r="D169" t="str">
            <v>OS</v>
          </cell>
          <cell r="E169" t="str">
            <v>ZHHI</v>
          </cell>
          <cell r="F169" t="str">
            <v>M10</v>
          </cell>
          <cell r="G169" t="str">
            <v>Seal Barrier Fluid system 42CS003</v>
          </cell>
          <cell r="I169">
            <v>41360</v>
          </cell>
        </row>
        <row r="170">
          <cell r="B170" t="str">
            <v>5701-C02</v>
          </cell>
          <cell r="C170" t="str">
            <v>OS</v>
          </cell>
          <cell r="D170" t="str">
            <v>OS</v>
          </cell>
          <cell r="E170" t="str">
            <v>ZHHI</v>
          </cell>
          <cell r="F170" t="str">
            <v>M20</v>
          </cell>
          <cell r="G170" t="str">
            <v>Closed Drain Drum, 57VD001</v>
          </cell>
          <cell r="I170">
            <v>41360</v>
          </cell>
        </row>
        <row r="171">
          <cell r="B171" t="str">
            <v>6501-C04</v>
          </cell>
          <cell r="C171" t="str">
            <v>OS</v>
          </cell>
          <cell r="D171" t="str">
            <v>OS</v>
          </cell>
          <cell r="E171" t="str">
            <v>ZHHI</v>
          </cell>
          <cell r="F171" t="str">
            <v>G20</v>
          </cell>
          <cell r="G171" t="str">
            <v>Hydraulic supply/return, Hull</v>
          </cell>
          <cell r="I171">
            <v>41360</v>
          </cell>
        </row>
        <row r="172">
          <cell r="B172" t="str">
            <v>7701-C41</v>
          </cell>
          <cell r="C172" t="str">
            <v>OS</v>
          </cell>
          <cell r="D172" t="str">
            <v>OS</v>
          </cell>
          <cell r="E172" t="str">
            <v>ZHHI</v>
          </cell>
          <cell r="F172" t="str">
            <v>Q20</v>
          </cell>
          <cell r="G172" t="str">
            <v>Q20 Main Transformer room System 77GK146A/B</v>
          </cell>
          <cell r="I172">
            <v>41360</v>
          </cell>
        </row>
        <row r="173">
          <cell r="B173" t="str">
            <v>8201-C14</v>
          </cell>
          <cell r="C173" t="str">
            <v>OS</v>
          </cell>
          <cell r="D173" t="str">
            <v>OS</v>
          </cell>
          <cell r="E173" t="str">
            <v>ZHHI</v>
          </cell>
          <cell r="F173" t="str">
            <v>L10</v>
          </cell>
          <cell r="G173" t="str">
            <v>82EL014 Normal distr. board and lighting &amp; small power LQ (L14)</v>
          </cell>
          <cell r="I173">
            <v>41360</v>
          </cell>
        </row>
        <row r="174">
          <cell r="B174" t="str">
            <v>8202-C04</v>
          </cell>
          <cell r="C174" t="str">
            <v>OS</v>
          </cell>
          <cell r="D174" t="str">
            <v>OS</v>
          </cell>
          <cell r="E174" t="str">
            <v>ZHHI</v>
          </cell>
          <cell r="F174" t="str">
            <v>P10</v>
          </cell>
          <cell r="G174" t="str">
            <v>82EL003 Lighting and Small Power Topside Main Deck,A2-1</v>
          </cell>
          <cell r="I174">
            <v>41361</v>
          </cell>
        </row>
        <row r="175">
          <cell r="B175" t="str">
            <v>Comm. package</v>
          </cell>
          <cell r="C175" t="str">
            <v>Comm. st.</v>
          </cell>
          <cell r="D175" t="str">
            <v>MC st.</v>
          </cell>
          <cell r="E175" t="str">
            <v>Comm. resp.</v>
          </cell>
          <cell r="F175" t="str">
            <v>Comm. area</v>
          </cell>
          <cell r="G175" t="str">
            <v>Description</v>
          </cell>
          <cell r="H175" t="str">
            <v>Priority</v>
          </cell>
          <cell r="I175" t="str">
            <v>Planned startup</v>
          </cell>
        </row>
        <row r="176">
          <cell r="B176" t="str">
            <v>8702-C06</v>
          </cell>
          <cell r="C176" t="str">
            <v>OS</v>
          </cell>
          <cell r="D176" t="str">
            <v>OS</v>
          </cell>
          <cell r="E176" t="str">
            <v>ZHHI</v>
          </cell>
          <cell r="F176" t="str">
            <v>Q30</v>
          </cell>
          <cell r="G176" t="str">
            <v>Panel 87JC060/61 - Node P35 (PSD) (LER)</v>
          </cell>
          <cell r="I176">
            <v>41361</v>
          </cell>
        </row>
        <row r="177">
          <cell r="B177" t="str">
            <v>2701-C14</v>
          </cell>
          <cell r="C177" t="str">
            <v>OS</v>
          </cell>
          <cell r="D177" t="str">
            <v>OS</v>
          </cell>
          <cell r="E177" t="str">
            <v>ZHHI</v>
          </cell>
          <cell r="F177" t="str">
            <v>Q32LER</v>
          </cell>
          <cell r="G177" t="str">
            <v>Panel 27JC003 - UCP Antisurge Node 41/45 (PCS)(LER)</v>
          </cell>
          <cell r="I177">
            <v>41362</v>
          </cell>
        </row>
        <row r="178">
          <cell r="B178" t="str">
            <v>4202-C05</v>
          </cell>
          <cell r="C178" t="str">
            <v>OS</v>
          </cell>
          <cell r="D178" t="str">
            <v>OS</v>
          </cell>
          <cell r="E178" t="str">
            <v>ZHHI</v>
          </cell>
          <cell r="F178" t="str">
            <v>G10</v>
          </cell>
          <cell r="G178" t="str">
            <v>Seal Barrier Fluid system 42CS006</v>
          </cell>
          <cell r="I178">
            <v>41362</v>
          </cell>
        </row>
        <row r="179">
          <cell r="B179" t="str">
            <v>4301-C05</v>
          </cell>
          <cell r="C179" t="str">
            <v>OS</v>
          </cell>
          <cell r="D179" t="str">
            <v>OS</v>
          </cell>
          <cell r="E179" t="str">
            <v>ZHHI</v>
          </cell>
          <cell r="F179" t="str">
            <v>F10</v>
          </cell>
          <cell r="G179" t="str">
            <v>LP Flare Knockout drum 43VD002 &amp; flare tip 43FC002</v>
          </cell>
          <cell r="I179">
            <v>41362</v>
          </cell>
        </row>
        <row r="180">
          <cell r="B180" t="str">
            <v>6201-C04</v>
          </cell>
          <cell r="C180" t="str">
            <v>OS</v>
          </cell>
          <cell r="D180" t="str">
            <v>OS</v>
          </cell>
          <cell r="E180" t="str">
            <v>ZHHI</v>
          </cell>
          <cell r="F180" t="str">
            <v>N10</v>
          </cell>
          <cell r="G180" t="str">
            <v>Diesel service tanks 62TB003/4 and supply pumps 62PA002A/B</v>
          </cell>
          <cell r="I180">
            <v>41362</v>
          </cell>
        </row>
        <row r="181">
          <cell r="B181" t="str">
            <v>6401-C03</v>
          </cell>
          <cell r="C181" t="str">
            <v>OS</v>
          </cell>
          <cell r="D181" t="str">
            <v>OS</v>
          </cell>
          <cell r="E181" t="str">
            <v>ZHHI</v>
          </cell>
          <cell r="F181" t="str">
            <v>G20</v>
          </cell>
          <cell r="G181" t="str">
            <v>Nitrogen Compressor, 64KB001</v>
          </cell>
          <cell r="I181">
            <v>41362</v>
          </cell>
        </row>
        <row r="182">
          <cell r="B182" t="str">
            <v>6401-C06</v>
          </cell>
          <cell r="C182" t="str">
            <v>OS</v>
          </cell>
          <cell r="D182" t="str">
            <v>OS</v>
          </cell>
          <cell r="E182" t="str">
            <v>ZHHI</v>
          </cell>
          <cell r="F182" t="str">
            <v>D10</v>
          </cell>
          <cell r="G182" t="str">
            <v>Nitrogen Utility Stations</v>
          </cell>
          <cell r="I182">
            <v>41362</v>
          </cell>
        </row>
        <row r="183">
          <cell r="B183" t="str">
            <v>7701-C14</v>
          </cell>
          <cell r="C183" t="str">
            <v>OS</v>
          </cell>
          <cell r="D183" t="str">
            <v>OS</v>
          </cell>
          <cell r="E183" t="str">
            <v>ZHHI</v>
          </cell>
          <cell r="F183" t="str">
            <v>G20</v>
          </cell>
          <cell r="G183" t="str">
            <v>G20 Central Shaft Supply System 77GK123A/B</v>
          </cell>
          <cell r="I183">
            <v>41362</v>
          </cell>
        </row>
        <row r="184">
          <cell r="B184" t="str">
            <v>8401-C11</v>
          </cell>
          <cell r="C184" t="str">
            <v>OS</v>
          </cell>
          <cell r="D184" t="str">
            <v>OS</v>
          </cell>
          <cell r="E184" t="str">
            <v>ZHHI</v>
          </cell>
          <cell r="F184" t="str">
            <v>L10</v>
          </cell>
          <cell r="G184" t="str">
            <v>84EL015 Emergency distr. board and lighting &amp; small power LQ (L15)</v>
          </cell>
          <cell r="I184">
            <v>41362</v>
          </cell>
        </row>
        <row r="185">
          <cell r="B185" t="str">
            <v>8701-C03</v>
          </cell>
          <cell r="C185" t="str">
            <v>OS</v>
          </cell>
          <cell r="D185" t="str">
            <v>OS</v>
          </cell>
          <cell r="E185" t="str">
            <v>ZHHI</v>
          </cell>
          <cell r="F185" t="str">
            <v>L12</v>
          </cell>
          <cell r="G185" t="str">
            <v>Panel 87JC271 - LAN/Switch/FOC A-network (CER)</v>
          </cell>
          <cell r="I185">
            <v>41362</v>
          </cell>
        </row>
        <row r="186">
          <cell r="B186" t="str">
            <v>8701-C04</v>
          </cell>
          <cell r="C186" t="str">
            <v>OS</v>
          </cell>
          <cell r="D186" t="str">
            <v>OS</v>
          </cell>
          <cell r="E186" t="str">
            <v>ZHHI</v>
          </cell>
          <cell r="F186" t="str">
            <v>L12</v>
          </cell>
          <cell r="G186" t="str">
            <v>Panel 87JC272 - LAN/Switch/FOC B-network (CER)</v>
          </cell>
          <cell r="I186">
            <v>41362</v>
          </cell>
        </row>
        <row r="187">
          <cell r="B187" t="str">
            <v>8701-C06</v>
          </cell>
          <cell r="C187" t="str">
            <v>OS</v>
          </cell>
          <cell r="D187" t="str">
            <v>OS</v>
          </cell>
          <cell r="E187" t="str">
            <v>ZHHI</v>
          </cell>
          <cell r="F187" t="str">
            <v>L12</v>
          </cell>
          <cell r="G187" t="str">
            <v>Panel 87JC231 - SAS servers (CER)</v>
          </cell>
          <cell r="I187">
            <v>41362</v>
          </cell>
        </row>
        <row r="188">
          <cell r="B188" t="str">
            <v>3301-C02</v>
          </cell>
          <cell r="C188" t="str">
            <v>OS</v>
          </cell>
          <cell r="D188" t="str">
            <v>OS</v>
          </cell>
          <cell r="E188" t="str">
            <v>ZHHI</v>
          </cell>
          <cell r="F188" t="str">
            <v>G20</v>
          </cell>
          <cell r="G188" t="str">
            <v>Cargo pump 33PA001A</v>
          </cell>
          <cell r="I188">
            <v>41363</v>
          </cell>
        </row>
        <row r="189">
          <cell r="B189" t="str">
            <v>5001-C11</v>
          </cell>
          <cell r="C189" t="str">
            <v>OS</v>
          </cell>
          <cell r="D189" t="str">
            <v>OS</v>
          </cell>
          <cell r="E189" t="str">
            <v>ZHHI</v>
          </cell>
          <cell r="F189" t="str">
            <v>N10</v>
          </cell>
          <cell r="G189" t="str">
            <v>Seawater Cooling Pump 50PA001B</v>
          </cell>
          <cell r="I189">
            <v>41363</v>
          </cell>
        </row>
        <row r="190">
          <cell r="B190" t="str">
            <v>8701-C24</v>
          </cell>
          <cell r="C190" t="str">
            <v>OS</v>
          </cell>
          <cell r="D190" t="str">
            <v>OS</v>
          </cell>
          <cell r="E190" t="str">
            <v>ZHHI</v>
          </cell>
          <cell r="F190" t="str">
            <v>Q30</v>
          </cell>
          <cell r="G190" t="str">
            <v>Panel 87JC019 - Node C19 - AFC / ADT (PCS) (LER)</v>
          </cell>
          <cell r="I190">
            <v>41363</v>
          </cell>
        </row>
        <row r="191">
          <cell r="B191" t="str">
            <v>8702-C07</v>
          </cell>
          <cell r="C191" t="str">
            <v>OS</v>
          </cell>
          <cell r="D191" t="str">
            <v>OS</v>
          </cell>
          <cell r="E191" t="str">
            <v>ZHHI</v>
          </cell>
          <cell r="F191" t="str">
            <v>Q30</v>
          </cell>
          <cell r="G191" t="str">
            <v>Panel 87JC062/63 - Node P36 (PSD) (LER)</v>
          </cell>
          <cell r="I191">
            <v>41363</v>
          </cell>
        </row>
        <row r="192">
          <cell r="B192" t="str">
            <v>Comm. package</v>
          </cell>
          <cell r="C192" t="str">
            <v>Comm. st.</v>
          </cell>
          <cell r="D192" t="str">
            <v>MC st.</v>
          </cell>
          <cell r="E192" t="str">
            <v>Comm. resp.</v>
          </cell>
          <cell r="F192" t="str">
            <v>Comm. area</v>
          </cell>
          <cell r="G192" t="str">
            <v>Description</v>
          </cell>
          <cell r="H192" t="str">
            <v>Priority</v>
          </cell>
          <cell r="I192" t="str">
            <v>Planned startup</v>
          </cell>
        </row>
        <row r="193">
          <cell r="B193" t="str">
            <v>4202-C03</v>
          </cell>
          <cell r="C193" t="str">
            <v>OS</v>
          </cell>
          <cell r="D193" t="str">
            <v>OS</v>
          </cell>
          <cell r="E193" t="str">
            <v>ZHHI</v>
          </cell>
          <cell r="F193" t="str">
            <v>P40</v>
          </cell>
          <cell r="G193" t="str">
            <v>Seal Barrier Fluid system 42CS004</v>
          </cell>
          <cell r="I193">
            <v>41364</v>
          </cell>
        </row>
        <row r="194">
          <cell r="B194" t="str">
            <v>5601-C02</v>
          </cell>
          <cell r="C194" t="str">
            <v>OS</v>
          </cell>
          <cell r="D194" t="str">
            <v>OS</v>
          </cell>
          <cell r="E194" t="str">
            <v>ZHHI</v>
          </cell>
          <cell r="F194" t="str">
            <v>G20</v>
          </cell>
          <cell r="G194" t="str">
            <v>Hazardous open drain tank 56TX003 + pumps 56PA001A/B &amp; 56PA003A/B</v>
          </cell>
          <cell r="I194">
            <v>41364</v>
          </cell>
        </row>
        <row r="195">
          <cell r="B195" t="str">
            <v>4001-C03</v>
          </cell>
          <cell r="C195" t="str">
            <v>OS</v>
          </cell>
          <cell r="D195" t="str">
            <v>OS</v>
          </cell>
          <cell r="E195" t="str">
            <v>ZHHI</v>
          </cell>
          <cell r="F195" t="str">
            <v>P10</v>
          </cell>
          <cell r="G195" t="str">
            <v>Cooling Medium Drain System</v>
          </cell>
          <cell r="I195">
            <v>41365</v>
          </cell>
        </row>
        <row r="196">
          <cell r="B196" t="str">
            <v>7301-C02</v>
          </cell>
          <cell r="C196" t="str">
            <v>OS</v>
          </cell>
          <cell r="D196" t="str">
            <v>OS</v>
          </cell>
          <cell r="E196" t="str">
            <v>ZHHI</v>
          </cell>
          <cell r="F196" t="str">
            <v>Q30</v>
          </cell>
          <cell r="G196" t="str">
            <v>73MA002 Easth Crane</v>
          </cell>
          <cell r="I196">
            <v>41365</v>
          </cell>
        </row>
        <row r="197">
          <cell r="B197" t="str">
            <v>7901-C01</v>
          </cell>
          <cell r="C197" t="str">
            <v>OS</v>
          </cell>
          <cell r="D197" t="str">
            <v>OS</v>
          </cell>
          <cell r="E197" t="str">
            <v>ZHHI</v>
          </cell>
          <cell r="F197" t="str">
            <v>L12</v>
          </cell>
          <cell r="G197" t="str">
            <v>Panel 79JC001/2 - Node E60 (CER)</v>
          </cell>
          <cell r="I197">
            <v>41365</v>
          </cell>
        </row>
        <row r="198">
          <cell r="B198" t="str">
            <v>8201-C15</v>
          </cell>
          <cell r="C198" t="str">
            <v>OS</v>
          </cell>
          <cell r="D198" t="str">
            <v>OS</v>
          </cell>
          <cell r="E198" t="str">
            <v>ZHHI</v>
          </cell>
          <cell r="F198" t="str">
            <v>L10</v>
          </cell>
          <cell r="G198" t="str">
            <v>82EL015 Normal distr. board and lighting &amp; small power LQ (L15)</v>
          </cell>
          <cell r="I198">
            <v>41365</v>
          </cell>
        </row>
        <row r="199">
          <cell r="B199" t="str">
            <v>8701-C29</v>
          </cell>
          <cell r="C199" t="str">
            <v>OS</v>
          </cell>
          <cell r="D199" t="str">
            <v>OS</v>
          </cell>
          <cell r="E199" t="str">
            <v>ZHHI</v>
          </cell>
          <cell r="F199" t="str">
            <v>L12</v>
          </cell>
          <cell r="G199" t="str">
            <v>Panel 87JC281 - Server Online Simulator (CER)</v>
          </cell>
          <cell r="I199">
            <v>41365</v>
          </cell>
        </row>
        <row r="200">
          <cell r="B200" t="str">
            <v>8703-C01</v>
          </cell>
          <cell r="C200" t="str">
            <v>OS</v>
          </cell>
          <cell r="D200" t="str">
            <v>OS</v>
          </cell>
          <cell r="E200" t="str">
            <v>ZHHI</v>
          </cell>
          <cell r="F200" t="str">
            <v>L10</v>
          </cell>
          <cell r="G200" t="str">
            <v>Panel 87JC232 - Servers for Condition Monitoring (CER)</v>
          </cell>
          <cell r="I200">
            <v>41365</v>
          </cell>
        </row>
        <row r="201">
          <cell r="B201" t="str">
            <v>8704-C01</v>
          </cell>
          <cell r="C201" t="str">
            <v>OS</v>
          </cell>
          <cell r="D201" t="str">
            <v>OS</v>
          </cell>
          <cell r="E201" t="str">
            <v>ZHHI</v>
          </cell>
          <cell r="F201" t="str">
            <v>L10</v>
          </cell>
          <cell r="G201" t="str">
            <v>Operation Equipment (CER &amp; Test Room)</v>
          </cell>
          <cell r="I201">
            <v>41365</v>
          </cell>
        </row>
        <row r="202">
          <cell r="B202" t="str">
            <v>2701-C15</v>
          </cell>
          <cell r="C202" t="str">
            <v>OS</v>
          </cell>
          <cell r="D202" t="str">
            <v>OS</v>
          </cell>
          <cell r="E202" t="str">
            <v>ZHHI</v>
          </cell>
          <cell r="F202" t="str">
            <v>Q32LER</v>
          </cell>
          <cell r="G202" t="str">
            <v>Panel 27JC004 - Vibration Monitoring (PCS)(LER)</v>
          </cell>
          <cell r="I202">
            <v>41366</v>
          </cell>
        </row>
        <row r="203">
          <cell r="B203" t="str">
            <v>4202-C04</v>
          </cell>
          <cell r="C203" t="str">
            <v>OS</v>
          </cell>
          <cell r="D203" t="str">
            <v>OS</v>
          </cell>
          <cell r="E203" t="str">
            <v>ZHHI</v>
          </cell>
          <cell r="F203" t="str">
            <v>P10</v>
          </cell>
          <cell r="G203" t="str">
            <v>Seal Barrier Fluid system 42CS005</v>
          </cell>
          <cell r="I203">
            <v>41366</v>
          </cell>
        </row>
        <row r="204">
          <cell r="B204" t="str">
            <v>8202-C05</v>
          </cell>
          <cell r="C204" t="str">
            <v>OS</v>
          </cell>
          <cell r="D204" t="str">
            <v>OS</v>
          </cell>
          <cell r="E204" t="str">
            <v>ZHHI</v>
          </cell>
          <cell r="F204" t="str">
            <v>P10</v>
          </cell>
          <cell r="G204" t="str">
            <v>82EL003 Lighting and Small Power Topside Utility Area,B2-1</v>
          </cell>
          <cell r="I204">
            <v>41366</v>
          </cell>
        </row>
        <row r="205">
          <cell r="B205" t="str">
            <v>5001-C08</v>
          </cell>
          <cell r="C205" t="str">
            <v>OS</v>
          </cell>
          <cell r="D205" t="str">
            <v>OS</v>
          </cell>
          <cell r="E205" t="str">
            <v>ZHHI</v>
          </cell>
          <cell r="F205" t="str">
            <v>M10</v>
          </cell>
          <cell r="G205" t="str">
            <v>Sea Water Deck Seal Header</v>
          </cell>
          <cell r="I205">
            <v>41367</v>
          </cell>
        </row>
        <row r="206">
          <cell r="B206" t="str">
            <v>8401-C12</v>
          </cell>
          <cell r="C206" t="str">
            <v>OS</v>
          </cell>
          <cell r="D206" t="str">
            <v>OS</v>
          </cell>
          <cell r="E206" t="str">
            <v>ZHHI</v>
          </cell>
          <cell r="F206" t="str">
            <v>L10</v>
          </cell>
          <cell r="G206" t="str">
            <v>84EL016 Emergency distr. board and lighting &amp; small power LQ (L16)</v>
          </cell>
          <cell r="I206">
            <v>41367</v>
          </cell>
        </row>
        <row r="207">
          <cell r="B207" t="str">
            <v>8702-C08</v>
          </cell>
          <cell r="C207" t="str">
            <v>OS</v>
          </cell>
          <cell r="D207" t="str">
            <v>OS</v>
          </cell>
          <cell r="E207" t="str">
            <v>ZHHI</v>
          </cell>
          <cell r="F207" t="str">
            <v>Q30</v>
          </cell>
          <cell r="G207" t="str">
            <v>Panel 87JC064/65 - Node P37 (PSD) (LER)</v>
          </cell>
          <cell r="I207">
            <v>41367</v>
          </cell>
        </row>
        <row r="208">
          <cell r="B208" t="str">
            <v>8703-C04</v>
          </cell>
          <cell r="C208" t="str">
            <v>OS</v>
          </cell>
          <cell r="D208" t="str">
            <v>OS</v>
          </cell>
          <cell r="E208" t="str">
            <v>ZHHI</v>
          </cell>
          <cell r="F208" t="str">
            <v>Q32</v>
          </cell>
          <cell r="G208" t="str">
            <v>Panel 87JJ001 - Condition Monitoring / Vibration (PCS) (LER)</v>
          </cell>
          <cell r="I208">
            <v>41367</v>
          </cell>
        </row>
        <row r="209">
          <cell r="B209" t="str">
            <v>Comm. package</v>
          </cell>
          <cell r="C209" t="str">
            <v>Comm. st.</v>
          </cell>
          <cell r="D209" t="str">
            <v>MC st.</v>
          </cell>
          <cell r="E209" t="str">
            <v>Comm. resp.</v>
          </cell>
          <cell r="F209" t="str">
            <v>Comm. area</v>
          </cell>
          <cell r="G209" t="str">
            <v>Description</v>
          </cell>
          <cell r="H209" t="str">
            <v>Priority</v>
          </cell>
          <cell r="I209" t="str">
            <v>Planned startup</v>
          </cell>
        </row>
        <row r="210">
          <cell r="B210" t="str">
            <v>3301-C17</v>
          </cell>
          <cell r="C210" t="str">
            <v>OS</v>
          </cell>
          <cell r="D210" t="str">
            <v>OS</v>
          </cell>
          <cell r="E210" t="str">
            <v>ZHHI</v>
          </cell>
          <cell r="F210" t="str">
            <v>G20</v>
          </cell>
          <cell r="G210" t="str">
            <v>Cargo pump 33PA001B</v>
          </cell>
          <cell r="I210">
            <v>41368</v>
          </cell>
        </row>
        <row r="211">
          <cell r="B211" t="str">
            <v>6501-C05</v>
          </cell>
          <cell r="C211" t="str">
            <v>OS</v>
          </cell>
          <cell r="D211" t="str">
            <v>OS</v>
          </cell>
          <cell r="E211" t="str">
            <v>ZHHI</v>
          </cell>
          <cell r="F211" t="str">
            <v>M10</v>
          </cell>
          <cell r="G211" t="str">
            <v>Hydraulic supply/return, Topside</v>
          </cell>
          <cell r="I211">
            <v>41368</v>
          </cell>
        </row>
        <row r="212">
          <cell r="B212" t="str">
            <v>7901-C02</v>
          </cell>
          <cell r="C212" t="str">
            <v>OS</v>
          </cell>
          <cell r="D212" t="str">
            <v>OS</v>
          </cell>
          <cell r="E212" t="str">
            <v>ZHHI</v>
          </cell>
          <cell r="F212" t="str">
            <v>L12</v>
          </cell>
          <cell r="G212" t="str">
            <v>Panel 79JC003/4 - Node E61 (CER)</v>
          </cell>
          <cell r="I212">
            <v>41368</v>
          </cell>
        </row>
        <row r="213">
          <cell r="B213" t="str">
            <v>7901-C05</v>
          </cell>
          <cell r="C213" t="str">
            <v>OS</v>
          </cell>
          <cell r="D213" t="str">
            <v>OS</v>
          </cell>
          <cell r="E213" t="str">
            <v>ZHHI</v>
          </cell>
          <cell r="F213" t="str">
            <v>G20</v>
          </cell>
          <cell r="G213" t="str">
            <v>ESD Junction Boxes and Multicore cables Hull</v>
          </cell>
          <cell r="I213">
            <v>41368</v>
          </cell>
        </row>
        <row r="214">
          <cell r="B214" t="str">
            <v>7901-C06</v>
          </cell>
          <cell r="C214" t="str">
            <v>OS</v>
          </cell>
          <cell r="D214" t="str">
            <v>OS</v>
          </cell>
          <cell r="E214" t="str">
            <v>ZHHI</v>
          </cell>
          <cell r="F214" t="str">
            <v>P10</v>
          </cell>
          <cell r="G214" t="str">
            <v>ESD Junction Boxes and Multicore cables Topside</v>
          </cell>
          <cell r="I214">
            <v>41368</v>
          </cell>
        </row>
        <row r="215">
          <cell r="B215" t="str">
            <v>7901-C07</v>
          </cell>
          <cell r="C215" t="str">
            <v>OS</v>
          </cell>
          <cell r="D215" t="str">
            <v>OS</v>
          </cell>
          <cell r="E215" t="str">
            <v>ZHHI</v>
          </cell>
          <cell r="F215" t="str">
            <v>L10</v>
          </cell>
          <cell r="G215" t="str">
            <v>ESD Junction Boxes and Multicore cables LQ</v>
          </cell>
          <cell r="I215">
            <v>41368</v>
          </cell>
        </row>
        <row r="216">
          <cell r="B216" t="str">
            <v>8703-C08</v>
          </cell>
          <cell r="C216" t="str">
            <v>OS</v>
          </cell>
          <cell r="D216" t="str">
            <v>OS</v>
          </cell>
          <cell r="E216" t="str">
            <v>ZHHI</v>
          </cell>
          <cell r="F216" t="str">
            <v>L10</v>
          </cell>
          <cell r="G216" t="str">
            <v>Load computer (CER?)</v>
          </cell>
          <cell r="I216">
            <v>41368</v>
          </cell>
        </row>
        <row r="217">
          <cell r="B217" t="str">
            <v>8703-C10</v>
          </cell>
          <cell r="C217" t="str">
            <v>OS</v>
          </cell>
          <cell r="D217" t="str">
            <v>OS</v>
          </cell>
          <cell r="E217" t="str">
            <v>ZHHI</v>
          </cell>
          <cell r="F217" t="str">
            <v>Q30</v>
          </cell>
          <cell r="G217" t="str">
            <v>Panel 87JC221 - SAAS Valve Watch (LER)</v>
          </cell>
          <cell r="I217">
            <v>41368</v>
          </cell>
        </row>
        <row r="218">
          <cell r="B218" t="str">
            <v>2701-C16</v>
          </cell>
          <cell r="C218" t="str">
            <v>OS</v>
          </cell>
          <cell r="D218" t="str">
            <v>OS</v>
          </cell>
          <cell r="E218" t="str">
            <v>ZHHI</v>
          </cell>
          <cell r="F218" t="str">
            <v>Q32LER</v>
          </cell>
          <cell r="G218" t="str">
            <v>Panel 27JC005 - UCP Antisurge Node 42/46 (PCS)(LER)</v>
          </cell>
          <cell r="I218">
            <v>41369</v>
          </cell>
        </row>
        <row r="219">
          <cell r="B219" t="str">
            <v>5701-C03</v>
          </cell>
          <cell r="C219" t="str">
            <v>OS</v>
          </cell>
          <cell r="D219" t="str">
            <v>OS</v>
          </cell>
          <cell r="E219" t="str">
            <v>ZHHI</v>
          </cell>
          <cell r="F219" t="str">
            <v>M20</v>
          </cell>
          <cell r="G219" t="str">
            <v>Closed Drain Transfer Pumps, 57PG001A/B</v>
          </cell>
          <cell r="I219">
            <v>41369</v>
          </cell>
        </row>
        <row r="220">
          <cell r="B220" t="str">
            <v>7701-C15</v>
          </cell>
          <cell r="C220" t="str">
            <v>OS</v>
          </cell>
          <cell r="D220" t="str">
            <v>OS</v>
          </cell>
          <cell r="E220" t="str">
            <v>ZHHI</v>
          </cell>
          <cell r="F220" t="str">
            <v>G20</v>
          </cell>
          <cell r="G220" t="str">
            <v>G20 Central Shaft Extract System 77GK124A/B</v>
          </cell>
          <cell r="I220">
            <v>41369</v>
          </cell>
        </row>
        <row r="221">
          <cell r="B221" t="str">
            <v>7701-C35</v>
          </cell>
          <cell r="C221" t="str">
            <v>OS</v>
          </cell>
          <cell r="D221" t="str">
            <v>OS</v>
          </cell>
          <cell r="E221" t="str">
            <v>ZHHI</v>
          </cell>
          <cell r="F221" t="str">
            <v>L17</v>
          </cell>
          <cell r="G221" t="str">
            <v>LQ-TER DX Cooling Unit 77GB107A/B</v>
          </cell>
          <cell r="I221">
            <v>41369</v>
          </cell>
        </row>
        <row r="222">
          <cell r="B222" t="str">
            <v>8201-C16</v>
          </cell>
          <cell r="C222" t="str">
            <v>OS</v>
          </cell>
          <cell r="D222" t="str">
            <v>OS</v>
          </cell>
          <cell r="E222" t="str">
            <v>ZHHI</v>
          </cell>
          <cell r="F222" t="str">
            <v>L10</v>
          </cell>
          <cell r="G222" t="str">
            <v>82EL016 Normal distr. board and lighting &amp; small power LQ (L16)</v>
          </cell>
          <cell r="I222">
            <v>41369</v>
          </cell>
        </row>
        <row r="223">
          <cell r="B223" t="str">
            <v>8702-C09</v>
          </cell>
          <cell r="C223" t="str">
            <v>OS</v>
          </cell>
          <cell r="D223" t="str">
            <v>OS</v>
          </cell>
          <cell r="E223" t="str">
            <v>ZHHI</v>
          </cell>
          <cell r="F223" t="str">
            <v>Q30</v>
          </cell>
          <cell r="G223" t="str">
            <v>Panel 87JC066 - Node P38 (PSD) (LER)</v>
          </cell>
          <cell r="I223">
            <v>41369</v>
          </cell>
        </row>
        <row r="224">
          <cell r="B224" t="str">
            <v>2701-C11</v>
          </cell>
          <cell r="C224" t="str">
            <v>OS</v>
          </cell>
          <cell r="D224" t="str">
            <v>OS</v>
          </cell>
          <cell r="E224" t="str">
            <v>ZHHI</v>
          </cell>
          <cell r="F224" t="str">
            <v>P30</v>
          </cell>
          <cell r="G224" t="str">
            <v>Lube oil system HP compressor 27KA003</v>
          </cell>
          <cell r="I224">
            <v>41370</v>
          </cell>
        </row>
        <row r="225">
          <cell r="B225" t="str">
            <v>5001-C05</v>
          </cell>
          <cell r="C225" t="str">
            <v>OS</v>
          </cell>
          <cell r="D225" t="str">
            <v>OS</v>
          </cell>
          <cell r="E225" t="str">
            <v>ZHHI</v>
          </cell>
          <cell r="F225" t="str">
            <v>G20</v>
          </cell>
          <cell r="G225" t="str">
            <v>Seawater Deck seal Pumps, 50PA003A/B</v>
          </cell>
          <cell r="I225">
            <v>41370</v>
          </cell>
        </row>
        <row r="226">
          <cell r="B226" t="str">
            <v>Comm. package</v>
          </cell>
          <cell r="C226" t="str">
            <v>Comm. st.</v>
          </cell>
          <cell r="D226" t="str">
            <v>MC st.</v>
          </cell>
          <cell r="E226" t="str">
            <v>Comm. resp.</v>
          </cell>
          <cell r="F226" t="str">
            <v>Comm. area</v>
          </cell>
          <cell r="G226" t="str">
            <v>Description</v>
          </cell>
          <cell r="H226" t="str">
            <v>Priority</v>
          </cell>
          <cell r="I226" t="str">
            <v>Planned startup</v>
          </cell>
        </row>
        <row r="227">
          <cell r="B227" t="str">
            <v>8202-C06</v>
          </cell>
          <cell r="C227" t="str">
            <v>OS</v>
          </cell>
          <cell r="D227" t="str">
            <v>OS</v>
          </cell>
          <cell r="E227" t="str">
            <v>ZHHI</v>
          </cell>
          <cell r="F227" t="str">
            <v>P10</v>
          </cell>
          <cell r="G227" t="str">
            <v>82EL003 Lighting and Small Power Topside, JB, B2-2</v>
          </cell>
          <cell r="I227">
            <v>41370</v>
          </cell>
        </row>
        <row r="228">
          <cell r="B228" t="str">
            <v>8703-C05</v>
          </cell>
          <cell r="C228" t="str">
            <v>OS</v>
          </cell>
          <cell r="D228" t="str">
            <v>OS</v>
          </cell>
          <cell r="E228" t="str">
            <v>ZHHI</v>
          </cell>
          <cell r="F228" t="str">
            <v>Q30</v>
          </cell>
          <cell r="G228" t="str">
            <v>Panel 87JJ002 - Condition Monitoring / Vibration (PCS) (LER)</v>
          </cell>
          <cell r="I228">
            <v>41370</v>
          </cell>
        </row>
        <row r="229">
          <cell r="B229" t="str">
            <v>8703-C09</v>
          </cell>
          <cell r="C229" t="str">
            <v>OS</v>
          </cell>
          <cell r="D229" t="str">
            <v>OS</v>
          </cell>
          <cell r="E229" t="str">
            <v>ZHHI</v>
          </cell>
          <cell r="F229" t="str">
            <v>Q30</v>
          </cell>
          <cell r="G229" t="str">
            <v>Panel 87JDxxx - Valve watch application (LER)</v>
          </cell>
          <cell r="I229">
            <v>41370</v>
          </cell>
        </row>
        <row r="230">
          <cell r="B230" t="str">
            <v>8703-C11</v>
          </cell>
          <cell r="C230" t="str">
            <v>OS</v>
          </cell>
          <cell r="D230" t="str">
            <v>OS</v>
          </cell>
          <cell r="E230" t="str">
            <v>ZHHI</v>
          </cell>
          <cell r="F230" t="str">
            <v>Q30</v>
          </cell>
          <cell r="G230" t="str">
            <v>Panel 87JC222 - SAAS Valve Watch (LER)</v>
          </cell>
          <cell r="I230">
            <v>41370</v>
          </cell>
        </row>
        <row r="231">
          <cell r="B231" t="str">
            <v>4301-C08</v>
          </cell>
          <cell r="C231" t="str">
            <v>OS</v>
          </cell>
          <cell r="D231" t="str">
            <v>OS</v>
          </cell>
          <cell r="E231" t="str">
            <v>ZHHI</v>
          </cell>
          <cell r="F231" t="str">
            <v>F10</v>
          </cell>
          <cell r="G231" t="str">
            <v>Atmospheric vent header</v>
          </cell>
          <cell r="I231">
            <v>41372</v>
          </cell>
        </row>
        <row r="232">
          <cell r="B232" t="str">
            <v>7701-C46</v>
          </cell>
          <cell r="C232" t="str">
            <v>OS</v>
          </cell>
          <cell r="D232" t="str">
            <v>OS</v>
          </cell>
          <cell r="E232" t="str">
            <v>ZHHI</v>
          </cell>
          <cell r="F232" t="str">
            <v>P50</v>
          </cell>
          <cell r="G232" t="str">
            <v>P50 Chemical Inj enclosure 42XR001A. Supply fan 77GK921A/B</v>
          </cell>
          <cell r="I232">
            <v>41372</v>
          </cell>
        </row>
        <row r="233">
          <cell r="B233" t="str">
            <v>8101-C03</v>
          </cell>
          <cell r="C233" t="str">
            <v>OS</v>
          </cell>
          <cell r="D233" t="str">
            <v>OS</v>
          </cell>
          <cell r="E233" t="str">
            <v>ZHHI</v>
          </cell>
          <cell r="F233" t="str">
            <v>Q30</v>
          </cell>
          <cell r="G233" t="str">
            <v>81ED003 ASDS for 3rd stage compressor 27KA003-M01</v>
          </cell>
          <cell r="I233">
            <v>41372</v>
          </cell>
        </row>
        <row r="234">
          <cell r="B234" t="str">
            <v>8401-C13</v>
          </cell>
          <cell r="C234" t="str">
            <v>OS</v>
          </cell>
          <cell r="D234" t="str">
            <v>OS</v>
          </cell>
          <cell r="E234" t="str">
            <v>ZHHI</v>
          </cell>
          <cell r="F234" t="str">
            <v>L10</v>
          </cell>
          <cell r="G234" t="str">
            <v>84EL017 Emergency distr. board and lighting &amp; small power LQ (L17)</v>
          </cell>
          <cell r="I234">
            <v>41372</v>
          </cell>
        </row>
        <row r="235">
          <cell r="B235" t="str">
            <v>2701-C17</v>
          </cell>
          <cell r="C235" t="str">
            <v>OS</v>
          </cell>
          <cell r="D235" t="str">
            <v>OS</v>
          </cell>
          <cell r="E235" t="str">
            <v>ZHHI</v>
          </cell>
          <cell r="F235" t="str">
            <v>Q32LER</v>
          </cell>
          <cell r="G235" t="str">
            <v>Panel 27JC006 - Vibration Monitoring (PCS)(LER)</v>
          </cell>
          <cell r="I235">
            <v>41373</v>
          </cell>
        </row>
        <row r="236">
          <cell r="B236" t="str">
            <v>3301-C18</v>
          </cell>
          <cell r="C236" t="str">
            <v>OS</v>
          </cell>
          <cell r="D236" t="str">
            <v>OS</v>
          </cell>
          <cell r="E236" t="str">
            <v>ZHHI</v>
          </cell>
          <cell r="F236" t="str">
            <v>G20</v>
          </cell>
          <cell r="G236" t="str">
            <v>Cargo pump 33PA001C</v>
          </cell>
          <cell r="I236">
            <v>41373</v>
          </cell>
        </row>
        <row r="237">
          <cell r="B237" t="str">
            <v>6501-C06</v>
          </cell>
          <cell r="C237" t="str">
            <v>OS</v>
          </cell>
          <cell r="D237" t="str">
            <v>OS</v>
          </cell>
          <cell r="E237" t="str">
            <v>ZHHI</v>
          </cell>
          <cell r="F237" t="str">
            <v>M10</v>
          </cell>
          <cell r="G237" t="str">
            <v>Hydraulic supply/return, Topside</v>
          </cell>
          <cell r="I237">
            <v>41373</v>
          </cell>
        </row>
        <row r="238">
          <cell r="B238" t="str">
            <v>7301-C01</v>
          </cell>
          <cell r="C238" t="str">
            <v>OS</v>
          </cell>
          <cell r="D238" t="str">
            <v>OS</v>
          </cell>
          <cell r="E238" t="str">
            <v>ZHHI</v>
          </cell>
          <cell r="F238" t="str">
            <v>Q20</v>
          </cell>
          <cell r="G238" t="str">
            <v>73MA001 West Crane</v>
          </cell>
          <cell r="I238">
            <v>41373</v>
          </cell>
        </row>
        <row r="239">
          <cell r="B239" t="str">
            <v>7301-C03</v>
          </cell>
          <cell r="C239" t="str">
            <v>OS</v>
          </cell>
          <cell r="D239" t="str">
            <v>OS</v>
          </cell>
          <cell r="E239" t="str">
            <v>ZHHI</v>
          </cell>
          <cell r="F239" t="str">
            <v>P10</v>
          </cell>
          <cell r="G239" t="str">
            <v>73MC001 Hazardous Process Elevator</v>
          </cell>
          <cell r="I239">
            <v>41373</v>
          </cell>
        </row>
        <row r="240">
          <cell r="B240" t="str">
            <v>7701-C03</v>
          </cell>
          <cell r="C240" t="str">
            <v>OS</v>
          </cell>
          <cell r="D240" t="str">
            <v>OS</v>
          </cell>
          <cell r="E240" t="str">
            <v>ZHHI</v>
          </cell>
          <cell r="F240" t="str">
            <v>L10</v>
          </cell>
          <cell r="G240" t="str">
            <v>LQ Main Supply System 77GA105A/B</v>
          </cell>
          <cell r="I240">
            <v>41373</v>
          </cell>
        </row>
        <row r="241">
          <cell r="B241" t="str">
            <v>8681-C01</v>
          </cell>
          <cell r="C241" t="str">
            <v>OS</v>
          </cell>
          <cell r="D241" t="str">
            <v>OS</v>
          </cell>
          <cell r="E241" t="str">
            <v>ZHHI</v>
          </cell>
          <cell r="F241" t="str">
            <v>L10</v>
          </cell>
          <cell r="G241" t="str">
            <v>Main distribution frame</v>
          </cell>
          <cell r="I241">
            <v>41373</v>
          </cell>
        </row>
        <row r="242">
          <cell r="B242" t="str">
            <v>8682-C01</v>
          </cell>
          <cell r="C242" t="str">
            <v>OS</v>
          </cell>
          <cell r="D242" t="str">
            <v>OS</v>
          </cell>
          <cell r="E242" t="str">
            <v>ZHHI</v>
          </cell>
          <cell r="F242" t="str">
            <v>L17</v>
          </cell>
          <cell r="G242" t="str">
            <v>Telecom power supply 86RA004A Emergency PA rectifier (TER)</v>
          </cell>
          <cell r="I242">
            <v>41373</v>
          </cell>
        </row>
        <row r="243">
          <cell r="B243" t="str">
            <v>Comm. package</v>
          </cell>
          <cell r="C243" t="str">
            <v>Comm. st.</v>
          </cell>
          <cell r="D243" t="str">
            <v>MC st.</v>
          </cell>
          <cell r="E243" t="str">
            <v>Comm. resp.</v>
          </cell>
          <cell r="F243" t="str">
            <v>Comm. area</v>
          </cell>
          <cell r="G243" t="str">
            <v>Description</v>
          </cell>
          <cell r="H243" t="str">
            <v>Priority</v>
          </cell>
          <cell r="I243" t="str">
            <v>Planned startup</v>
          </cell>
        </row>
        <row r="244">
          <cell r="B244" t="str">
            <v>8701-C07</v>
          </cell>
          <cell r="C244" t="str">
            <v>OS</v>
          </cell>
          <cell r="D244" t="str">
            <v>OS</v>
          </cell>
          <cell r="E244" t="str">
            <v>ZHHI</v>
          </cell>
          <cell r="F244" t="str">
            <v>Q30</v>
          </cell>
          <cell r="G244" t="str">
            <v>Panel 87JC001 - Node C01 - 16 Topside flowlines, manifolds and pigging (PCS) (LER)</v>
          </cell>
          <cell r="I244">
            <v>41373</v>
          </cell>
        </row>
        <row r="245">
          <cell r="B245" t="str">
            <v>8702-C10</v>
          </cell>
          <cell r="C245" t="str">
            <v>OS</v>
          </cell>
          <cell r="D245" t="str">
            <v>OS</v>
          </cell>
          <cell r="E245" t="str">
            <v>ZHHI</v>
          </cell>
          <cell r="F245" t="str">
            <v>Q30</v>
          </cell>
          <cell r="G245" t="str">
            <v>Panel 87JC067 - Node P39 (PSD) (LER)</v>
          </cell>
          <cell r="I245">
            <v>41373</v>
          </cell>
        </row>
        <row r="246">
          <cell r="B246" t="str">
            <v>8703-C06</v>
          </cell>
          <cell r="C246" t="str">
            <v>OS</v>
          </cell>
          <cell r="D246" t="str">
            <v>OS</v>
          </cell>
          <cell r="E246" t="str">
            <v>ZHHI</v>
          </cell>
          <cell r="F246" t="str">
            <v>Q30</v>
          </cell>
          <cell r="G246" t="str">
            <v>Panel 87JJ003 - Condition Monitoring / Vibration (PCS) (LER)</v>
          </cell>
          <cell r="I246">
            <v>41373</v>
          </cell>
        </row>
        <row r="247">
          <cell r="B247" t="str">
            <v>8703-C12</v>
          </cell>
          <cell r="C247" t="str">
            <v>OS</v>
          </cell>
          <cell r="D247" t="str">
            <v>OS</v>
          </cell>
          <cell r="E247" t="str">
            <v>ZHHI</v>
          </cell>
          <cell r="F247" t="str">
            <v>Q30</v>
          </cell>
          <cell r="G247" t="str">
            <v>Wireless Hart (PCS) (LER)</v>
          </cell>
          <cell r="I247">
            <v>41373</v>
          </cell>
        </row>
        <row r="248">
          <cell r="B248" t="str">
            <v>8201-C17</v>
          </cell>
          <cell r="C248" t="str">
            <v>OS</v>
          </cell>
          <cell r="D248" t="str">
            <v>OS</v>
          </cell>
          <cell r="E248" t="str">
            <v>ZHHI</v>
          </cell>
          <cell r="F248" t="str">
            <v>L10</v>
          </cell>
          <cell r="G248" t="str">
            <v>82EL017 Normal distr. board and lighting &amp; small power LQ (L17)</v>
          </cell>
          <cell r="I248">
            <v>41374</v>
          </cell>
        </row>
        <row r="249">
          <cell r="B249" t="str">
            <v>8202-C07</v>
          </cell>
          <cell r="C249" t="str">
            <v>OS</v>
          </cell>
          <cell r="D249" t="str">
            <v>OS</v>
          </cell>
          <cell r="E249" t="str">
            <v>ZHHI</v>
          </cell>
          <cell r="F249" t="str">
            <v>P20</v>
          </cell>
          <cell r="G249" t="str">
            <v>82EL003 Lighting and Small Power Topside P20,P30,B3-1</v>
          </cell>
          <cell r="I249">
            <v>41375</v>
          </cell>
        </row>
        <row r="250">
          <cell r="B250" t="str">
            <v>8701-C08</v>
          </cell>
          <cell r="C250" t="str">
            <v>OS</v>
          </cell>
          <cell r="D250" t="str">
            <v>OS</v>
          </cell>
          <cell r="E250" t="str">
            <v>ZHHI</v>
          </cell>
          <cell r="F250" t="str">
            <v>Q30</v>
          </cell>
          <cell r="G250" t="str">
            <v>Panel 87JC002 - Node C02 - 20 Separation and stabilization (PCS) (LER)</v>
          </cell>
          <cell r="I250">
            <v>41375</v>
          </cell>
        </row>
        <row r="251">
          <cell r="B251" t="str">
            <v>3301-C03</v>
          </cell>
          <cell r="C251" t="str">
            <v>OS</v>
          </cell>
          <cell r="D251" t="str">
            <v>OS</v>
          </cell>
          <cell r="E251" t="str">
            <v>ZHHI</v>
          </cell>
          <cell r="F251" t="str">
            <v>M10</v>
          </cell>
          <cell r="G251" t="str">
            <v>Cow ringmain and heaters 33HB001/2</v>
          </cell>
          <cell r="I251">
            <v>41376</v>
          </cell>
        </row>
        <row r="252">
          <cell r="B252" t="str">
            <v>6201-C02</v>
          </cell>
          <cell r="C252" t="str">
            <v>OS</v>
          </cell>
          <cell r="D252" t="str">
            <v>OS</v>
          </cell>
          <cell r="E252" t="str">
            <v>ZHHI</v>
          </cell>
          <cell r="F252" t="str">
            <v>N10</v>
          </cell>
          <cell r="G252" t="str">
            <v>Diesel overflow pipe and tank 62TB005</v>
          </cell>
          <cell r="I252">
            <v>41376</v>
          </cell>
        </row>
        <row r="253">
          <cell r="B253" t="str">
            <v>6201-C05</v>
          </cell>
          <cell r="C253" t="str">
            <v>OS</v>
          </cell>
          <cell r="D253" t="str">
            <v>OS</v>
          </cell>
          <cell r="E253" t="str">
            <v>ZHHI</v>
          </cell>
          <cell r="F253" t="str">
            <v>N10</v>
          </cell>
          <cell r="G253" t="str">
            <v>Diesel sevice Pumps 62PA004A/B &amp; distribution pipe</v>
          </cell>
          <cell r="I253">
            <v>41376</v>
          </cell>
        </row>
        <row r="254">
          <cell r="B254" t="str">
            <v>8401-C14</v>
          </cell>
          <cell r="C254" t="str">
            <v>OS</v>
          </cell>
          <cell r="D254" t="str">
            <v>OS</v>
          </cell>
          <cell r="E254" t="str">
            <v>ZHHI</v>
          </cell>
          <cell r="F254" t="str">
            <v>L10</v>
          </cell>
          <cell r="G254" t="str">
            <v>84EL018 Emergency distr. board and lighting &amp; small power LQ (L18)</v>
          </cell>
          <cell r="I254">
            <v>41376</v>
          </cell>
        </row>
        <row r="255">
          <cell r="B255" t="str">
            <v>8701-C27</v>
          </cell>
          <cell r="C255" t="str">
            <v>OS</v>
          </cell>
          <cell r="D255" t="str">
            <v>OS</v>
          </cell>
          <cell r="E255" t="str">
            <v>ZHHI</v>
          </cell>
          <cell r="F255" t="str">
            <v>Q30</v>
          </cell>
          <cell r="G255" t="str">
            <v>Panel 87JC025 - Node C25/26 - 82 Heat tracing (PCS) (LER)</v>
          </cell>
          <cell r="I255">
            <v>41376</v>
          </cell>
        </row>
        <row r="256">
          <cell r="B256" t="str">
            <v>8703-C07</v>
          </cell>
          <cell r="C256" t="str">
            <v>OS</v>
          </cell>
          <cell r="D256" t="str">
            <v>OS</v>
          </cell>
          <cell r="E256" t="str">
            <v>ZHHI</v>
          </cell>
          <cell r="F256" t="str">
            <v>Q30</v>
          </cell>
          <cell r="G256" t="str">
            <v>Panel 87JJ004 - Condition Monitoring / Vibration (PCS) (LER)</v>
          </cell>
          <cell r="I256">
            <v>41376</v>
          </cell>
        </row>
        <row r="257">
          <cell r="B257" t="str">
            <v>2301-C03</v>
          </cell>
          <cell r="C257" t="str">
            <v>OS</v>
          </cell>
          <cell r="D257" t="str">
            <v>OS</v>
          </cell>
          <cell r="E257" t="str">
            <v>ZHHI</v>
          </cell>
          <cell r="F257" t="str">
            <v>P40</v>
          </cell>
          <cell r="G257" t="str">
            <v>1st/2nd Stage Recompressor, 23KA001</v>
          </cell>
          <cell r="I257">
            <v>41377</v>
          </cell>
        </row>
        <row r="258">
          <cell r="B258" t="str">
            <v>4101-C01</v>
          </cell>
          <cell r="C258" t="str">
            <v>OS</v>
          </cell>
          <cell r="D258" t="str">
            <v>OS</v>
          </cell>
          <cell r="E258" t="str">
            <v>ZHHI</v>
          </cell>
          <cell r="F258" t="str">
            <v>P30</v>
          </cell>
          <cell r="G258" t="str">
            <v>Heating medium distribution &amp; expansion tank 41VL001</v>
          </cell>
          <cell r="I258">
            <v>41377</v>
          </cell>
        </row>
        <row r="259">
          <cell r="B259" t="str">
            <v>8701-C16</v>
          </cell>
          <cell r="C259" t="str">
            <v>OS</v>
          </cell>
          <cell r="D259" t="str">
            <v>OS</v>
          </cell>
          <cell r="E259" t="str">
            <v>ZHHI</v>
          </cell>
          <cell r="F259" t="str">
            <v>Q30</v>
          </cell>
          <cell r="G259" t="str">
            <v>Panel 87JC010 - Node C10 - 42 Chemical injection (PCS) (LER)</v>
          </cell>
          <cell r="I259">
            <v>41377</v>
          </cell>
        </row>
        <row r="260">
          <cell r="B260" t="str">
            <v>Comm. package</v>
          </cell>
          <cell r="C260" t="str">
            <v>Comm. st.</v>
          </cell>
          <cell r="D260" t="str">
            <v>MC st.</v>
          </cell>
          <cell r="E260" t="str">
            <v>Comm. resp.</v>
          </cell>
          <cell r="F260" t="str">
            <v>Comm. area</v>
          </cell>
          <cell r="G260" t="str">
            <v>Description</v>
          </cell>
          <cell r="H260" t="str">
            <v>Priority</v>
          </cell>
          <cell r="I260" t="str">
            <v>Planned startup</v>
          </cell>
        </row>
        <row r="261">
          <cell r="B261" t="str">
            <v>5701-C04</v>
          </cell>
          <cell r="C261" t="str">
            <v>OS</v>
          </cell>
          <cell r="D261" t="str">
            <v>OS</v>
          </cell>
          <cell r="E261" t="str">
            <v>ZHHI</v>
          </cell>
          <cell r="F261" t="str">
            <v>M20</v>
          </cell>
          <cell r="G261" t="str">
            <v>Closed Drain, Pumped Sources Header</v>
          </cell>
          <cell r="I261">
            <v>41379</v>
          </cell>
        </row>
        <row r="262">
          <cell r="B262" t="str">
            <v>6201-C06</v>
          </cell>
          <cell r="C262" t="str">
            <v>OS</v>
          </cell>
          <cell r="D262" t="str">
            <v>OS</v>
          </cell>
          <cell r="E262" t="str">
            <v>ZHHI</v>
          </cell>
          <cell r="F262" t="str">
            <v>N10</v>
          </cell>
          <cell r="G262" t="str">
            <v>Diesel drain pipe and pump 62PF005</v>
          </cell>
          <cell r="I262">
            <v>41379</v>
          </cell>
        </row>
        <row r="263">
          <cell r="B263" t="str">
            <v>7301-C04</v>
          </cell>
          <cell r="C263" t="str">
            <v>OS</v>
          </cell>
          <cell r="D263" t="str">
            <v>OS</v>
          </cell>
          <cell r="E263" t="str">
            <v>ZHHI</v>
          </cell>
          <cell r="F263" t="str">
            <v>G20</v>
          </cell>
          <cell r="G263" t="str">
            <v>73MC002 Centre Shaft Elevator</v>
          </cell>
          <cell r="I263">
            <v>41379</v>
          </cell>
        </row>
        <row r="264">
          <cell r="B264" t="str">
            <v>8201-C08</v>
          </cell>
          <cell r="C264" t="str">
            <v>OS</v>
          </cell>
          <cell r="D264" t="str">
            <v>OS</v>
          </cell>
          <cell r="E264" t="str">
            <v>ZHHI</v>
          </cell>
          <cell r="F264" t="str">
            <v>Q20</v>
          </cell>
          <cell r="G264" t="str">
            <v>82EL002 Heat trace switchboard 400/230V</v>
          </cell>
          <cell r="I264">
            <v>41379</v>
          </cell>
        </row>
        <row r="265">
          <cell r="B265" t="str">
            <v>8201-C09</v>
          </cell>
          <cell r="C265" t="str">
            <v>OS</v>
          </cell>
          <cell r="D265" t="str">
            <v>OS</v>
          </cell>
          <cell r="E265" t="str">
            <v>ZHHI</v>
          </cell>
          <cell r="F265" t="str">
            <v>Q20</v>
          </cell>
          <cell r="G265" t="str">
            <v>82EL005 Heat trace switchboard 400/230V</v>
          </cell>
          <cell r="I265">
            <v>41379</v>
          </cell>
        </row>
        <row r="266">
          <cell r="B266" t="str">
            <v>8201-C18</v>
          </cell>
          <cell r="C266" t="str">
            <v>OS</v>
          </cell>
          <cell r="D266" t="str">
            <v>OS</v>
          </cell>
          <cell r="E266" t="str">
            <v>ZHHI</v>
          </cell>
          <cell r="F266" t="str">
            <v>L10</v>
          </cell>
          <cell r="G266" t="str">
            <v>82EL018 Normal distr. board and lighting &amp; small power LQ (L18)</v>
          </cell>
          <cell r="I266">
            <v>41379</v>
          </cell>
        </row>
        <row r="267">
          <cell r="B267" t="str">
            <v>8202-C08</v>
          </cell>
          <cell r="C267" t="str">
            <v>OS</v>
          </cell>
          <cell r="D267" t="str">
            <v>OS</v>
          </cell>
          <cell r="E267" t="str">
            <v>ZHHI</v>
          </cell>
          <cell r="F267" t="str">
            <v>P50</v>
          </cell>
          <cell r="G267" t="str">
            <v>82EL003 Lighting and Small Power Topside,P50,B3-2</v>
          </cell>
          <cell r="I267">
            <v>41380</v>
          </cell>
        </row>
        <row r="268">
          <cell r="B268" t="str">
            <v>8701-C09</v>
          </cell>
          <cell r="C268" t="str">
            <v>OS</v>
          </cell>
          <cell r="D268" t="str">
            <v>OS</v>
          </cell>
          <cell r="E268" t="str">
            <v>ZHHI</v>
          </cell>
          <cell r="F268" t="str">
            <v>Q30</v>
          </cell>
          <cell r="G268" t="str">
            <v>Panel 87JC003 - Node C03 - 29 Water injection (PCS) (LER)</v>
          </cell>
          <cell r="I268">
            <v>41381</v>
          </cell>
        </row>
        <row r="269">
          <cell r="B269" t="str">
            <v>8401-C15</v>
          </cell>
          <cell r="C269" t="str">
            <v>OS</v>
          </cell>
          <cell r="D269" t="str">
            <v>OS</v>
          </cell>
          <cell r="E269" t="str">
            <v>ZHHI</v>
          </cell>
          <cell r="F269" t="str">
            <v>N10</v>
          </cell>
          <cell r="G269" t="str">
            <v>84EL029 Emengency distr. board North shaft Bus A</v>
          </cell>
          <cell r="I269">
            <v>41382</v>
          </cell>
        </row>
        <row r="270">
          <cell r="B270" t="str">
            <v>5601-C03</v>
          </cell>
          <cell r="C270" t="str">
            <v>OS</v>
          </cell>
          <cell r="D270" t="str">
            <v>OS</v>
          </cell>
          <cell r="E270" t="str">
            <v>ZHHI</v>
          </cell>
          <cell r="F270" t="str">
            <v>M10</v>
          </cell>
          <cell r="G270" t="str">
            <v>Non Hazardous open drain header</v>
          </cell>
          <cell r="I270">
            <v>41383</v>
          </cell>
        </row>
        <row r="271">
          <cell r="B271" t="str">
            <v>8201-C19</v>
          </cell>
          <cell r="C271" t="str">
            <v>OS</v>
          </cell>
          <cell r="D271" t="str">
            <v>OS</v>
          </cell>
          <cell r="E271" t="str">
            <v>ZHHI</v>
          </cell>
          <cell r="F271" t="str">
            <v>L10</v>
          </cell>
          <cell r="G271" t="str">
            <v>82EL019 Normal distr. board LQ (CER L12)</v>
          </cell>
          <cell r="I271">
            <v>41383</v>
          </cell>
        </row>
        <row r="272">
          <cell r="B272" t="str">
            <v>8701-C11</v>
          </cell>
          <cell r="C272" t="str">
            <v>OS</v>
          </cell>
          <cell r="D272" t="str">
            <v>OS</v>
          </cell>
          <cell r="E272" t="str">
            <v>ZHHI</v>
          </cell>
          <cell r="F272" t="str">
            <v>Q30</v>
          </cell>
          <cell r="G272" t="str">
            <v>Panel 87JC005 - Node C05 - 46 MEG injection (PCS) (LER)</v>
          </cell>
          <cell r="I272">
            <v>41383</v>
          </cell>
        </row>
        <row r="273">
          <cell r="B273" t="str">
            <v>7301-C05</v>
          </cell>
          <cell r="C273" t="str">
            <v>OS</v>
          </cell>
          <cell r="D273" t="str">
            <v>OS</v>
          </cell>
          <cell r="E273" t="str">
            <v>ZHHI</v>
          </cell>
          <cell r="F273" t="str">
            <v>N10</v>
          </cell>
          <cell r="G273" t="str">
            <v>73MC003 North Shaft Elevator</v>
          </cell>
          <cell r="I273">
            <v>41384</v>
          </cell>
        </row>
        <row r="274">
          <cell r="B274" t="str">
            <v>8401-C16</v>
          </cell>
          <cell r="C274" t="str">
            <v>OS</v>
          </cell>
          <cell r="D274" t="str">
            <v>OS</v>
          </cell>
          <cell r="E274" t="str">
            <v>ZHHI</v>
          </cell>
          <cell r="F274" t="str">
            <v>N10</v>
          </cell>
          <cell r="G274" t="str">
            <v>84EL030 Emengency distr. board North shaft Bus B</v>
          </cell>
          <cell r="I274">
            <v>41384</v>
          </cell>
        </row>
        <row r="275">
          <cell r="B275" t="str">
            <v>8402-C06</v>
          </cell>
          <cell r="C275" t="str">
            <v>OS</v>
          </cell>
          <cell r="D275" t="str">
            <v>OS</v>
          </cell>
          <cell r="E275" t="str">
            <v>ZHHI</v>
          </cell>
          <cell r="F275" t="str">
            <v>N10</v>
          </cell>
          <cell r="G275" t="str">
            <v>84EL029 Emergency Lighting &amp; Small power North shaft Bus A</v>
          </cell>
          <cell r="I275">
            <v>41384</v>
          </cell>
        </row>
        <row r="276">
          <cell r="B276" t="str">
            <v>6401-C04</v>
          </cell>
          <cell r="C276" t="str">
            <v>OS</v>
          </cell>
          <cell r="D276" t="str">
            <v>OS</v>
          </cell>
          <cell r="E276" t="str">
            <v>ZHHI</v>
          </cell>
          <cell r="F276" t="str">
            <v>Q30</v>
          </cell>
          <cell r="G276" t="str">
            <v>Inertgas Generator, 64XX001</v>
          </cell>
          <cell r="I276">
            <v>41386</v>
          </cell>
        </row>
        <row r="277">
          <cell r="B277" t="str">
            <v>Comm. package</v>
          </cell>
          <cell r="C277" t="str">
            <v>Comm. st.</v>
          </cell>
          <cell r="D277" t="str">
            <v>MC st.</v>
          </cell>
          <cell r="E277" t="str">
            <v>Comm. resp.</v>
          </cell>
          <cell r="F277" t="str">
            <v>Comm. area</v>
          </cell>
          <cell r="G277" t="str">
            <v>Description</v>
          </cell>
          <cell r="H277" t="str">
            <v>Priority</v>
          </cell>
          <cell r="I277" t="str">
            <v>Planned startup</v>
          </cell>
        </row>
        <row r="278">
          <cell r="B278" t="str">
            <v>7701-C04</v>
          </cell>
          <cell r="C278" t="str">
            <v>OS</v>
          </cell>
          <cell r="D278" t="str">
            <v>OS</v>
          </cell>
          <cell r="E278" t="str">
            <v>ZHHI</v>
          </cell>
          <cell r="F278" t="str">
            <v>L10</v>
          </cell>
          <cell r="G278" t="str">
            <v>LQ Main Extract System 77GA110A/B</v>
          </cell>
          <cell r="I278">
            <v>41386</v>
          </cell>
        </row>
        <row r="279">
          <cell r="B279" t="str">
            <v>8682-C02</v>
          </cell>
          <cell r="C279" t="str">
            <v>OS</v>
          </cell>
          <cell r="D279" t="str">
            <v>OS</v>
          </cell>
          <cell r="E279" t="str">
            <v>ZHHI</v>
          </cell>
          <cell r="F279" t="str">
            <v>Q30</v>
          </cell>
          <cell r="G279" t="str">
            <v>Telecom power supply 86RA004B Emergency PA rectifier (LER)</v>
          </cell>
          <cell r="I279">
            <v>41386</v>
          </cell>
        </row>
        <row r="280">
          <cell r="B280" t="str">
            <v>8201-C20</v>
          </cell>
          <cell r="C280" t="str">
            <v>OS</v>
          </cell>
          <cell r="D280" t="str">
            <v>OS</v>
          </cell>
          <cell r="E280" t="str">
            <v>ZHHI</v>
          </cell>
          <cell r="F280" t="str">
            <v>L10</v>
          </cell>
          <cell r="G280" t="str">
            <v>82EL020 Normal distr. board LQ (CER L17)</v>
          </cell>
          <cell r="I280">
            <v>41387</v>
          </cell>
        </row>
        <row r="281">
          <cell r="B281" t="str">
            <v>8201-C21</v>
          </cell>
          <cell r="C281" t="str">
            <v>OS</v>
          </cell>
          <cell r="D281" t="str">
            <v>OS</v>
          </cell>
          <cell r="E281" t="str">
            <v>ZHHI</v>
          </cell>
          <cell r="F281" t="str">
            <v>L10</v>
          </cell>
          <cell r="G281" t="str">
            <v>82EL007 Laundry distr. board LQ (L13)</v>
          </cell>
          <cell r="I281">
            <v>41387</v>
          </cell>
        </row>
        <row r="282">
          <cell r="B282" t="str">
            <v>8401-C17</v>
          </cell>
          <cell r="C282" t="str">
            <v>OS</v>
          </cell>
          <cell r="D282" t="str">
            <v>OS</v>
          </cell>
          <cell r="E282" t="str">
            <v>ZHHI</v>
          </cell>
          <cell r="F282" t="str">
            <v>G20</v>
          </cell>
          <cell r="G282" t="str">
            <v>84EL031 Emengency distr. board Center shaft Bus A</v>
          </cell>
          <cell r="I282">
            <v>41387</v>
          </cell>
        </row>
        <row r="283">
          <cell r="B283" t="str">
            <v>8402-C07</v>
          </cell>
          <cell r="C283" t="str">
            <v>OS</v>
          </cell>
          <cell r="D283" t="str">
            <v>OS</v>
          </cell>
          <cell r="E283" t="str">
            <v>ZHHI</v>
          </cell>
          <cell r="F283" t="str">
            <v>N10</v>
          </cell>
          <cell r="G283" t="str">
            <v>84EL030 Emergency Lighting &amp; Small power North shaft Bus B</v>
          </cell>
          <cell r="I283">
            <v>41387</v>
          </cell>
        </row>
        <row r="284">
          <cell r="B284" t="str">
            <v>8705-C01</v>
          </cell>
          <cell r="C284" t="str">
            <v>OS</v>
          </cell>
          <cell r="D284" t="str">
            <v>OS</v>
          </cell>
          <cell r="E284" t="str">
            <v>ZHHI</v>
          </cell>
          <cell r="F284" t="str">
            <v>Q30</v>
          </cell>
          <cell r="G284" t="str">
            <v>Panel 87JC101 - Metering cabinet - Stream (LER)</v>
          </cell>
          <cell r="I284">
            <v>41387</v>
          </cell>
        </row>
        <row r="285">
          <cell r="B285" t="str">
            <v>9401-C04</v>
          </cell>
          <cell r="C285" t="str">
            <v>OS</v>
          </cell>
          <cell r="D285" t="str">
            <v>OS</v>
          </cell>
          <cell r="E285" t="str">
            <v>ZHHI</v>
          </cell>
          <cell r="F285" t="str">
            <v>Q30</v>
          </cell>
          <cell r="G285" t="str">
            <v>Panel 94JC023 - Node C21/C22 - Mooring (PCS) (LER)</v>
          </cell>
          <cell r="I285">
            <v>41387</v>
          </cell>
        </row>
        <row r="286">
          <cell r="B286" t="str">
            <v>8401-C18</v>
          </cell>
          <cell r="C286" t="str">
            <v>OS</v>
          </cell>
          <cell r="D286" t="str">
            <v>OS</v>
          </cell>
          <cell r="E286" t="str">
            <v>ZHHI</v>
          </cell>
          <cell r="F286" t="str">
            <v>G20</v>
          </cell>
          <cell r="G286" t="str">
            <v>84EL032 Emengency distr. board Center shaft Bus B</v>
          </cell>
          <cell r="I286">
            <v>41388</v>
          </cell>
        </row>
        <row r="287">
          <cell r="B287" t="str">
            <v>8402-C08</v>
          </cell>
          <cell r="C287" t="str">
            <v>OS</v>
          </cell>
          <cell r="D287" t="str">
            <v>OS</v>
          </cell>
          <cell r="E287" t="str">
            <v>ZHHI</v>
          </cell>
          <cell r="F287" t="str">
            <v>G20</v>
          </cell>
          <cell r="G287" t="str">
            <v>84EL031 Emergency Lighting &amp; Small power Center shaft Bus A</v>
          </cell>
          <cell r="I287">
            <v>41388</v>
          </cell>
        </row>
        <row r="288">
          <cell r="B288" t="str">
            <v>8201-C22</v>
          </cell>
          <cell r="C288" t="str">
            <v>OS</v>
          </cell>
          <cell r="D288" t="str">
            <v>OS</v>
          </cell>
          <cell r="E288" t="str">
            <v>ZHHI</v>
          </cell>
          <cell r="F288" t="str">
            <v>L10</v>
          </cell>
          <cell r="G288" t="str">
            <v>82EL008 Galley distr. board LQ (L13)</v>
          </cell>
          <cell r="I288">
            <v>41389</v>
          </cell>
        </row>
        <row r="289">
          <cell r="B289" t="str">
            <v>8705-C02</v>
          </cell>
          <cell r="C289" t="str">
            <v>OS</v>
          </cell>
          <cell r="D289" t="str">
            <v>OS</v>
          </cell>
          <cell r="E289" t="str">
            <v>ZHHI</v>
          </cell>
          <cell r="F289" t="str">
            <v>Q30</v>
          </cell>
          <cell r="G289" t="str">
            <v>Panel 87JC102 - Metering cabinet - Gas (LER)</v>
          </cell>
          <cell r="I289">
            <v>41389</v>
          </cell>
        </row>
        <row r="290">
          <cell r="B290" t="str">
            <v>9401-C05</v>
          </cell>
          <cell r="C290" t="str">
            <v>OS</v>
          </cell>
          <cell r="D290" t="str">
            <v>OS</v>
          </cell>
          <cell r="E290" t="str">
            <v>ZHHI</v>
          </cell>
          <cell r="F290" t="str">
            <v>B10</v>
          </cell>
          <cell r="G290" t="str">
            <v>94CT140 HPU for positioning system Easth</v>
          </cell>
          <cell r="I290">
            <v>41389</v>
          </cell>
        </row>
        <row r="291">
          <cell r="B291" t="str">
            <v>2701-C09</v>
          </cell>
          <cell r="C291" t="str">
            <v>OS</v>
          </cell>
          <cell r="D291" t="str">
            <v>OS</v>
          </cell>
          <cell r="E291" t="str">
            <v>ZHHI</v>
          </cell>
          <cell r="F291" t="str">
            <v>P30</v>
          </cell>
          <cell r="G291" t="str">
            <v>Lube oil system HP compressor 27KA001/2 A</v>
          </cell>
          <cell r="I291">
            <v>41390</v>
          </cell>
        </row>
        <row r="292">
          <cell r="B292" t="str">
            <v>7101-C16</v>
          </cell>
          <cell r="C292" t="str">
            <v>OS</v>
          </cell>
          <cell r="D292" t="str">
            <v>OS</v>
          </cell>
          <cell r="E292" t="str">
            <v>ZHHI</v>
          </cell>
          <cell r="F292" t="str">
            <v>Q30</v>
          </cell>
          <cell r="G292" t="str">
            <v>Panel 71JC101 - Node L55 - FWP EM Diesel 71XX101 (Level 1)</v>
          </cell>
          <cell r="I292">
            <v>41390</v>
          </cell>
        </row>
        <row r="293">
          <cell r="B293" t="str">
            <v>7301-C06</v>
          </cell>
          <cell r="C293" t="str">
            <v>OS</v>
          </cell>
          <cell r="D293" t="str">
            <v>OS</v>
          </cell>
          <cell r="E293" t="str">
            <v>ZHHI</v>
          </cell>
          <cell r="F293" t="str">
            <v>Q20</v>
          </cell>
          <cell r="G293" t="str">
            <v>73MC004 Utility Area Lift West</v>
          </cell>
          <cell r="I293">
            <v>41390</v>
          </cell>
        </row>
        <row r="294">
          <cell r="B294" t="str">
            <v>Comm. package</v>
          </cell>
          <cell r="C294" t="str">
            <v>Comm. st.</v>
          </cell>
          <cell r="D294" t="str">
            <v>MC st.</v>
          </cell>
          <cell r="E294" t="str">
            <v>Comm. resp.</v>
          </cell>
          <cell r="F294" t="str">
            <v>Comm. area</v>
          </cell>
          <cell r="G294" t="str">
            <v>Description</v>
          </cell>
          <cell r="H294" t="str">
            <v>Priority</v>
          </cell>
          <cell r="I294" t="str">
            <v>Planned startup</v>
          </cell>
        </row>
        <row r="295">
          <cell r="B295" t="str">
            <v>8402-C09</v>
          </cell>
          <cell r="C295" t="str">
            <v>OS</v>
          </cell>
          <cell r="D295" t="str">
            <v>OS</v>
          </cell>
          <cell r="E295" t="str">
            <v>ZHHI</v>
          </cell>
          <cell r="F295" t="str">
            <v>G20</v>
          </cell>
          <cell r="G295" t="str">
            <v>84EL032 Emergency Lighting &amp; Small power Center shaft Bus B</v>
          </cell>
          <cell r="I295">
            <v>41390</v>
          </cell>
        </row>
        <row r="296">
          <cell r="B296" t="str">
            <v>2701-C07</v>
          </cell>
          <cell r="C296" t="str">
            <v>OS</v>
          </cell>
          <cell r="D296" t="str">
            <v>OS</v>
          </cell>
          <cell r="E296" t="str">
            <v>ZHHI</v>
          </cell>
          <cell r="F296" t="str">
            <v>P10</v>
          </cell>
          <cell r="G296" t="str">
            <v>Gas injection metering 27JX002</v>
          </cell>
          <cell r="I296">
            <v>41391</v>
          </cell>
        </row>
        <row r="297">
          <cell r="B297" t="str">
            <v>8201-C23</v>
          </cell>
          <cell r="C297" t="str">
            <v>OS</v>
          </cell>
          <cell r="D297" t="str">
            <v>OS</v>
          </cell>
          <cell r="E297" t="str">
            <v>ZHHI</v>
          </cell>
          <cell r="F297" t="str">
            <v>L10</v>
          </cell>
          <cell r="G297" t="str">
            <v>82EL009 Reheater distr. board LQ (L11)</v>
          </cell>
          <cell r="I297">
            <v>41391</v>
          </cell>
        </row>
        <row r="298">
          <cell r="B298" t="str">
            <v>8705-C03</v>
          </cell>
          <cell r="C298" t="str">
            <v>OS</v>
          </cell>
          <cell r="D298" t="str">
            <v>OS</v>
          </cell>
          <cell r="E298" t="str">
            <v>ZHHI</v>
          </cell>
          <cell r="F298" t="str">
            <v>Q30</v>
          </cell>
          <cell r="G298" t="str">
            <v>Panel 87JC103 - Metering cabinet - Flare (LER)</v>
          </cell>
          <cell r="I298">
            <v>41391</v>
          </cell>
        </row>
        <row r="299">
          <cell r="B299" t="str">
            <v>7101-C11</v>
          </cell>
          <cell r="C299" t="str">
            <v>OS</v>
          </cell>
          <cell r="D299" t="str">
            <v>OS</v>
          </cell>
          <cell r="E299" t="str">
            <v>ZHHI</v>
          </cell>
          <cell r="F299" t="str">
            <v>Q30</v>
          </cell>
          <cell r="G299" t="str">
            <v>Diesel Generator for firewater pump A</v>
          </cell>
          <cell r="I299">
            <v>41394</v>
          </cell>
        </row>
        <row r="300">
          <cell r="B300" t="str">
            <v>7101-C17</v>
          </cell>
          <cell r="C300" t="str">
            <v>OS</v>
          </cell>
          <cell r="D300" t="str">
            <v>OS</v>
          </cell>
          <cell r="E300" t="str">
            <v>ZHHI</v>
          </cell>
          <cell r="F300" t="str">
            <v>Q30</v>
          </cell>
          <cell r="G300" t="str">
            <v>Panel 71JC201 - Node L56 - FWP EM Diesel 71XX201 (Level 1)</v>
          </cell>
          <cell r="I300">
            <v>41394</v>
          </cell>
        </row>
        <row r="301">
          <cell r="B301" t="str">
            <v>2701-C05</v>
          </cell>
          <cell r="C301" t="str">
            <v>OS</v>
          </cell>
          <cell r="D301" t="str">
            <v>OS</v>
          </cell>
          <cell r="E301" t="str">
            <v>ZHHI</v>
          </cell>
          <cell r="F301" t="str">
            <v>P30</v>
          </cell>
          <cell r="G301" t="str">
            <v>3rd stage piping, scrubber and cooler for HP compressor 27KA003</v>
          </cell>
          <cell r="I301">
            <v>41395</v>
          </cell>
        </row>
        <row r="302">
          <cell r="B302" t="str">
            <v>4301-C04</v>
          </cell>
          <cell r="C302" t="str">
            <v>OS</v>
          </cell>
          <cell r="D302" t="str">
            <v>OS</v>
          </cell>
          <cell r="E302" t="str">
            <v>ZHHI</v>
          </cell>
          <cell r="F302" t="str">
            <v>F10</v>
          </cell>
          <cell r="G302" t="str">
            <v>HP flare metering, 43JX001</v>
          </cell>
          <cell r="I302">
            <v>41395</v>
          </cell>
        </row>
        <row r="303">
          <cell r="B303" t="str">
            <v>8701-C32</v>
          </cell>
          <cell r="C303" t="str">
            <v>OS</v>
          </cell>
          <cell r="D303" t="str">
            <v>OS</v>
          </cell>
          <cell r="E303" t="str">
            <v>ZHHI</v>
          </cell>
          <cell r="F303" t="str">
            <v>Q30</v>
          </cell>
          <cell r="G303" t="str">
            <v>Panel 87JX111 - Miscellaneous Instrument Analyzers (PCS) (LER)</v>
          </cell>
          <cell r="I303">
            <v>41395</v>
          </cell>
        </row>
        <row r="304">
          <cell r="B304" t="str">
            <v>3301-C04</v>
          </cell>
          <cell r="C304" t="str">
            <v>OS</v>
          </cell>
          <cell r="D304" t="str">
            <v>OS</v>
          </cell>
          <cell r="E304" t="str">
            <v>ZHHI</v>
          </cell>
          <cell r="F304" t="str">
            <v>G20</v>
          </cell>
          <cell r="G304" t="str">
            <v>Stripping/Crow/Pigging pumps 33PG002A/B</v>
          </cell>
          <cell r="I304">
            <v>41396</v>
          </cell>
        </row>
        <row r="305">
          <cell r="B305" t="str">
            <v>7701-C05</v>
          </cell>
          <cell r="C305" t="str">
            <v>OS</v>
          </cell>
          <cell r="D305" t="str">
            <v>OS</v>
          </cell>
          <cell r="E305" t="str">
            <v>ZHHI</v>
          </cell>
          <cell r="F305" t="str">
            <v>L10</v>
          </cell>
          <cell r="G305" t="str">
            <v>LQ Galley Supply System 77GA106</v>
          </cell>
          <cell r="I305">
            <v>41396</v>
          </cell>
        </row>
        <row r="306">
          <cell r="B306" t="str">
            <v>2701-C20</v>
          </cell>
          <cell r="C306" t="str">
            <v>OS</v>
          </cell>
          <cell r="D306" t="str">
            <v>OS</v>
          </cell>
          <cell r="E306" t="str">
            <v>ZHHI</v>
          </cell>
          <cell r="F306" t="str">
            <v>P10</v>
          </cell>
          <cell r="G306" t="str">
            <v>Gas Lift Metering 27JX003</v>
          </cell>
          <cell r="I306">
            <v>41397</v>
          </cell>
        </row>
        <row r="307">
          <cell r="B307" t="str">
            <v>7101-C15</v>
          </cell>
          <cell r="C307" t="str">
            <v>OS</v>
          </cell>
          <cell r="D307" t="str">
            <v>OS</v>
          </cell>
          <cell r="E307" t="str">
            <v>ZHHI</v>
          </cell>
          <cell r="F307" t="str">
            <v>Q30</v>
          </cell>
          <cell r="G307" t="str">
            <v>Panel 71JC301 - Node L54 - FWP EM Diesel 71XX301 (Utility deck)</v>
          </cell>
          <cell r="I307">
            <v>41397</v>
          </cell>
        </row>
        <row r="308">
          <cell r="B308" t="str">
            <v>8701-C33</v>
          </cell>
          <cell r="C308" t="str">
            <v>OS</v>
          </cell>
          <cell r="D308" t="str">
            <v>OS</v>
          </cell>
          <cell r="E308" t="str">
            <v>ZHHI</v>
          </cell>
          <cell r="F308" t="str">
            <v>Q30</v>
          </cell>
          <cell r="G308" t="str">
            <v>Panel 87JX112 - Miscellaneous Instrument Analyzers (PCS) (LER)</v>
          </cell>
          <cell r="I308">
            <v>41397</v>
          </cell>
        </row>
        <row r="309">
          <cell r="B309" t="str">
            <v>8611-C01</v>
          </cell>
          <cell r="C309" t="str">
            <v>OS</v>
          </cell>
          <cell r="D309" t="str">
            <v>OS</v>
          </cell>
          <cell r="E309" t="str">
            <v>ZHHI</v>
          </cell>
          <cell r="F309" t="str">
            <v>L17</v>
          </cell>
          <cell r="G309" t="str">
            <v>Public address and General alarm system A (TER)</v>
          </cell>
          <cell r="I309">
            <v>41398</v>
          </cell>
        </row>
        <row r="310">
          <cell r="B310" t="str">
            <v>8623-C01</v>
          </cell>
          <cell r="C310" t="str">
            <v>OS</v>
          </cell>
          <cell r="D310" t="str">
            <v>OS</v>
          </cell>
          <cell r="E310" t="str">
            <v>ZHHI</v>
          </cell>
          <cell r="F310" t="str">
            <v>L10</v>
          </cell>
          <cell r="G310" t="str">
            <v>Office data network equipment</v>
          </cell>
          <cell r="I310">
            <v>41398</v>
          </cell>
        </row>
        <row r="311">
          <cell r="B311" t="str">
            <v>Comm. package</v>
          </cell>
          <cell r="C311" t="str">
            <v>Comm. st.</v>
          </cell>
          <cell r="D311" t="str">
            <v>MC st.</v>
          </cell>
          <cell r="E311" t="str">
            <v>Comm. resp.</v>
          </cell>
          <cell r="F311" t="str">
            <v>Comm. area</v>
          </cell>
          <cell r="G311" t="str">
            <v>Description</v>
          </cell>
          <cell r="H311" t="str">
            <v>Priority</v>
          </cell>
          <cell r="I311" t="str">
            <v>Planned startup</v>
          </cell>
        </row>
        <row r="312">
          <cell r="B312" t="str">
            <v>8641-C01</v>
          </cell>
          <cell r="C312" t="str">
            <v>OS</v>
          </cell>
          <cell r="D312" t="str">
            <v>OS</v>
          </cell>
          <cell r="E312" t="str">
            <v>ZHHI</v>
          </cell>
          <cell r="F312" t="str">
            <v>L10</v>
          </cell>
          <cell r="G312" t="str">
            <v>General radio system</v>
          </cell>
          <cell r="I312">
            <v>41398</v>
          </cell>
        </row>
        <row r="313">
          <cell r="B313" t="str">
            <v>9401-C06</v>
          </cell>
          <cell r="C313" t="str">
            <v>OS</v>
          </cell>
          <cell r="D313" t="str">
            <v>OS</v>
          </cell>
          <cell r="E313" t="str">
            <v>ZHHI</v>
          </cell>
          <cell r="F313" t="str">
            <v>B20</v>
          </cell>
          <cell r="G313" t="str">
            <v>94CT240 HPU for positioning system South</v>
          </cell>
          <cell r="I313">
            <v>41399</v>
          </cell>
        </row>
        <row r="314">
          <cell r="B314" t="str">
            <v>6401-C05</v>
          </cell>
          <cell r="C314" t="str">
            <v>OS</v>
          </cell>
          <cell r="D314" t="str">
            <v>OS</v>
          </cell>
          <cell r="E314" t="str">
            <v>ZHHI</v>
          </cell>
          <cell r="F314" t="str">
            <v>F20</v>
          </cell>
          <cell r="G314" t="str">
            <v>Tank Vent System, Primary &amp; Secondary</v>
          </cell>
          <cell r="I314">
            <v>41400</v>
          </cell>
        </row>
        <row r="315">
          <cell r="B315" t="str">
            <v>2701-C08</v>
          </cell>
          <cell r="C315" t="str">
            <v>OS</v>
          </cell>
          <cell r="D315" t="str">
            <v>OS</v>
          </cell>
          <cell r="E315" t="str">
            <v>ZHHI</v>
          </cell>
          <cell r="F315" t="str">
            <v>P32</v>
          </cell>
          <cell r="G315" t="str">
            <v>Temporary pig launcher, gas lift 27LE001/002</v>
          </cell>
          <cell r="I315">
            <v>41401</v>
          </cell>
        </row>
        <row r="316">
          <cell r="B316" t="str">
            <v>4101-C02</v>
          </cell>
          <cell r="C316" t="str">
            <v>OS</v>
          </cell>
          <cell r="D316" t="str">
            <v>OS</v>
          </cell>
          <cell r="E316" t="str">
            <v>ZHHI</v>
          </cell>
          <cell r="F316" t="str">
            <v>Q20</v>
          </cell>
          <cell r="G316" t="str">
            <v>Waste heat recovery unit 41HW001</v>
          </cell>
          <cell r="I316">
            <v>41401</v>
          </cell>
        </row>
        <row r="317">
          <cell r="B317" t="str">
            <v>4301-C06</v>
          </cell>
          <cell r="C317" t="str">
            <v>OS</v>
          </cell>
          <cell r="D317" t="str">
            <v>OS</v>
          </cell>
          <cell r="E317" t="str">
            <v>ZHHI</v>
          </cell>
          <cell r="F317" t="str">
            <v>F10</v>
          </cell>
          <cell r="G317" t="str">
            <v>LP flare metering, 43JX002</v>
          </cell>
          <cell r="I317">
            <v>41401</v>
          </cell>
        </row>
        <row r="318">
          <cell r="B318" t="str">
            <v>7101-C18</v>
          </cell>
          <cell r="C318" t="str">
            <v>OS</v>
          </cell>
          <cell r="D318" t="str">
            <v>OS</v>
          </cell>
          <cell r="E318" t="str">
            <v>ZHHI</v>
          </cell>
          <cell r="F318" t="str">
            <v>Q30</v>
          </cell>
          <cell r="G318" t="str">
            <v>Panel 71JC401 - Node L57 - FWP EM Diesel 71XX401 (Level 1)</v>
          </cell>
          <cell r="I318">
            <v>41401</v>
          </cell>
        </row>
        <row r="319">
          <cell r="B319" t="str">
            <v>7301-C07</v>
          </cell>
          <cell r="C319" t="str">
            <v>OS</v>
          </cell>
          <cell r="D319" t="str">
            <v>OS</v>
          </cell>
          <cell r="E319" t="str">
            <v>ZHHI</v>
          </cell>
          <cell r="F319" t="str">
            <v>L10</v>
          </cell>
          <cell r="G319" t="str">
            <v>73MC005 Personnel LQ Elevator</v>
          </cell>
          <cell r="I319">
            <v>41401</v>
          </cell>
        </row>
        <row r="320">
          <cell r="B320" t="str">
            <v>7701-C06</v>
          </cell>
          <cell r="C320" t="str">
            <v>OS</v>
          </cell>
          <cell r="D320" t="str">
            <v>OS</v>
          </cell>
          <cell r="E320" t="str">
            <v>ZHHI</v>
          </cell>
          <cell r="F320" t="str">
            <v>L10</v>
          </cell>
          <cell r="G320" t="str">
            <v>LQ Galley Extract System 77GK107</v>
          </cell>
          <cell r="I320">
            <v>41401</v>
          </cell>
        </row>
        <row r="321">
          <cell r="B321" t="str">
            <v>8701-C34</v>
          </cell>
          <cell r="C321" t="str">
            <v>OS</v>
          </cell>
          <cell r="D321" t="str">
            <v>OS</v>
          </cell>
          <cell r="E321" t="str">
            <v>ZHHI</v>
          </cell>
          <cell r="F321" t="str">
            <v>Q30</v>
          </cell>
          <cell r="G321" t="str">
            <v>Panel 87JC027 - Node C29 - 82 Heat tracing (PCS) (LER)</v>
          </cell>
          <cell r="I321">
            <v>41401</v>
          </cell>
        </row>
        <row r="322">
          <cell r="B322" t="str">
            <v>5201-C01</v>
          </cell>
          <cell r="C322" t="str">
            <v>OS</v>
          </cell>
          <cell r="D322" t="str">
            <v>OS</v>
          </cell>
          <cell r="E322" t="str">
            <v>ZHHI</v>
          </cell>
          <cell r="F322" t="str">
            <v>G20</v>
          </cell>
          <cell r="G322" t="str">
            <v>Ballast Water Emergency Pumps, 52PA001</v>
          </cell>
          <cell r="I322">
            <v>41403</v>
          </cell>
        </row>
        <row r="323">
          <cell r="B323" t="str">
            <v>8701-C28</v>
          </cell>
          <cell r="C323" t="str">
            <v>OS</v>
          </cell>
          <cell r="D323" t="str">
            <v>OS</v>
          </cell>
          <cell r="E323" t="str">
            <v>ZHHI</v>
          </cell>
          <cell r="F323" t="str">
            <v>Q30</v>
          </cell>
          <cell r="G323" t="str">
            <v>Panel 87JC026 - Node C27/28 - 82 Heat tracing (PCS) (LER)</v>
          </cell>
          <cell r="I323">
            <v>41403</v>
          </cell>
        </row>
        <row r="324">
          <cell r="B324" t="str">
            <v>5201-C04</v>
          </cell>
          <cell r="C324" t="str">
            <v>OS</v>
          </cell>
          <cell r="D324" t="str">
            <v>OS</v>
          </cell>
          <cell r="E324" t="str">
            <v>ZHHI</v>
          </cell>
          <cell r="F324" t="str">
            <v>G10</v>
          </cell>
          <cell r="G324" t="str">
            <v>Ballast Ring Line, To From Ballast Tanks</v>
          </cell>
          <cell r="I324">
            <v>41404</v>
          </cell>
        </row>
        <row r="325">
          <cell r="B325" t="str">
            <v>7701-C09</v>
          </cell>
          <cell r="C325" t="str">
            <v>OS</v>
          </cell>
          <cell r="D325" t="str">
            <v>OS</v>
          </cell>
          <cell r="E325" t="str">
            <v>ZHHI</v>
          </cell>
          <cell r="F325" t="str">
            <v>L10</v>
          </cell>
          <cell r="G325" t="str">
            <v>LQ Laundry Areas Extract System 77GK125</v>
          </cell>
          <cell r="I325">
            <v>41404</v>
          </cell>
        </row>
        <row r="326">
          <cell r="B326" t="str">
            <v>1840-C11</v>
          </cell>
          <cell r="C326" t="str">
            <v>OS</v>
          </cell>
          <cell r="D326" t="str">
            <v>OS</v>
          </cell>
          <cell r="E326" t="str">
            <v>ZHHI</v>
          </cell>
          <cell r="G326" t="str">
            <v>18JC202 (Subsea) - Node S90 - Subsea HPU (LER)</v>
          </cell>
          <cell r="I326">
            <v>41405</v>
          </cell>
        </row>
        <row r="327">
          <cell r="B327" t="str">
            <v>3301-C05</v>
          </cell>
          <cell r="C327" t="str">
            <v>OS</v>
          </cell>
          <cell r="D327" t="str">
            <v>OS</v>
          </cell>
          <cell r="E327" t="str">
            <v>ZHHI</v>
          </cell>
          <cell r="F327" t="str">
            <v>P30</v>
          </cell>
          <cell r="G327" t="str">
            <v>Crude oil offloading fiscal metering package 33JX001</v>
          </cell>
          <cell r="I327">
            <v>41405</v>
          </cell>
        </row>
        <row r="328">
          <cell r="B328" t="str">
            <v>Comm. package</v>
          </cell>
          <cell r="C328" t="str">
            <v>Comm. st.</v>
          </cell>
          <cell r="D328" t="str">
            <v>MC st.</v>
          </cell>
          <cell r="E328" t="str">
            <v>Comm. resp.</v>
          </cell>
          <cell r="F328" t="str">
            <v>Comm. area</v>
          </cell>
          <cell r="G328" t="str">
            <v>Description</v>
          </cell>
          <cell r="H328" t="str">
            <v>Priority</v>
          </cell>
          <cell r="I328" t="str">
            <v>Planned startup</v>
          </cell>
        </row>
        <row r="329">
          <cell r="B329" t="str">
            <v>7101-C01</v>
          </cell>
          <cell r="C329" t="str">
            <v>OS</v>
          </cell>
          <cell r="D329" t="str">
            <v>OS</v>
          </cell>
          <cell r="E329" t="str">
            <v>ZHHI</v>
          </cell>
          <cell r="F329" t="str">
            <v>Q30</v>
          </cell>
          <cell r="G329" t="str">
            <v>Firewater pump 71PI001A</v>
          </cell>
          <cell r="I329">
            <v>41405</v>
          </cell>
        </row>
        <row r="330">
          <cell r="B330" t="str">
            <v>7101-C12</v>
          </cell>
          <cell r="C330" t="str">
            <v>OS</v>
          </cell>
          <cell r="D330" t="str">
            <v>OS</v>
          </cell>
          <cell r="E330" t="str">
            <v>ZHHI</v>
          </cell>
          <cell r="F330" t="str">
            <v>Q30</v>
          </cell>
          <cell r="G330" t="str">
            <v>Diesel Generator for firewater pump B</v>
          </cell>
          <cell r="I330">
            <v>41405</v>
          </cell>
        </row>
        <row r="331">
          <cell r="B331" t="str">
            <v>8701-C30</v>
          </cell>
          <cell r="C331" t="str">
            <v>OS</v>
          </cell>
          <cell r="D331" t="str">
            <v>OS</v>
          </cell>
          <cell r="E331" t="str">
            <v>ZHHI</v>
          </cell>
          <cell r="F331" t="str">
            <v>Q30</v>
          </cell>
          <cell r="G331" t="str">
            <v>Panel 87JC151 - Node L50 (PDCS) (LER)</v>
          </cell>
          <cell r="I331">
            <v>41405</v>
          </cell>
        </row>
        <row r="332">
          <cell r="B332" t="str">
            <v>4101-C03</v>
          </cell>
          <cell r="C332" t="str">
            <v>OS</v>
          </cell>
          <cell r="D332" t="str">
            <v>OS</v>
          </cell>
          <cell r="E332" t="str">
            <v>ZHHI</v>
          </cell>
          <cell r="F332" t="str">
            <v>G20</v>
          </cell>
          <cell r="G332" t="str">
            <v>Heating medium make-up tank 41TA001 and pump 41PA002</v>
          </cell>
          <cell r="I332">
            <v>41406</v>
          </cell>
        </row>
        <row r="333">
          <cell r="B333" t="str">
            <v>7701-C10</v>
          </cell>
          <cell r="C333" t="str">
            <v>OS</v>
          </cell>
          <cell r="D333" t="str">
            <v>OS</v>
          </cell>
          <cell r="E333" t="str">
            <v>ZHHI</v>
          </cell>
          <cell r="F333" t="str">
            <v>L10</v>
          </cell>
          <cell r="G333" t="str">
            <v>LQ Medical Areas Extract System 77GK126</v>
          </cell>
          <cell r="I333">
            <v>41407</v>
          </cell>
        </row>
        <row r="334">
          <cell r="B334" t="str">
            <v>4301-C07</v>
          </cell>
          <cell r="C334" t="str">
            <v>OS</v>
          </cell>
          <cell r="D334" t="str">
            <v>OS</v>
          </cell>
          <cell r="E334" t="str">
            <v>ZHHI</v>
          </cell>
          <cell r="F334" t="str">
            <v>F10</v>
          </cell>
          <cell r="G334" t="str">
            <v>Vapour Recovery Package, 43XX002</v>
          </cell>
          <cell r="I334">
            <v>41408</v>
          </cell>
        </row>
        <row r="335">
          <cell r="B335" t="str">
            <v>5601-C04</v>
          </cell>
          <cell r="C335" t="str">
            <v>OS</v>
          </cell>
          <cell r="D335" t="str">
            <v>OS</v>
          </cell>
          <cell r="E335" t="str">
            <v>ZHHI</v>
          </cell>
          <cell r="F335" t="str">
            <v>M10</v>
          </cell>
          <cell r="G335" t="str">
            <v>Non Hazardous open drain tank 56TA002 and pumps 56PA004A/B</v>
          </cell>
          <cell r="I335">
            <v>41408</v>
          </cell>
        </row>
        <row r="336">
          <cell r="B336" t="str">
            <v>9401-C07</v>
          </cell>
          <cell r="C336" t="str">
            <v>OS</v>
          </cell>
          <cell r="D336" t="str">
            <v>OS</v>
          </cell>
          <cell r="E336" t="str">
            <v>ZHHI</v>
          </cell>
          <cell r="F336" t="str">
            <v>B10</v>
          </cell>
          <cell r="G336" t="str">
            <v>94CT340 HPU for positioning system West</v>
          </cell>
          <cell r="I336">
            <v>41408</v>
          </cell>
        </row>
        <row r="337">
          <cell r="B337" t="str">
            <v>4401-C05</v>
          </cell>
          <cell r="C337" t="str">
            <v>OS</v>
          </cell>
          <cell r="D337" t="str">
            <v>OS</v>
          </cell>
          <cell r="E337" t="str">
            <v>ZHHI</v>
          </cell>
          <cell r="F337" t="str">
            <v>P20</v>
          </cell>
          <cell r="G337" t="str">
            <v>Production &amp; Test Hydrocyclones 44XX001, 44CE001A/B/C</v>
          </cell>
          <cell r="I337">
            <v>41409</v>
          </cell>
        </row>
        <row r="338">
          <cell r="B338" t="str">
            <v>7101-C05</v>
          </cell>
          <cell r="C338" t="str">
            <v>OS</v>
          </cell>
          <cell r="D338" t="str">
            <v>OS</v>
          </cell>
          <cell r="E338" t="str">
            <v>ZHHI</v>
          </cell>
          <cell r="F338" t="str">
            <v>N10</v>
          </cell>
          <cell r="G338" t="str">
            <v>Firewater ringmain / Jockey Pump 71PA002A/002B</v>
          </cell>
          <cell r="I338">
            <v>41409</v>
          </cell>
        </row>
        <row r="339">
          <cell r="B339" t="str">
            <v>2701-C10</v>
          </cell>
          <cell r="C339" t="str">
            <v>OS</v>
          </cell>
          <cell r="D339" t="str">
            <v>OS</v>
          </cell>
          <cell r="E339" t="str">
            <v>ZHHI</v>
          </cell>
          <cell r="F339" t="str">
            <v>P30</v>
          </cell>
          <cell r="G339" t="str">
            <v>Lube oil system HP compressor 27KA001/2 B</v>
          </cell>
          <cell r="I339">
            <v>41410</v>
          </cell>
        </row>
        <row r="340">
          <cell r="B340" t="str">
            <v>7701-C12</v>
          </cell>
          <cell r="C340" t="str">
            <v>OS</v>
          </cell>
          <cell r="D340" t="str">
            <v>OS</v>
          </cell>
          <cell r="E340" t="str">
            <v>ZHHI</v>
          </cell>
          <cell r="F340" t="str">
            <v>G10</v>
          </cell>
          <cell r="G340" t="str">
            <v>G10 Pump Room Extract System 77GK121A/B</v>
          </cell>
          <cell r="I340">
            <v>41410</v>
          </cell>
        </row>
        <row r="341">
          <cell r="B341" t="str">
            <v>2901-C01</v>
          </cell>
          <cell r="C341" t="str">
            <v>OS</v>
          </cell>
          <cell r="D341" t="str">
            <v>OS</v>
          </cell>
          <cell r="E341" t="str">
            <v>ZHHI</v>
          </cell>
          <cell r="F341" t="str">
            <v>P10</v>
          </cell>
          <cell r="G341" t="str">
            <v>Water Injection discharge header and flowlines</v>
          </cell>
          <cell r="I341">
            <v>41411</v>
          </cell>
        </row>
        <row r="342">
          <cell r="B342" t="str">
            <v>4101-C10</v>
          </cell>
          <cell r="C342" t="str">
            <v>OS</v>
          </cell>
          <cell r="D342" t="str">
            <v>OS</v>
          </cell>
          <cell r="E342" t="str">
            <v>ZHHI</v>
          </cell>
          <cell r="F342" t="str">
            <v>M10</v>
          </cell>
          <cell r="G342" t="str">
            <v>Heating Medium Circulation Pumps 41PA001A</v>
          </cell>
          <cell r="I342">
            <v>41411</v>
          </cell>
        </row>
        <row r="343">
          <cell r="B343" t="str">
            <v>4401-C01</v>
          </cell>
          <cell r="C343" t="str">
            <v>OS</v>
          </cell>
          <cell r="D343" t="str">
            <v>OS</v>
          </cell>
          <cell r="E343" t="str">
            <v>ZHHI</v>
          </cell>
          <cell r="F343" t="str">
            <v>P20</v>
          </cell>
          <cell r="G343" t="str">
            <v>From Inlet &amp; Test Separator to Hydrocyclones</v>
          </cell>
          <cell r="I343">
            <v>41411</v>
          </cell>
        </row>
        <row r="344">
          <cell r="B344" t="str">
            <v>8703-C14</v>
          </cell>
          <cell r="C344" t="str">
            <v>OS</v>
          </cell>
          <cell r="D344" t="str">
            <v>OS</v>
          </cell>
          <cell r="E344" t="str">
            <v>ZHHI</v>
          </cell>
          <cell r="F344" t="str">
            <v>Q30</v>
          </cell>
          <cell r="G344" t="str">
            <v>Panel 87JC121 - Subsea Power cable temperature Monitoring system Offshore (DTS) (LER)</v>
          </cell>
          <cell r="I344">
            <v>41412</v>
          </cell>
        </row>
        <row r="345">
          <cell r="B345" t="str">
            <v>Comm. package</v>
          </cell>
          <cell r="C345" t="str">
            <v>Comm. st.</v>
          </cell>
          <cell r="D345" t="str">
            <v>MC st.</v>
          </cell>
          <cell r="E345" t="str">
            <v>Comm. resp.</v>
          </cell>
          <cell r="F345" t="str">
            <v>Comm. area</v>
          </cell>
          <cell r="G345" t="str">
            <v>Description</v>
          </cell>
          <cell r="H345" t="str">
            <v>Priority</v>
          </cell>
          <cell r="I345" t="str">
            <v>Planned startup</v>
          </cell>
        </row>
        <row r="346">
          <cell r="B346" t="str">
            <v>5601-C05</v>
          </cell>
          <cell r="C346" t="str">
            <v>OS</v>
          </cell>
          <cell r="D346" t="str">
            <v>OS</v>
          </cell>
          <cell r="E346" t="str">
            <v>ZHHI</v>
          </cell>
          <cell r="F346" t="str">
            <v>C20</v>
          </cell>
          <cell r="G346" t="str">
            <v>Slop tank west 56TX001 (dirty slop)</v>
          </cell>
          <cell r="I346">
            <v>41413</v>
          </cell>
        </row>
        <row r="347">
          <cell r="B347" t="str">
            <v>2701-C01</v>
          </cell>
          <cell r="C347" t="str">
            <v>OS</v>
          </cell>
          <cell r="D347" t="str">
            <v>OS</v>
          </cell>
          <cell r="E347" t="str">
            <v>ZHHI</v>
          </cell>
          <cell r="F347" t="str">
            <v>P30</v>
          </cell>
          <cell r="G347" t="str">
            <v>1st and 2nd stage piping, scrubber and cooler for HP compressor 27KA001/2 A</v>
          </cell>
          <cell r="I347">
            <v>41414</v>
          </cell>
        </row>
        <row r="348">
          <cell r="B348" t="str">
            <v>2701-C06</v>
          </cell>
          <cell r="C348" t="str">
            <v>OS</v>
          </cell>
          <cell r="D348" t="str">
            <v>OS</v>
          </cell>
          <cell r="E348" t="str">
            <v>ZHHI</v>
          </cell>
          <cell r="F348" t="str">
            <v>P30</v>
          </cell>
          <cell r="G348" t="str">
            <v>3rd stage hp compressor 27KA003</v>
          </cell>
          <cell r="I348">
            <v>41414</v>
          </cell>
        </row>
        <row r="349">
          <cell r="B349" t="str">
            <v>2701-C12</v>
          </cell>
          <cell r="C349" t="str">
            <v>OS</v>
          </cell>
          <cell r="D349" t="str">
            <v>OS</v>
          </cell>
          <cell r="E349" t="str">
            <v>ZHHI</v>
          </cell>
          <cell r="F349" t="str">
            <v>P10</v>
          </cell>
          <cell r="G349" t="str">
            <v>Offshore Hook-up spool to gas injection</v>
          </cell>
          <cell r="I349">
            <v>41414</v>
          </cell>
        </row>
        <row r="350">
          <cell r="B350" t="str">
            <v>2701-C13</v>
          </cell>
          <cell r="C350" t="str">
            <v>OS</v>
          </cell>
          <cell r="D350" t="str">
            <v>OS</v>
          </cell>
          <cell r="E350" t="str">
            <v>ZHHI</v>
          </cell>
          <cell r="F350" t="str">
            <v>P10</v>
          </cell>
          <cell r="G350" t="str">
            <v>Offshore Hook-up spool to gas lift</v>
          </cell>
          <cell r="I350">
            <v>41415</v>
          </cell>
        </row>
        <row r="351">
          <cell r="B351" t="str">
            <v>4601-C01</v>
          </cell>
          <cell r="C351" t="str">
            <v>OS</v>
          </cell>
          <cell r="D351" t="str">
            <v>OS</v>
          </cell>
          <cell r="E351" t="str">
            <v>ZHHI</v>
          </cell>
          <cell r="F351" t="str">
            <v>M20</v>
          </cell>
          <cell r="G351" t="str">
            <v>Meg storage tank 46TA001</v>
          </cell>
          <cell r="I351">
            <v>41415</v>
          </cell>
        </row>
        <row r="352">
          <cell r="B352" t="str">
            <v>7701-C13</v>
          </cell>
          <cell r="C352" t="str">
            <v>OS</v>
          </cell>
          <cell r="D352" t="str">
            <v>OS</v>
          </cell>
          <cell r="E352" t="str">
            <v>ZHHI</v>
          </cell>
          <cell r="F352" t="str">
            <v>G10</v>
          </cell>
          <cell r="G352" t="str">
            <v>G10 Pump Room Supply System 77GK122A/B</v>
          </cell>
          <cell r="I352">
            <v>41415</v>
          </cell>
        </row>
        <row r="353">
          <cell r="B353" t="str">
            <v>8703-C16</v>
          </cell>
          <cell r="C353" t="str">
            <v>OS</v>
          </cell>
          <cell r="D353" t="str">
            <v>OS</v>
          </cell>
          <cell r="E353" t="str">
            <v>ZHHI</v>
          </cell>
          <cell r="F353" t="str">
            <v>Q30</v>
          </cell>
          <cell r="G353" t="str">
            <v>Information Management System (FDS IO, ch 7)</v>
          </cell>
          <cell r="I353">
            <v>41415</v>
          </cell>
        </row>
        <row r="354">
          <cell r="B354" t="str">
            <v>7101-C02</v>
          </cell>
          <cell r="C354" t="str">
            <v>OS</v>
          </cell>
          <cell r="D354" t="str">
            <v>OS</v>
          </cell>
          <cell r="E354" t="str">
            <v>ZHHI</v>
          </cell>
          <cell r="F354" t="str">
            <v>Q30</v>
          </cell>
          <cell r="G354" t="str">
            <v>Firewater pump 71PI001B</v>
          </cell>
          <cell r="I354">
            <v>41416</v>
          </cell>
        </row>
        <row r="355">
          <cell r="B355" t="str">
            <v>7101-C13</v>
          </cell>
          <cell r="C355" t="str">
            <v>OS</v>
          </cell>
          <cell r="D355" t="str">
            <v>OS</v>
          </cell>
          <cell r="E355" t="str">
            <v>ZHHI</v>
          </cell>
          <cell r="F355" t="str">
            <v>Q30</v>
          </cell>
          <cell r="G355" t="str">
            <v>Diesel Generator for firewater pump C</v>
          </cell>
          <cell r="I355">
            <v>41416</v>
          </cell>
        </row>
        <row r="356">
          <cell r="B356" t="str">
            <v>5201-C02</v>
          </cell>
          <cell r="C356" t="str">
            <v>OS</v>
          </cell>
          <cell r="D356" t="str">
            <v>OS</v>
          </cell>
          <cell r="E356" t="str">
            <v>ZHHI</v>
          </cell>
          <cell r="F356" t="str">
            <v>G20</v>
          </cell>
          <cell r="G356" t="str">
            <v>Ballast Water Duty Pump, 52PA002</v>
          </cell>
          <cell r="I356">
            <v>41417</v>
          </cell>
        </row>
        <row r="357">
          <cell r="B357" t="str">
            <v>4101-C11</v>
          </cell>
          <cell r="C357" t="str">
            <v>OS</v>
          </cell>
          <cell r="D357" t="str">
            <v>OS</v>
          </cell>
          <cell r="E357" t="str">
            <v>ZHHI</v>
          </cell>
          <cell r="F357" t="str">
            <v>M10</v>
          </cell>
          <cell r="G357" t="str">
            <v>Heating Medium Circulation Pumps 41PA001B</v>
          </cell>
          <cell r="I357">
            <v>41418</v>
          </cell>
        </row>
        <row r="358">
          <cell r="B358" t="str">
            <v>8621-C01</v>
          </cell>
          <cell r="C358" t="str">
            <v>OS</v>
          </cell>
          <cell r="D358" t="str">
            <v>OS</v>
          </cell>
          <cell r="E358" t="str">
            <v>ZHHI</v>
          </cell>
          <cell r="F358" t="str">
            <v>G20</v>
          </cell>
          <cell r="G358" t="str">
            <v>PABX and telephone system Hull</v>
          </cell>
          <cell r="I358">
            <v>41418</v>
          </cell>
        </row>
        <row r="359">
          <cell r="B359" t="str">
            <v>8622-C01</v>
          </cell>
          <cell r="C359" t="str">
            <v>OS</v>
          </cell>
          <cell r="D359" t="str">
            <v>OS</v>
          </cell>
          <cell r="E359" t="str">
            <v>ZHHI</v>
          </cell>
          <cell r="F359" t="str">
            <v>L10</v>
          </cell>
          <cell r="G359" t="str">
            <v>Multiplexer system</v>
          </cell>
          <cell r="I359">
            <v>41418</v>
          </cell>
        </row>
        <row r="360">
          <cell r="B360" t="str">
            <v>8625-C01</v>
          </cell>
          <cell r="C360" t="str">
            <v>OS</v>
          </cell>
          <cell r="D360" t="str">
            <v>OS</v>
          </cell>
          <cell r="E360" t="str">
            <v>ZHHI</v>
          </cell>
          <cell r="F360" t="str">
            <v>L10</v>
          </cell>
          <cell r="G360" t="str">
            <v>Datacenter systems</v>
          </cell>
          <cell r="I360">
            <v>41418</v>
          </cell>
        </row>
        <row r="361">
          <cell r="B361" t="str">
            <v>8650-C01</v>
          </cell>
          <cell r="C361" t="str">
            <v>OS</v>
          </cell>
          <cell r="D361" t="str">
            <v>OS</v>
          </cell>
          <cell r="E361" t="str">
            <v>ZHHI</v>
          </cell>
          <cell r="F361" t="str">
            <v>L10</v>
          </cell>
          <cell r="G361" t="str">
            <v>SAR / Oil spill Detection (APTOMAR)</v>
          </cell>
          <cell r="I361">
            <v>41418</v>
          </cell>
        </row>
        <row r="362">
          <cell r="B362" t="str">
            <v>Comm. package</v>
          </cell>
          <cell r="C362" t="str">
            <v>Comm. st.</v>
          </cell>
          <cell r="D362" t="str">
            <v>MC st.</v>
          </cell>
          <cell r="E362" t="str">
            <v>Comm. resp.</v>
          </cell>
          <cell r="F362" t="str">
            <v>Comm. area</v>
          </cell>
          <cell r="G362" t="str">
            <v>Description</v>
          </cell>
          <cell r="H362" t="str">
            <v>Priority</v>
          </cell>
          <cell r="I362" t="str">
            <v>Planned startup</v>
          </cell>
        </row>
        <row r="363">
          <cell r="B363" t="str">
            <v>8652-C01</v>
          </cell>
          <cell r="C363" t="str">
            <v>OS</v>
          </cell>
          <cell r="D363" t="str">
            <v>OS</v>
          </cell>
          <cell r="E363" t="str">
            <v>ZHHI</v>
          </cell>
          <cell r="F363" t="str">
            <v>L10</v>
          </cell>
          <cell r="G363" t="str">
            <v>Meteorological observation system</v>
          </cell>
          <cell r="I363">
            <v>41418</v>
          </cell>
        </row>
        <row r="364">
          <cell r="B364" t="str">
            <v>8653-C01</v>
          </cell>
          <cell r="C364" t="str">
            <v>OS</v>
          </cell>
          <cell r="D364" t="str">
            <v>OS</v>
          </cell>
          <cell r="E364" t="str">
            <v>ZHHI</v>
          </cell>
          <cell r="F364" t="str">
            <v>L10</v>
          </cell>
          <cell r="G364" t="str">
            <v>Marine Radar system (AIS)</v>
          </cell>
          <cell r="I364">
            <v>41418</v>
          </cell>
        </row>
        <row r="365">
          <cell r="B365" t="str">
            <v>8673-C01</v>
          </cell>
          <cell r="C365" t="str">
            <v>OS</v>
          </cell>
          <cell r="D365" t="str">
            <v>OS</v>
          </cell>
          <cell r="E365" t="str">
            <v>ZHHI</v>
          </cell>
          <cell r="F365" t="str">
            <v>L10</v>
          </cell>
          <cell r="G365" t="str">
            <v>Positioning system</v>
          </cell>
          <cell r="I365">
            <v>41418</v>
          </cell>
        </row>
        <row r="366">
          <cell r="B366" t="str">
            <v>8683-C01</v>
          </cell>
          <cell r="C366" t="str">
            <v>OS</v>
          </cell>
          <cell r="D366" t="str">
            <v>OS</v>
          </cell>
          <cell r="E366" t="str">
            <v>ZHHI</v>
          </cell>
          <cell r="F366" t="str">
            <v>L10</v>
          </cell>
          <cell r="G366" t="str">
            <v>Real Time Clock (RTC)</v>
          </cell>
          <cell r="I366">
            <v>41418</v>
          </cell>
        </row>
        <row r="367">
          <cell r="B367" t="str">
            <v>8703-C17</v>
          </cell>
          <cell r="C367" t="str">
            <v>OS</v>
          </cell>
          <cell r="D367" t="str">
            <v>OS</v>
          </cell>
          <cell r="E367" t="str">
            <v>ZHHI</v>
          </cell>
          <cell r="F367" t="str">
            <v>Q30</v>
          </cell>
          <cell r="G367" t="str">
            <v>Conditioning Monitoring (FDS IO, ch 8)</v>
          </cell>
          <cell r="I367">
            <v>41418</v>
          </cell>
        </row>
        <row r="368">
          <cell r="B368" t="str">
            <v>9401-C01</v>
          </cell>
          <cell r="C368" t="str">
            <v>OS</v>
          </cell>
          <cell r="D368" t="str">
            <v>OS</v>
          </cell>
          <cell r="E368" t="str">
            <v>ZHHI</v>
          </cell>
          <cell r="F368" t="str">
            <v>M10</v>
          </cell>
          <cell r="G368" t="str">
            <v>Anchor winch and positioning system 94YD001 Easth winch (4st)</v>
          </cell>
          <cell r="I368">
            <v>41418</v>
          </cell>
        </row>
        <row r="369">
          <cell r="B369" t="str">
            <v>4601-C04</v>
          </cell>
          <cell r="C369" t="str">
            <v>OS</v>
          </cell>
          <cell r="D369" t="str">
            <v>OS</v>
          </cell>
          <cell r="E369" t="str">
            <v>ZHHI</v>
          </cell>
          <cell r="F369" t="str">
            <v>M20</v>
          </cell>
          <cell r="G369" t="str">
            <v>Meg subsea injection pumps 46PF001A/B and return to tank 46TA001</v>
          </cell>
          <cell r="I369">
            <v>41419</v>
          </cell>
        </row>
        <row r="370">
          <cell r="B370" t="str">
            <v>7701-C39</v>
          </cell>
          <cell r="C370" t="str">
            <v>OS</v>
          </cell>
          <cell r="D370" t="str">
            <v>OS</v>
          </cell>
          <cell r="E370" t="str">
            <v>ZHHI</v>
          </cell>
          <cell r="F370" t="str">
            <v>Q30</v>
          </cell>
          <cell r="G370" t="str">
            <v>Q30 Crane Pedestal Supply System 77GK148</v>
          </cell>
          <cell r="I370">
            <v>41419</v>
          </cell>
        </row>
        <row r="371">
          <cell r="B371" t="str">
            <v>7701-C44</v>
          </cell>
          <cell r="C371" t="str">
            <v>OS</v>
          </cell>
          <cell r="D371" t="str">
            <v>OS</v>
          </cell>
          <cell r="E371" t="str">
            <v>ZHHI</v>
          </cell>
          <cell r="F371" t="str">
            <v>L10</v>
          </cell>
          <cell r="G371" t="str">
            <v>Seawater cooling system</v>
          </cell>
          <cell r="I371">
            <v>41421</v>
          </cell>
        </row>
        <row r="372">
          <cell r="B372" t="str">
            <v>8703-C18</v>
          </cell>
          <cell r="C372" t="str">
            <v>OS</v>
          </cell>
          <cell r="D372" t="str">
            <v>OS</v>
          </cell>
          <cell r="E372" t="str">
            <v>ZHHI</v>
          </cell>
          <cell r="F372" t="str">
            <v>Q30</v>
          </cell>
          <cell r="G372" t="str">
            <v>Operational Performance Monitoring (FDS IO, ch 9)</v>
          </cell>
          <cell r="I372">
            <v>41421</v>
          </cell>
        </row>
        <row r="373">
          <cell r="B373" t="str">
            <v>5601-C07</v>
          </cell>
          <cell r="C373" t="str">
            <v>OS</v>
          </cell>
          <cell r="D373" t="str">
            <v>OS</v>
          </cell>
          <cell r="E373" t="str">
            <v>ZHHI</v>
          </cell>
          <cell r="F373" t="str">
            <v>C20</v>
          </cell>
          <cell r="G373" t="str">
            <v>Slop tank east 56TX002 (clean slop)</v>
          </cell>
          <cell r="I373">
            <v>41422</v>
          </cell>
        </row>
        <row r="374">
          <cell r="B374" t="str">
            <v>7701-C42</v>
          </cell>
          <cell r="C374" t="str">
            <v>OS</v>
          </cell>
          <cell r="D374" t="str">
            <v>OS</v>
          </cell>
          <cell r="E374" t="str">
            <v>ZHHI</v>
          </cell>
          <cell r="F374" t="str">
            <v>Q20</v>
          </cell>
          <cell r="G374" t="str">
            <v>Q20 Crane Pedestal Supply System 77GK147</v>
          </cell>
          <cell r="I374">
            <v>41422</v>
          </cell>
        </row>
        <row r="375">
          <cell r="B375" t="str">
            <v>9401-C02</v>
          </cell>
          <cell r="C375" t="str">
            <v>OS</v>
          </cell>
          <cell r="D375" t="str">
            <v>OS</v>
          </cell>
          <cell r="E375" t="str">
            <v>ZHHI</v>
          </cell>
          <cell r="F375" t="str">
            <v>M20</v>
          </cell>
          <cell r="G375" t="str">
            <v>Anchor winch and positioning system 94YD005 South winch (4st)</v>
          </cell>
          <cell r="I375">
            <v>41422</v>
          </cell>
        </row>
        <row r="376">
          <cell r="B376" t="str">
            <v>7101-C08</v>
          </cell>
          <cell r="C376" t="str">
            <v>OS</v>
          </cell>
          <cell r="D376" t="str">
            <v>OS</v>
          </cell>
          <cell r="E376" t="str">
            <v>ZHHI</v>
          </cell>
          <cell r="F376" t="str">
            <v>L10</v>
          </cell>
          <cell r="G376" t="str">
            <v>Firewater ringmain LQ &amp; Helideck</v>
          </cell>
          <cell r="I376">
            <v>41423</v>
          </cell>
        </row>
        <row r="377">
          <cell r="B377" t="str">
            <v>4101-C12</v>
          </cell>
          <cell r="C377" t="str">
            <v>OS</v>
          </cell>
          <cell r="D377" t="str">
            <v>OS</v>
          </cell>
          <cell r="E377" t="str">
            <v>ZHHI</v>
          </cell>
          <cell r="F377" t="str">
            <v>M10</v>
          </cell>
          <cell r="G377" t="str">
            <v>Heating Medium Circulation Pumps 41PA001C</v>
          </cell>
          <cell r="I377">
            <v>41424</v>
          </cell>
        </row>
        <row r="378">
          <cell r="B378" t="str">
            <v>7101-C06</v>
          </cell>
          <cell r="C378" t="str">
            <v>OS</v>
          </cell>
          <cell r="D378" t="str">
            <v>OS</v>
          </cell>
          <cell r="E378" t="str">
            <v>ZHHI</v>
          </cell>
          <cell r="F378" t="str">
            <v>M10</v>
          </cell>
          <cell r="G378" t="str">
            <v>Firewater ringmain El. +44000</v>
          </cell>
          <cell r="I378">
            <v>41424</v>
          </cell>
        </row>
        <row r="379">
          <cell r="B379" t="str">
            <v>Comm. package</v>
          </cell>
          <cell r="C379" t="str">
            <v>Comm. st.</v>
          </cell>
          <cell r="D379" t="str">
            <v>MC st.</v>
          </cell>
          <cell r="E379" t="str">
            <v>Comm. resp.</v>
          </cell>
          <cell r="F379" t="str">
            <v>Comm. area</v>
          </cell>
          <cell r="G379" t="str">
            <v>Description</v>
          </cell>
          <cell r="H379" t="str">
            <v>Priority</v>
          </cell>
          <cell r="I379" t="str">
            <v>Planned startup</v>
          </cell>
        </row>
        <row r="380">
          <cell r="B380" t="str">
            <v>7101-C09</v>
          </cell>
          <cell r="C380" t="str">
            <v>OS</v>
          </cell>
          <cell r="D380" t="str">
            <v>OS</v>
          </cell>
          <cell r="E380" t="str">
            <v>ZHHI</v>
          </cell>
          <cell r="F380" t="str">
            <v>G20</v>
          </cell>
          <cell r="G380" t="str">
            <v>Fire water Hydrants &amp; Hosereels North &amp; Central Shaft</v>
          </cell>
          <cell r="I380">
            <v>41424</v>
          </cell>
        </row>
        <row r="381">
          <cell r="B381" t="str">
            <v>7701-C16</v>
          </cell>
          <cell r="C381" t="str">
            <v>OS</v>
          </cell>
          <cell r="D381" t="str">
            <v>OS</v>
          </cell>
          <cell r="E381" t="str">
            <v>ZHHI</v>
          </cell>
          <cell r="F381" t="str">
            <v>N10</v>
          </cell>
          <cell r="G381" t="str">
            <v>N10 North Shaft Supply System 77GA101A/B</v>
          </cell>
          <cell r="I381">
            <v>41424</v>
          </cell>
        </row>
        <row r="382">
          <cell r="B382" t="str">
            <v>7701-C47</v>
          </cell>
          <cell r="C382" t="str">
            <v>OS</v>
          </cell>
          <cell r="D382" t="str">
            <v>OS</v>
          </cell>
          <cell r="E382" t="str">
            <v>ZHHI</v>
          </cell>
          <cell r="F382" t="str">
            <v>Q30</v>
          </cell>
          <cell r="G382" t="str">
            <v>Q30 Mob boat enclosure room. Supply fan 77GK155</v>
          </cell>
          <cell r="I382">
            <v>41424</v>
          </cell>
        </row>
        <row r="383">
          <cell r="B383" t="str">
            <v>8701-C31</v>
          </cell>
          <cell r="C383" t="str">
            <v>OS</v>
          </cell>
          <cell r="D383" t="str">
            <v>OS</v>
          </cell>
          <cell r="E383" t="str">
            <v>ZHHI</v>
          </cell>
          <cell r="F383" t="str">
            <v>Q30</v>
          </cell>
          <cell r="G383" t="str">
            <v>Panel 87JC152 - Node L51 (PDCS) (LER)</v>
          </cell>
          <cell r="I383">
            <v>41424</v>
          </cell>
        </row>
        <row r="384">
          <cell r="B384" t="str">
            <v>8704-C04</v>
          </cell>
          <cell r="C384" t="str">
            <v>OS</v>
          </cell>
          <cell r="D384" t="str">
            <v>OS</v>
          </cell>
          <cell r="E384" t="str">
            <v>ZHHI</v>
          </cell>
          <cell r="F384" t="str">
            <v>D10</v>
          </cell>
          <cell r="G384" t="str">
            <v>Operational Equipment Offloading Panel PC 87JD013 (OSA)</v>
          </cell>
          <cell r="I384">
            <v>41424</v>
          </cell>
        </row>
        <row r="385">
          <cell r="B385" t="str">
            <v>4601-C02</v>
          </cell>
          <cell r="C385" t="str">
            <v>OS</v>
          </cell>
          <cell r="D385" t="str">
            <v>OS</v>
          </cell>
          <cell r="E385" t="str">
            <v>ZHHI</v>
          </cell>
          <cell r="F385" t="str">
            <v>M20</v>
          </cell>
          <cell r="G385" t="str">
            <v>Meg topside hp injection pumps 46PF002A/B</v>
          </cell>
          <cell r="I385">
            <v>41425</v>
          </cell>
        </row>
        <row r="386">
          <cell r="B386" t="str">
            <v>8001-C03</v>
          </cell>
          <cell r="C386" t="str">
            <v>OS</v>
          </cell>
          <cell r="D386" t="str">
            <v>OS</v>
          </cell>
          <cell r="E386" t="str">
            <v>ZHHI</v>
          </cell>
          <cell r="F386" t="str">
            <v>Q20</v>
          </cell>
          <cell r="G386" t="str">
            <v>80EG001 Turbine generator</v>
          </cell>
          <cell r="I386">
            <v>41425</v>
          </cell>
        </row>
        <row r="387">
          <cell r="B387" t="str">
            <v>9401-C03</v>
          </cell>
          <cell r="C387" t="str">
            <v>OS</v>
          </cell>
          <cell r="D387" t="str">
            <v>OS</v>
          </cell>
          <cell r="E387" t="str">
            <v>ZHHI</v>
          </cell>
          <cell r="F387" t="str">
            <v>M10</v>
          </cell>
          <cell r="G387" t="str">
            <v>Anchor winch and positioning system 94YD009 West winch (6st)</v>
          </cell>
          <cell r="I387">
            <v>41425</v>
          </cell>
        </row>
        <row r="388">
          <cell r="B388" t="str">
            <v>3301-C06</v>
          </cell>
          <cell r="C388" t="str">
            <v>OS</v>
          </cell>
          <cell r="D388" t="str">
            <v>OS</v>
          </cell>
          <cell r="E388" t="str">
            <v>ZHHI</v>
          </cell>
          <cell r="F388" t="str">
            <v>D10</v>
          </cell>
          <cell r="G388" t="str">
            <v>Offloading Hose Reel 33LX001</v>
          </cell>
          <cell r="I388">
            <v>41426</v>
          </cell>
        </row>
        <row r="389">
          <cell r="B389" t="str">
            <v>7101-C03</v>
          </cell>
          <cell r="C389" t="str">
            <v>OS</v>
          </cell>
          <cell r="D389" t="str">
            <v>OS</v>
          </cell>
          <cell r="E389" t="str">
            <v>ZHHI</v>
          </cell>
          <cell r="F389" t="str">
            <v>Q30</v>
          </cell>
          <cell r="G389" t="str">
            <v>Firewater pump 71PI001C</v>
          </cell>
          <cell r="I389">
            <v>41428</v>
          </cell>
        </row>
        <row r="390">
          <cell r="B390" t="str">
            <v>7101-C14</v>
          </cell>
          <cell r="C390" t="str">
            <v>OS</v>
          </cell>
          <cell r="D390" t="str">
            <v>OS</v>
          </cell>
          <cell r="E390" t="str">
            <v>ZHHI</v>
          </cell>
          <cell r="F390" t="str">
            <v>Q30</v>
          </cell>
          <cell r="G390" t="str">
            <v>Diesel Generator for firewater pump D</v>
          </cell>
          <cell r="I390">
            <v>41428</v>
          </cell>
        </row>
        <row r="391">
          <cell r="B391" t="str">
            <v>7701-C38</v>
          </cell>
          <cell r="C391" t="str">
            <v>OS</v>
          </cell>
          <cell r="D391" t="str">
            <v>OS</v>
          </cell>
          <cell r="E391" t="str">
            <v>ZHHI</v>
          </cell>
          <cell r="F391" t="str">
            <v>D10</v>
          </cell>
          <cell r="G391" t="str">
            <v>D10 Offloading Station Area System 77GK141</v>
          </cell>
          <cell r="I391">
            <v>41428</v>
          </cell>
        </row>
        <row r="392">
          <cell r="B392" t="str">
            <v>5201-C03</v>
          </cell>
          <cell r="C392" t="str">
            <v>OS</v>
          </cell>
          <cell r="D392" t="str">
            <v>OS</v>
          </cell>
          <cell r="E392" t="str">
            <v>ZHHI</v>
          </cell>
          <cell r="F392" t="str">
            <v>B20</v>
          </cell>
          <cell r="G392" t="str">
            <v>Ballast To Slop/ &amp; To Overboard Caisson (East)</v>
          </cell>
          <cell r="I392">
            <v>41429</v>
          </cell>
        </row>
        <row r="393">
          <cell r="B393" t="str">
            <v>5601-C06</v>
          </cell>
          <cell r="C393" t="str">
            <v>OS</v>
          </cell>
          <cell r="D393" t="str">
            <v>OS</v>
          </cell>
          <cell r="E393" t="str">
            <v>ZHHI</v>
          </cell>
          <cell r="F393" t="str">
            <v>G20</v>
          </cell>
          <cell r="G393" t="str">
            <v>Slop water inj. pumps 56PA002A/B</v>
          </cell>
          <cell r="I393">
            <v>41429</v>
          </cell>
        </row>
        <row r="394">
          <cell r="B394" t="str">
            <v>7701-C17</v>
          </cell>
          <cell r="C394" t="str">
            <v>OS</v>
          </cell>
          <cell r="D394" t="str">
            <v>OS</v>
          </cell>
          <cell r="E394" t="str">
            <v>ZHHI</v>
          </cell>
          <cell r="F394" t="str">
            <v>N10</v>
          </cell>
          <cell r="G394" t="str">
            <v>N10 North Shaft Extract System 77GK129A/B</v>
          </cell>
          <cell r="I394">
            <v>41429</v>
          </cell>
        </row>
        <row r="395">
          <cell r="B395" t="str">
            <v>5201-C05</v>
          </cell>
          <cell r="C395" t="str">
            <v>OS</v>
          </cell>
          <cell r="D395" t="str">
            <v>OS</v>
          </cell>
          <cell r="E395" t="str">
            <v>ZHHI</v>
          </cell>
          <cell r="F395" t="str">
            <v>B10</v>
          </cell>
          <cell r="G395" t="str">
            <v>BallastTank No 1, West, 52TC001</v>
          </cell>
          <cell r="I395">
            <v>41430</v>
          </cell>
        </row>
        <row r="396">
          <cell r="B396" t="str">
            <v>Comm. package</v>
          </cell>
          <cell r="C396" t="str">
            <v>Comm. st.</v>
          </cell>
          <cell r="D396" t="str">
            <v>MC st.</v>
          </cell>
          <cell r="E396" t="str">
            <v>Comm. resp.</v>
          </cell>
          <cell r="F396" t="str">
            <v>Comm. area</v>
          </cell>
          <cell r="G396" t="str">
            <v>Description</v>
          </cell>
          <cell r="H396" t="str">
            <v>Priority</v>
          </cell>
          <cell r="I396" t="str">
            <v>Planned startup</v>
          </cell>
        </row>
        <row r="397">
          <cell r="B397" t="str">
            <v>1601-C01</v>
          </cell>
          <cell r="C397" t="str">
            <v>OS</v>
          </cell>
          <cell r="D397" t="str">
            <v>OS</v>
          </cell>
          <cell r="E397" t="str">
            <v>ZHHI</v>
          </cell>
          <cell r="F397" t="str">
            <v>P10</v>
          </cell>
          <cell r="G397" t="str">
            <v>Flowline 1, Production Manifold</v>
          </cell>
          <cell r="I397">
            <v>41431</v>
          </cell>
        </row>
        <row r="399">
          <cell r="B399" t="str">
            <v>1601-C02</v>
          </cell>
          <cell r="C399" t="str">
            <v>OS</v>
          </cell>
          <cell r="D399" t="str">
            <v>OS</v>
          </cell>
          <cell r="E399" t="str">
            <v>ZHHI</v>
          </cell>
          <cell r="F399" t="str">
            <v>P10</v>
          </cell>
          <cell r="G399" t="str">
            <v>Flowline 2, Test manifold</v>
          </cell>
          <cell r="I399">
            <v>41431</v>
          </cell>
        </row>
        <row r="400">
          <cell r="B400" t="str">
            <v>4101-C04</v>
          </cell>
          <cell r="C400" t="str">
            <v>OS</v>
          </cell>
          <cell r="D400" t="str">
            <v>OS</v>
          </cell>
          <cell r="E400" t="str">
            <v>ZHHI</v>
          </cell>
          <cell r="F400" t="str">
            <v>Q20</v>
          </cell>
          <cell r="G400" t="str">
            <v>41EN001A Electric heater switchboard (incl. transformer 41ET001A)</v>
          </cell>
          <cell r="I400">
            <v>41431</v>
          </cell>
        </row>
        <row r="401">
          <cell r="B401" t="str">
            <v>8626-C01</v>
          </cell>
          <cell r="C401" t="str">
            <v>OS</v>
          </cell>
          <cell r="D401" t="str">
            <v>OS</v>
          </cell>
          <cell r="E401" t="str">
            <v>ZHHI</v>
          </cell>
          <cell r="F401" t="str">
            <v>L10</v>
          </cell>
          <cell r="G401" t="str">
            <v>Collaboration Room system</v>
          </cell>
          <cell r="I401">
            <v>41431</v>
          </cell>
        </row>
        <row r="402">
          <cell r="B402" t="str">
            <v>8631-C01</v>
          </cell>
          <cell r="C402" t="str">
            <v>OS</v>
          </cell>
          <cell r="D402" t="str">
            <v>OS</v>
          </cell>
          <cell r="E402" t="str">
            <v>ZHHI</v>
          </cell>
          <cell r="F402" t="str">
            <v>L10</v>
          </cell>
          <cell r="G402" t="str">
            <v>Radio links</v>
          </cell>
          <cell r="I402">
            <v>41431</v>
          </cell>
        </row>
        <row r="403">
          <cell r="B403" t="str">
            <v>2701-C02</v>
          </cell>
          <cell r="C403" t="str">
            <v>OS</v>
          </cell>
          <cell r="D403" t="str">
            <v>OS</v>
          </cell>
          <cell r="E403" t="str">
            <v>ZHHI</v>
          </cell>
          <cell r="F403" t="str">
            <v>P30</v>
          </cell>
          <cell r="G403" t="str">
            <v>HP compressor 27KA001/2 A</v>
          </cell>
          <cell r="I403">
            <v>41432</v>
          </cell>
        </row>
        <row r="404">
          <cell r="B404" t="str">
            <v>2701-C03</v>
          </cell>
          <cell r="C404" t="str">
            <v>OS</v>
          </cell>
          <cell r="D404" t="str">
            <v>OS</v>
          </cell>
          <cell r="E404" t="str">
            <v>ZHHI</v>
          </cell>
          <cell r="F404" t="str">
            <v>P30</v>
          </cell>
          <cell r="G404" t="str">
            <v>1st and 2nd stage piping, scrubber and cooler for HP compressor 27KA001/2 B</v>
          </cell>
          <cell r="I404">
            <v>41432</v>
          </cell>
        </row>
        <row r="405">
          <cell r="B405" t="str">
            <v>4601-C03</v>
          </cell>
          <cell r="C405" t="str">
            <v>OS</v>
          </cell>
          <cell r="D405" t="str">
            <v>OS</v>
          </cell>
          <cell r="E405" t="str">
            <v>ZHHI</v>
          </cell>
          <cell r="F405" t="str">
            <v>M20</v>
          </cell>
          <cell r="G405" t="str">
            <v>Meg gas injection pumps 46PF003A/B</v>
          </cell>
          <cell r="I405">
            <v>41432</v>
          </cell>
        </row>
        <row r="406">
          <cell r="B406" t="str">
            <v>7201-C03</v>
          </cell>
          <cell r="C406" t="str">
            <v>OS</v>
          </cell>
          <cell r="D406" t="str">
            <v>OS</v>
          </cell>
          <cell r="E406" t="str">
            <v>ZHHI</v>
          </cell>
          <cell r="F406" t="str">
            <v>N10</v>
          </cell>
          <cell r="G406" t="str">
            <v>Water mist skid 72SM001</v>
          </cell>
          <cell r="I406">
            <v>41432</v>
          </cell>
        </row>
        <row r="407">
          <cell r="B407" t="str">
            <v>7701-C23</v>
          </cell>
          <cell r="C407" t="str">
            <v>OS</v>
          </cell>
          <cell r="D407" t="str">
            <v>OS</v>
          </cell>
          <cell r="E407" t="str">
            <v>ZHHI</v>
          </cell>
          <cell r="F407" t="str">
            <v>N10</v>
          </cell>
          <cell r="G407" t="str">
            <v>N10 Fuel handling room Extract System 77GK130A/B</v>
          </cell>
          <cell r="I407">
            <v>41432</v>
          </cell>
        </row>
        <row r="408">
          <cell r="B408" t="str">
            <v>7101-C07</v>
          </cell>
          <cell r="C408" t="str">
            <v>OS</v>
          </cell>
          <cell r="D408" t="str">
            <v>OS</v>
          </cell>
          <cell r="E408" t="str">
            <v>ZHHI</v>
          </cell>
          <cell r="F408" t="str">
            <v>P10</v>
          </cell>
          <cell r="G408" t="str">
            <v>Firewater ringmain El. +55000</v>
          </cell>
          <cell r="I408">
            <v>41433</v>
          </cell>
        </row>
        <row r="409">
          <cell r="B409" t="str">
            <v>7101-C10</v>
          </cell>
          <cell r="C409" t="str">
            <v>OS</v>
          </cell>
          <cell r="D409" t="str">
            <v>OS</v>
          </cell>
          <cell r="E409" t="str">
            <v>ZHHI</v>
          </cell>
          <cell r="F409" t="str">
            <v>P10</v>
          </cell>
          <cell r="G409" t="str">
            <v>Firewater ringmain Weather deck + Utility El. +63500</v>
          </cell>
          <cell r="I409">
            <v>41433</v>
          </cell>
        </row>
        <row r="410">
          <cell r="B410" t="str">
            <v>5201-C06</v>
          </cell>
          <cell r="C410" t="str">
            <v>OS</v>
          </cell>
          <cell r="D410" t="str">
            <v>OS</v>
          </cell>
          <cell r="E410" t="str">
            <v>ZHHI</v>
          </cell>
          <cell r="F410" t="str">
            <v>B10</v>
          </cell>
          <cell r="G410" t="str">
            <v>BallastTank No 2, West, 52TC002</v>
          </cell>
          <cell r="I410">
            <v>41434</v>
          </cell>
        </row>
        <row r="411">
          <cell r="B411" t="str">
            <v>2901-C02</v>
          </cell>
          <cell r="C411" t="str">
            <v>OS</v>
          </cell>
          <cell r="D411" t="str">
            <v>OS</v>
          </cell>
          <cell r="E411" t="str">
            <v>ZHHI</v>
          </cell>
          <cell r="F411" t="str">
            <v>P50</v>
          </cell>
          <cell r="G411" t="str">
            <v>Water Injection Pump 29XX001A</v>
          </cell>
          <cell r="I411">
            <v>41435</v>
          </cell>
        </row>
        <row r="412">
          <cell r="B412" t="str">
            <v>2901-C09</v>
          </cell>
          <cell r="C412" t="str">
            <v>OS</v>
          </cell>
          <cell r="D412" t="str">
            <v>OS</v>
          </cell>
          <cell r="E412" t="str">
            <v>ZHHI</v>
          </cell>
          <cell r="F412" t="str">
            <v>P50</v>
          </cell>
          <cell r="G412" t="str">
            <v>Water Injection Pump Seal Barrier Fluid Tank 29TB002</v>
          </cell>
          <cell r="I412">
            <v>41435</v>
          </cell>
        </row>
        <row r="413">
          <cell r="B413" t="str">
            <v>7701-C20</v>
          </cell>
          <cell r="C413" t="str">
            <v>OS</v>
          </cell>
          <cell r="D413" t="str">
            <v>OS</v>
          </cell>
          <cell r="E413" t="str">
            <v>ZHHI</v>
          </cell>
          <cell r="F413" t="str">
            <v>Q30</v>
          </cell>
          <cell r="G413" t="str">
            <v>Q30 Workshop &amp; Store Supply System 77GA104A/B</v>
          </cell>
          <cell r="I413">
            <v>41435</v>
          </cell>
        </row>
        <row r="414">
          <cell r="B414" t="str">
            <v>Comm. package</v>
          </cell>
          <cell r="C414" t="str">
            <v>Comm. st.</v>
          </cell>
          <cell r="D414" t="str">
            <v>MC st.</v>
          </cell>
          <cell r="E414" t="str">
            <v>Comm. resp.</v>
          </cell>
          <cell r="F414" t="str">
            <v>Comm. area</v>
          </cell>
          <cell r="G414" t="str">
            <v>Description</v>
          </cell>
          <cell r="H414" t="str">
            <v>Priority</v>
          </cell>
          <cell r="I414" t="str">
            <v>Planned startup</v>
          </cell>
        </row>
        <row r="415">
          <cell r="B415" t="str">
            <v>4101-C05</v>
          </cell>
          <cell r="C415" t="str">
            <v>OS</v>
          </cell>
          <cell r="D415" t="str">
            <v>OS</v>
          </cell>
          <cell r="E415" t="str">
            <v>ZHHI</v>
          </cell>
          <cell r="F415" t="str">
            <v>Q20</v>
          </cell>
          <cell r="G415" t="str">
            <v>41EN001B Electric heater switchboard (incl. transformer 41ET001B)</v>
          </cell>
          <cell r="I415">
            <v>41436</v>
          </cell>
        </row>
        <row r="416">
          <cell r="B416" t="str">
            <v>5201-C07</v>
          </cell>
          <cell r="C416" t="str">
            <v>OS</v>
          </cell>
          <cell r="D416" t="str">
            <v>OS</v>
          </cell>
          <cell r="E416" t="str">
            <v>ZHHI</v>
          </cell>
          <cell r="F416" t="str">
            <v>B10</v>
          </cell>
          <cell r="G416" t="str">
            <v>BallastTank No 3, West, 52TC003</v>
          </cell>
          <cell r="I416">
            <v>41436</v>
          </cell>
        </row>
        <row r="417">
          <cell r="B417" t="str">
            <v>3301-C07</v>
          </cell>
          <cell r="C417" t="str">
            <v>OS</v>
          </cell>
          <cell r="D417" t="str">
            <v>OS</v>
          </cell>
          <cell r="E417" t="str">
            <v>ZHHI</v>
          </cell>
          <cell r="F417" t="str">
            <v>C10</v>
          </cell>
          <cell r="G417" t="str">
            <v>Cargo tank 33TX001 (COT1C)</v>
          </cell>
          <cell r="I417">
            <v>41437</v>
          </cell>
        </row>
        <row r="418">
          <cell r="B418" t="str">
            <v>5601-C08</v>
          </cell>
          <cell r="C418" t="str">
            <v>OS</v>
          </cell>
          <cell r="D418" t="str">
            <v>OS</v>
          </cell>
          <cell r="E418" t="str">
            <v>ZHHI</v>
          </cell>
          <cell r="F418" t="str">
            <v>G20</v>
          </cell>
          <cell r="G418" t="str">
            <v>Bilge system and pumps 56PF001A/B in cargo pump room</v>
          </cell>
          <cell r="I418">
            <v>41437</v>
          </cell>
        </row>
        <row r="419">
          <cell r="B419" t="str">
            <v>4601-C05</v>
          </cell>
          <cell r="C419" t="str">
            <v>OS</v>
          </cell>
          <cell r="D419" t="str">
            <v>OS</v>
          </cell>
          <cell r="E419" t="str">
            <v>ZHHI</v>
          </cell>
          <cell r="F419" t="str">
            <v>M20</v>
          </cell>
          <cell r="G419" t="str">
            <v>Meg gas injection pumps 46PF004A/B</v>
          </cell>
          <cell r="I419">
            <v>41438</v>
          </cell>
        </row>
        <row r="420">
          <cell r="B420" t="str">
            <v>7101-C04</v>
          </cell>
          <cell r="C420" t="str">
            <v>OS</v>
          </cell>
          <cell r="D420" t="str">
            <v>OS</v>
          </cell>
          <cell r="E420" t="str">
            <v>ZHHI</v>
          </cell>
          <cell r="F420" t="str">
            <v>Q30</v>
          </cell>
          <cell r="G420" t="str">
            <v>Firewater pump 71PI001D</v>
          </cell>
          <cell r="I420">
            <v>41438</v>
          </cell>
        </row>
        <row r="421">
          <cell r="B421" t="str">
            <v>2901-C06</v>
          </cell>
          <cell r="C421" t="str">
            <v>OS</v>
          </cell>
          <cell r="D421" t="str">
            <v>OS</v>
          </cell>
          <cell r="E421" t="str">
            <v>ZHHI</v>
          </cell>
          <cell r="F421" t="str">
            <v>P50</v>
          </cell>
          <cell r="G421" t="str">
            <v>Water Injection Pump 29XX001B</v>
          </cell>
          <cell r="I421">
            <v>41439</v>
          </cell>
        </row>
        <row r="422">
          <cell r="B422" t="str">
            <v>5201-C08</v>
          </cell>
          <cell r="C422" t="str">
            <v>OS</v>
          </cell>
          <cell r="D422" t="str">
            <v>OS</v>
          </cell>
          <cell r="E422" t="str">
            <v>ZHHI</v>
          </cell>
          <cell r="F422" t="str">
            <v>B10</v>
          </cell>
          <cell r="G422" t="str">
            <v>BallastTank No 4, West, 52TC004</v>
          </cell>
          <cell r="I422">
            <v>41439</v>
          </cell>
        </row>
        <row r="423">
          <cell r="B423" t="str">
            <v>4101-C06</v>
          </cell>
          <cell r="C423" t="str">
            <v>OS</v>
          </cell>
          <cell r="D423" t="str">
            <v>OS</v>
          </cell>
          <cell r="E423" t="str">
            <v>ZHHI</v>
          </cell>
          <cell r="F423" t="str">
            <v>Q20</v>
          </cell>
          <cell r="G423" t="str">
            <v>41EN001C Electric heater switchboard (incl. transformer 41ET001C)</v>
          </cell>
          <cell r="I423">
            <v>41440</v>
          </cell>
        </row>
        <row r="424">
          <cell r="B424" t="str">
            <v>7701-C21</v>
          </cell>
          <cell r="C424" t="str">
            <v>OS</v>
          </cell>
          <cell r="D424" t="str">
            <v>OS</v>
          </cell>
          <cell r="E424" t="str">
            <v>ZHHI</v>
          </cell>
          <cell r="F424" t="str">
            <v>Q30</v>
          </cell>
          <cell r="G424" t="str">
            <v>Utility Area Workshop/Stores West Exstract plant System 77GK132A/B</v>
          </cell>
          <cell r="I424">
            <v>41440</v>
          </cell>
        </row>
        <row r="425">
          <cell r="B425" t="str">
            <v>3301-C08</v>
          </cell>
          <cell r="C425" t="str">
            <v>OS</v>
          </cell>
          <cell r="D425" t="str">
            <v>OS</v>
          </cell>
          <cell r="E425" t="str">
            <v>ZHHI</v>
          </cell>
          <cell r="F425" t="str">
            <v>C10</v>
          </cell>
          <cell r="G425" t="str">
            <v>Cargo tank 33TX002 (COT1W)</v>
          </cell>
          <cell r="I425">
            <v>41441</v>
          </cell>
        </row>
        <row r="426">
          <cell r="B426" t="str">
            <v>5201-C09</v>
          </cell>
          <cell r="C426" t="str">
            <v>OS</v>
          </cell>
          <cell r="D426" t="str">
            <v>OS</v>
          </cell>
          <cell r="E426" t="str">
            <v>ZHHI</v>
          </cell>
          <cell r="F426" t="str">
            <v>B10</v>
          </cell>
          <cell r="G426" t="str">
            <v>BallastTank No 5, West, 52TC005</v>
          </cell>
          <cell r="I426">
            <v>41442</v>
          </cell>
        </row>
        <row r="427">
          <cell r="B427" t="str">
            <v>7701-C22</v>
          </cell>
          <cell r="C427" t="str">
            <v>OS</v>
          </cell>
          <cell r="D427" t="str">
            <v>OS</v>
          </cell>
          <cell r="E427" t="str">
            <v>ZHHI</v>
          </cell>
          <cell r="F427" t="str">
            <v>Q30</v>
          </cell>
          <cell r="G427" t="str">
            <v>Utility Area Welding Workshop System 77GK133</v>
          </cell>
          <cell r="I427">
            <v>41443</v>
          </cell>
        </row>
        <row r="428">
          <cell r="B428" t="str">
            <v>8701-C39</v>
          </cell>
          <cell r="C428" t="str">
            <v>OS</v>
          </cell>
          <cell r="D428" t="str">
            <v>OS</v>
          </cell>
          <cell r="E428" t="str">
            <v>ZHHI</v>
          </cell>
          <cell r="F428" t="str">
            <v>Q30</v>
          </cell>
          <cell r="G428" t="str">
            <v>Panel 87JC154 - Node L59 (PDCS) (LER)</v>
          </cell>
          <cell r="I428">
            <v>41443</v>
          </cell>
        </row>
        <row r="429">
          <cell r="B429" t="str">
            <v>2901-C07</v>
          </cell>
          <cell r="C429" t="str">
            <v>OS</v>
          </cell>
          <cell r="D429" t="str">
            <v>OS</v>
          </cell>
          <cell r="E429" t="str">
            <v>ZHHI</v>
          </cell>
          <cell r="F429" t="str">
            <v>P50</v>
          </cell>
          <cell r="G429" t="str">
            <v>Water Injection Pump 29XX001C</v>
          </cell>
          <cell r="I429">
            <v>41444</v>
          </cell>
        </row>
        <row r="430">
          <cell r="B430" t="str">
            <v>3301-C09</v>
          </cell>
          <cell r="C430" t="str">
            <v>OS</v>
          </cell>
          <cell r="D430" t="str">
            <v>OS</v>
          </cell>
          <cell r="E430" t="str">
            <v>ZHHI</v>
          </cell>
          <cell r="F430" t="str">
            <v>C10</v>
          </cell>
          <cell r="G430" t="str">
            <v>Cargo tank 33TX003 (COT2W)</v>
          </cell>
          <cell r="I430">
            <v>41444</v>
          </cell>
        </row>
        <row r="431">
          <cell r="B431" t="str">
            <v>Comm. package</v>
          </cell>
          <cell r="C431" t="str">
            <v>Comm. st.</v>
          </cell>
          <cell r="D431" t="str">
            <v>MC st.</v>
          </cell>
          <cell r="E431" t="str">
            <v>Comm. resp.</v>
          </cell>
          <cell r="F431" t="str">
            <v>Comm. area</v>
          </cell>
          <cell r="G431" t="str">
            <v>Description</v>
          </cell>
          <cell r="H431" t="str">
            <v>Priority</v>
          </cell>
          <cell r="I431" t="str">
            <v>Planned startup</v>
          </cell>
        </row>
        <row r="432">
          <cell r="B432" t="str">
            <v>5201-C10</v>
          </cell>
          <cell r="C432" t="str">
            <v>OS</v>
          </cell>
          <cell r="D432" t="str">
            <v>OS</v>
          </cell>
          <cell r="E432" t="str">
            <v>ZHHI</v>
          </cell>
          <cell r="F432" t="str">
            <v>B20</v>
          </cell>
          <cell r="G432" t="str">
            <v>BallastTank No 6, West, 52TC006</v>
          </cell>
          <cell r="I432">
            <v>41444</v>
          </cell>
        </row>
        <row r="433">
          <cell r="B433" t="str">
            <v>1601-C03</v>
          </cell>
          <cell r="C433" t="str">
            <v>OS</v>
          </cell>
          <cell r="D433" t="str">
            <v>OS</v>
          </cell>
          <cell r="E433" t="str">
            <v>ZHHI</v>
          </cell>
          <cell r="F433" t="str">
            <v>P10</v>
          </cell>
          <cell r="G433" t="str">
            <v>PIG Launcher/Receiver, 16LE001, Flowline 1</v>
          </cell>
          <cell r="I433">
            <v>41445</v>
          </cell>
        </row>
        <row r="434">
          <cell r="B434" t="str">
            <v>1601-C04</v>
          </cell>
          <cell r="C434" t="str">
            <v>OS</v>
          </cell>
          <cell r="D434" t="str">
            <v>OS</v>
          </cell>
          <cell r="E434" t="str">
            <v>ZHHI</v>
          </cell>
          <cell r="F434" t="str">
            <v>P10</v>
          </cell>
          <cell r="G434" t="str">
            <v>PIG Launcher/Receiver, 16LE002, Flowline 2</v>
          </cell>
          <cell r="I434">
            <v>41445</v>
          </cell>
        </row>
        <row r="435">
          <cell r="B435" t="str">
            <v>4101-C07</v>
          </cell>
          <cell r="C435" t="str">
            <v>OS</v>
          </cell>
          <cell r="D435" t="str">
            <v>OS</v>
          </cell>
          <cell r="E435" t="str">
            <v>ZHHI</v>
          </cell>
          <cell r="F435" t="str">
            <v>Q20</v>
          </cell>
          <cell r="G435" t="str">
            <v>41EN001D Electric heater switchboard (incl. transformer 41ET001D)</v>
          </cell>
          <cell r="I435">
            <v>41445</v>
          </cell>
        </row>
        <row r="436">
          <cell r="B436" t="str">
            <v>7701-C24</v>
          </cell>
          <cell r="C436" t="str">
            <v>OS</v>
          </cell>
          <cell r="D436" t="str">
            <v>OS</v>
          </cell>
          <cell r="E436" t="str">
            <v>ZHHI</v>
          </cell>
          <cell r="F436" t="str">
            <v>Q30</v>
          </cell>
          <cell r="G436" t="str">
            <v>Utility Area Paint Shop/Stores Extract Plant System 77GK134</v>
          </cell>
          <cell r="I436">
            <v>41445</v>
          </cell>
        </row>
        <row r="437">
          <cell r="B437" t="str">
            <v>3301-C10</v>
          </cell>
          <cell r="C437" t="str">
            <v>OS</v>
          </cell>
          <cell r="D437" t="str">
            <v>OS</v>
          </cell>
          <cell r="E437" t="str">
            <v>ZHHI</v>
          </cell>
          <cell r="F437" t="str">
            <v>C20</v>
          </cell>
          <cell r="G437" t="str">
            <v>Cargo tank 33TX004 (COT3W)</v>
          </cell>
          <cell r="I437">
            <v>41446</v>
          </cell>
        </row>
        <row r="438">
          <cell r="B438" t="str">
            <v>4202-C01</v>
          </cell>
          <cell r="C438" t="str">
            <v>OS</v>
          </cell>
          <cell r="D438" t="str">
            <v>OS</v>
          </cell>
          <cell r="E438" t="str">
            <v>ZHHI</v>
          </cell>
          <cell r="F438" t="str">
            <v>P30</v>
          </cell>
          <cell r="G438" t="str">
            <v>Seal Barrier Fluid system 42CS002</v>
          </cell>
          <cell r="I438">
            <v>41446</v>
          </cell>
        </row>
        <row r="439">
          <cell r="B439" t="str">
            <v>8684-C01</v>
          </cell>
          <cell r="C439" t="str">
            <v>OS</v>
          </cell>
          <cell r="D439" t="str">
            <v>OS</v>
          </cell>
          <cell r="E439" t="str">
            <v>ZHHI</v>
          </cell>
          <cell r="F439" t="str">
            <v>L10</v>
          </cell>
          <cell r="G439" t="str">
            <v>Telecom Management system</v>
          </cell>
          <cell r="I439">
            <v>41446</v>
          </cell>
        </row>
        <row r="440">
          <cell r="B440" t="str">
            <v>1601-C07</v>
          </cell>
          <cell r="C440" t="str">
            <v>OS</v>
          </cell>
          <cell r="D440" t="str">
            <v>OS</v>
          </cell>
          <cell r="E440" t="str">
            <v>ZHHI</v>
          </cell>
          <cell r="F440" t="str">
            <v>M20</v>
          </cell>
          <cell r="G440" t="str">
            <v>OFFSHORE HOOK-UP Scope, Flowline 1</v>
          </cell>
          <cell r="I440">
            <v>41447</v>
          </cell>
        </row>
        <row r="441">
          <cell r="B441" t="str">
            <v>1601-C08</v>
          </cell>
          <cell r="C441" t="str">
            <v>OS</v>
          </cell>
          <cell r="D441" t="str">
            <v>OS</v>
          </cell>
          <cell r="E441" t="str">
            <v>ZHHI</v>
          </cell>
          <cell r="F441" t="str">
            <v>M20</v>
          </cell>
          <cell r="G441" t="str">
            <v>OFFSHORE HOOK-UP Scope, Flowline 2</v>
          </cell>
          <cell r="I441">
            <v>41447</v>
          </cell>
        </row>
        <row r="442">
          <cell r="B442" t="str">
            <v>7004-C01</v>
          </cell>
          <cell r="C442" t="str">
            <v>OS</v>
          </cell>
          <cell r="D442" t="str">
            <v>OS</v>
          </cell>
          <cell r="E442" t="str">
            <v>ZHHI</v>
          </cell>
          <cell r="F442" t="str">
            <v>Q30</v>
          </cell>
          <cell r="G442" t="str">
            <v>Panel 70JC001/002 F&amp;G Node 70 (LER)</v>
          </cell>
          <cell r="I442">
            <v>41447</v>
          </cell>
        </row>
        <row r="443">
          <cell r="B443" t="str">
            <v>7004-C02</v>
          </cell>
          <cell r="C443" t="str">
            <v>OS</v>
          </cell>
          <cell r="D443" t="str">
            <v>OS</v>
          </cell>
          <cell r="E443" t="str">
            <v>ZHHI</v>
          </cell>
          <cell r="F443" t="str">
            <v>Q30</v>
          </cell>
          <cell r="G443" t="str">
            <v>Panel 70JC003/004 F&amp;G Node 72 (LER)</v>
          </cell>
          <cell r="I443">
            <v>41447</v>
          </cell>
        </row>
        <row r="444">
          <cell r="B444" t="str">
            <v>7701-C28</v>
          </cell>
          <cell r="C444" t="str">
            <v>OS</v>
          </cell>
          <cell r="D444" t="str">
            <v>OS</v>
          </cell>
          <cell r="E444" t="str">
            <v>ZHHI</v>
          </cell>
          <cell r="F444" t="str">
            <v>Q30</v>
          </cell>
          <cell r="G444" t="str">
            <v>Utility Area Production Laboratory Extract Plant System 77GK138</v>
          </cell>
          <cell r="I444">
            <v>41447</v>
          </cell>
        </row>
        <row r="445">
          <cell r="B445" t="str">
            <v>5201-C11</v>
          </cell>
          <cell r="C445" t="str">
            <v>OS</v>
          </cell>
          <cell r="D445" t="str">
            <v>OS</v>
          </cell>
          <cell r="E445" t="str">
            <v>ZHHI</v>
          </cell>
          <cell r="F445" t="str">
            <v>B20</v>
          </cell>
          <cell r="G445" t="str">
            <v>BallastTank No 7, West, 52TC007</v>
          </cell>
          <cell r="I445">
            <v>41448</v>
          </cell>
        </row>
        <row r="446">
          <cell r="B446" t="str">
            <v>2901-C08</v>
          </cell>
          <cell r="C446" t="str">
            <v>OS</v>
          </cell>
          <cell r="D446" t="str">
            <v>OS</v>
          </cell>
          <cell r="E446" t="str">
            <v>ZHHI</v>
          </cell>
          <cell r="F446" t="str">
            <v>P50</v>
          </cell>
          <cell r="G446" t="str">
            <v>Water Injection Pump 29XX001D</v>
          </cell>
          <cell r="I446">
            <v>41449</v>
          </cell>
        </row>
        <row r="447">
          <cell r="B447" t="str">
            <v>7701-C07</v>
          </cell>
          <cell r="C447" t="str">
            <v>OS</v>
          </cell>
          <cell r="D447" t="str">
            <v>OS</v>
          </cell>
          <cell r="E447" t="str">
            <v>ZHHI</v>
          </cell>
          <cell r="F447" t="str">
            <v>L10</v>
          </cell>
          <cell r="G447" t="str">
            <v>Q40 &amp; LQ Emergency Stairs East Supply System 77GA108A/B</v>
          </cell>
          <cell r="I447">
            <v>41449</v>
          </cell>
        </row>
        <row r="448">
          <cell r="B448" t="str">
            <v>Comm. package</v>
          </cell>
          <cell r="C448" t="str">
            <v>Comm. st.</v>
          </cell>
          <cell r="D448" t="str">
            <v>MC st.</v>
          </cell>
          <cell r="E448" t="str">
            <v>Comm. resp.</v>
          </cell>
          <cell r="F448" t="str">
            <v>Comm. area</v>
          </cell>
          <cell r="G448" t="str">
            <v>Description</v>
          </cell>
          <cell r="H448" t="str">
            <v>Priority</v>
          </cell>
          <cell r="I448" t="str">
            <v>Planned startup</v>
          </cell>
        </row>
        <row r="449">
          <cell r="B449" t="str">
            <v>1601-C09</v>
          </cell>
          <cell r="C449" t="str">
            <v>OS</v>
          </cell>
          <cell r="D449" t="str">
            <v>OS</v>
          </cell>
          <cell r="E449" t="str">
            <v>ZHHI</v>
          </cell>
          <cell r="F449" t="str">
            <v>M20</v>
          </cell>
          <cell r="G449" t="str">
            <v>Flowline heating container 16FE001 (incl. 16ET001)</v>
          </cell>
          <cell r="I449">
            <v>41450</v>
          </cell>
        </row>
        <row r="450">
          <cell r="B450" t="str">
            <v>1601-C10</v>
          </cell>
          <cell r="C450" t="str">
            <v>OS</v>
          </cell>
          <cell r="D450" t="str">
            <v>OS</v>
          </cell>
          <cell r="E450" t="str">
            <v>ZHHI</v>
          </cell>
          <cell r="F450" t="str">
            <v>M20</v>
          </cell>
          <cell r="G450" t="str">
            <v>Flowline heating container 16FE002 (incl. 16ET002)</v>
          </cell>
          <cell r="I450">
            <v>41450</v>
          </cell>
        </row>
        <row r="451">
          <cell r="B451" t="str">
            <v>3301-C11</v>
          </cell>
          <cell r="C451" t="str">
            <v>OS</v>
          </cell>
          <cell r="D451" t="str">
            <v>OS</v>
          </cell>
          <cell r="E451" t="str">
            <v>ZHHI</v>
          </cell>
          <cell r="F451" t="str">
            <v>C20</v>
          </cell>
          <cell r="G451" t="str">
            <v>Cargo tank 33TX005 (COT4W)</v>
          </cell>
          <cell r="I451">
            <v>41450</v>
          </cell>
        </row>
        <row r="452">
          <cell r="B452" t="str">
            <v>4101-C08</v>
          </cell>
          <cell r="C452" t="str">
            <v>OS</v>
          </cell>
          <cell r="D452" t="str">
            <v>OS</v>
          </cell>
          <cell r="E452" t="str">
            <v>ZHHI</v>
          </cell>
          <cell r="F452" t="str">
            <v>Q20</v>
          </cell>
          <cell r="G452" t="str">
            <v>41EN001E Electric heater switchboard (incl. transformer 41ET001E)</v>
          </cell>
          <cell r="I452">
            <v>41450</v>
          </cell>
        </row>
        <row r="453">
          <cell r="B453" t="str">
            <v>5201-C12</v>
          </cell>
          <cell r="C453" t="str">
            <v>OS</v>
          </cell>
          <cell r="D453" t="str">
            <v>OS</v>
          </cell>
          <cell r="E453" t="str">
            <v>ZHHI</v>
          </cell>
          <cell r="F453" t="str">
            <v>B20</v>
          </cell>
          <cell r="G453" t="str">
            <v>BallastTank No 8, West, 52TC008</v>
          </cell>
          <cell r="I453">
            <v>41450</v>
          </cell>
        </row>
        <row r="454">
          <cell r="B454" t="str">
            <v>2701-C04</v>
          </cell>
          <cell r="C454" t="str">
            <v>OS</v>
          </cell>
          <cell r="D454" t="str">
            <v>OS</v>
          </cell>
          <cell r="E454" t="str">
            <v>ZHHI</v>
          </cell>
          <cell r="F454" t="str">
            <v>P30</v>
          </cell>
          <cell r="G454" t="str">
            <v>HP compressor 27KA001/2 B</v>
          </cell>
          <cell r="I454">
            <v>41451</v>
          </cell>
        </row>
        <row r="455">
          <cell r="B455" t="str">
            <v>2001-C01</v>
          </cell>
          <cell r="C455" t="str">
            <v>OS</v>
          </cell>
          <cell r="D455" t="str">
            <v>OS</v>
          </cell>
          <cell r="E455" t="str">
            <v>ZHHI</v>
          </cell>
          <cell r="F455" t="str">
            <v>P20</v>
          </cell>
          <cell r="G455" t="str">
            <v>Inlet Heater 20HA001 &amp; Inlet Separator 20VA001</v>
          </cell>
          <cell r="I455">
            <v>41452</v>
          </cell>
        </row>
        <row r="456">
          <cell r="B456" t="str">
            <v>3301-C12</v>
          </cell>
          <cell r="C456" t="str">
            <v>OS</v>
          </cell>
          <cell r="D456" t="str">
            <v>OS</v>
          </cell>
          <cell r="E456" t="str">
            <v>ZHHI</v>
          </cell>
          <cell r="F456" t="str">
            <v>C10</v>
          </cell>
          <cell r="G456" t="str">
            <v>Cargo tank 33TX010 (COT1E)</v>
          </cell>
          <cell r="I456">
            <v>41452</v>
          </cell>
        </row>
        <row r="457">
          <cell r="B457" t="str">
            <v>5601-C10</v>
          </cell>
          <cell r="C457" t="str">
            <v>OS</v>
          </cell>
          <cell r="D457" t="str">
            <v>OS</v>
          </cell>
          <cell r="E457" t="str">
            <v>ZHHI</v>
          </cell>
          <cell r="F457" t="str">
            <v>G20</v>
          </cell>
          <cell r="G457" t="str">
            <v>Bilge system and pumps 56PF002A/B in central shaft sea water lift pump room</v>
          </cell>
          <cell r="I457">
            <v>41452</v>
          </cell>
        </row>
        <row r="458">
          <cell r="B458" t="str">
            <v>7004-C03</v>
          </cell>
          <cell r="C458" t="str">
            <v>OS</v>
          </cell>
          <cell r="D458" t="str">
            <v>OS</v>
          </cell>
          <cell r="E458" t="str">
            <v>ZHHI</v>
          </cell>
          <cell r="F458" t="str">
            <v>Q30</v>
          </cell>
          <cell r="G458" t="str">
            <v>Panel 70JC005/006 F&amp;G Node 73 (LER)</v>
          </cell>
          <cell r="I458">
            <v>41452</v>
          </cell>
        </row>
        <row r="459">
          <cell r="B459" t="str">
            <v>7004-C04</v>
          </cell>
          <cell r="C459" t="str">
            <v>OS</v>
          </cell>
          <cell r="D459" t="str">
            <v>OS</v>
          </cell>
          <cell r="E459" t="str">
            <v>ZHHI</v>
          </cell>
          <cell r="F459" t="str">
            <v>Q30</v>
          </cell>
          <cell r="G459" t="str">
            <v>Panel 70JC007/008 F&amp;G Node 74 (LER)</v>
          </cell>
          <cell r="I459">
            <v>41452</v>
          </cell>
        </row>
        <row r="460">
          <cell r="B460" t="str">
            <v>8661-C01</v>
          </cell>
          <cell r="C460" t="str">
            <v>OS</v>
          </cell>
          <cell r="D460" t="str">
            <v>OS</v>
          </cell>
          <cell r="E460" t="str">
            <v>ZHHI</v>
          </cell>
          <cell r="F460" t="str">
            <v>L10</v>
          </cell>
          <cell r="G460" t="str">
            <v>Shuttle Tanker Loading Telemetry</v>
          </cell>
          <cell r="I460">
            <v>41452</v>
          </cell>
        </row>
        <row r="461">
          <cell r="B461" t="str">
            <v>9401-C08</v>
          </cell>
          <cell r="C461" t="str">
            <v>OS</v>
          </cell>
          <cell r="D461" t="str">
            <v>OS</v>
          </cell>
          <cell r="E461" t="str">
            <v>ZHHI</v>
          </cell>
          <cell r="F461" t="str">
            <v>M10</v>
          </cell>
          <cell r="G461" t="str">
            <v>Chain Tensioner Unit, Easth</v>
          </cell>
          <cell r="I461">
            <v>41452</v>
          </cell>
        </row>
        <row r="462">
          <cell r="B462" t="str">
            <v>2901-C03</v>
          </cell>
          <cell r="C462" t="str">
            <v>OS</v>
          </cell>
          <cell r="D462" t="str">
            <v>OS</v>
          </cell>
          <cell r="E462" t="str">
            <v>ZHHI</v>
          </cell>
          <cell r="F462" t="str">
            <v>P10</v>
          </cell>
          <cell r="G462" t="str">
            <v>Temporary pig launcher water injection 29LE001</v>
          </cell>
          <cell r="I462">
            <v>41453</v>
          </cell>
        </row>
        <row r="463">
          <cell r="B463" t="str">
            <v>2901-C04</v>
          </cell>
          <cell r="C463" t="str">
            <v>OS</v>
          </cell>
          <cell r="D463" t="str">
            <v>OS</v>
          </cell>
          <cell r="E463" t="str">
            <v>ZHHI</v>
          </cell>
          <cell r="F463" t="str">
            <v>P10</v>
          </cell>
          <cell r="G463" t="str">
            <v>Offshore Hook-up Spool to prod water injection well</v>
          </cell>
          <cell r="I463">
            <v>41453</v>
          </cell>
        </row>
        <row r="464">
          <cell r="B464" t="str">
            <v>5201-C13</v>
          </cell>
          <cell r="C464" t="str">
            <v>OS</v>
          </cell>
          <cell r="D464" t="str">
            <v>OS</v>
          </cell>
          <cell r="E464" t="str">
            <v>ZHHI</v>
          </cell>
          <cell r="F464" t="str">
            <v>B20</v>
          </cell>
          <cell r="G464" t="str">
            <v>BallastTank No 9, West, 52TC009</v>
          </cell>
          <cell r="I464">
            <v>41453</v>
          </cell>
        </row>
        <row r="465">
          <cell r="B465" t="str">
            <v>Comm. package</v>
          </cell>
          <cell r="C465" t="str">
            <v>Comm. st.</v>
          </cell>
          <cell r="D465" t="str">
            <v>MC st.</v>
          </cell>
          <cell r="E465" t="str">
            <v>Comm. resp.</v>
          </cell>
          <cell r="F465" t="str">
            <v>Comm. area</v>
          </cell>
          <cell r="G465" t="str">
            <v>Description</v>
          </cell>
          <cell r="H465" t="str">
            <v>Priority</v>
          </cell>
          <cell r="I465" t="str">
            <v>Planned startup</v>
          </cell>
        </row>
        <row r="466">
          <cell r="B466" t="str">
            <v>2901-C05</v>
          </cell>
          <cell r="C466" t="str">
            <v>OS</v>
          </cell>
          <cell r="D466" t="str">
            <v>OS</v>
          </cell>
          <cell r="E466" t="str">
            <v>ZHHI</v>
          </cell>
          <cell r="F466" t="str">
            <v>P10</v>
          </cell>
          <cell r="G466" t="str">
            <v>Offshore Hook-up Spool to sea water injection well</v>
          </cell>
          <cell r="I466">
            <v>41454</v>
          </cell>
        </row>
        <row r="467">
          <cell r="B467" t="str">
            <v>8611-C02</v>
          </cell>
          <cell r="C467" t="str">
            <v>OS</v>
          </cell>
          <cell r="D467" t="str">
            <v>OS</v>
          </cell>
          <cell r="E467" t="str">
            <v>ZHHI</v>
          </cell>
          <cell r="F467" t="str">
            <v>Q30</v>
          </cell>
          <cell r="G467" t="str">
            <v>Public address and General alarm system B (LER)</v>
          </cell>
          <cell r="I467">
            <v>41454</v>
          </cell>
        </row>
        <row r="468">
          <cell r="B468" t="str">
            <v>8611-C03</v>
          </cell>
          <cell r="C468" t="str">
            <v>OS</v>
          </cell>
          <cell r="D468" t="str">
            <v>OS</v>
          </cell>
          <cell r="E468" t="str">
            <v>ZHHI</v>
          </cell>
          <cell r="F468" t="str">
            <v>G20</v>
          </cell>
          <cell r="G468" t="str">
            <v>PA/GA A system Hull</v>
          </cell>
          <cell r="I468">
            <v>41454</v>
          </cell>
        </row>
        <row r="469">
          <cell r="B469" t="str">
            <v>3301-C13</v>
          </cell>
          <cell r="C469" t="str">
            <v>OS</v>
          </cell>
          <cell r="D469" t="str">
            <v>OS</v>
          </cell>
          <cell r="E469" t="str">
            <v>ZHHI</v>
          </cell>
          <cell r="F469" t="str">
            <v>C10</v>
          </cell>
          <cell r="G469" t="str">
            <v>Cargo tank 33TX009 (COT2E)</v>
          </cell>
          <cell r="I469">
            <v>41456</v>
          </cell>
        </row>
        <row r="470">
          <cell r="B470" t="str">
            <v>5201-C14</v>
          </cell>
          <cell r="C470" t="str">
            <v>OS</v>
          </cell>
          <cell r="D470" t="str">
            <v>OS</v>
          </cell>
          <cell r="E470" t="str">
            <v>ZHHI</v>
          </cell>
          <cell r="F470" t="str">
            <v>B20</v>
          </cell>
          <cell r="G470" t="str">
            <v>BallastTank No 10, West, 52TC010</v>
          </cell>
          <cell r="I470">
            <v>41456</v>
          </cell>
        </row>
        <row r="471">
          <cell r="B471" t="str">
            <v>7004-C05</v>
          </cell>
          <cell r="C471" t="str">
            <v>OS</v>
          </cell>
          <cell r="D471" t="str">
            <v>OS</v>
          </cell>
          <cell r="E471" t="str">
            <v>ZHHI</v>
          </cell>
          <cell r="F471" t="str">
            <v>Q30</v>
          </cell>
          <cell r="G471" t="str">
            <v>Panel 70JC010/011 F&amp;G Node 75 (LER)</v>
          </cell>
          <cell r="I471">
            <v>41456</v>
          </cell>
        </row>
        <row r="472">
          <cell r="B472" t="str">
            <v>7004-C06</v>
          </cell>
          <cell r="C472" t="str">
            <v>OS</v>
          </cell>
          <cell r="D472" t="str">
            <v>OS</v>
          </cell>
          <cell r="E472" t="str">
            <v>ZHHI</v>
          </cell>
          <cell r="F472" t="str">
            <v>Q30</v>
          </cell>
          <cell r="G472" t="str">
            <v>Panel 70JC012/013 F&amp;G Node 76 (LER)</v>
          </cell>
          <cell r="I472">
            <v>41456</v>
          </cell>
        </row>
        <row r="473">
          <cell r="B473" t="str">
            <v>7701-C37</v>
          </cell>
          <cell r="C473" t="str">
            <v>OS</v>
          </cell>
          <cell r="D473" t="str">
            <v>OS</v>
          </cell>
          <cell r="E473" t="str">
            <v>ZHHI</v>
          </cell>
          <cell r="F473" t="str">
            <v>Q40</v>
          </cell>
          <cell r="G473" t="str">
            <v>Q40 Area Extract East System 77GK140A/B</v>
          </cell>
          <cell r="I473">
            <v>41456</v>
          </cell>
        </row>
        <row r="474">
          <cell r="B474" t="str">
            <v>3301-C14</v>
          </cell>
          <cell r="C474" t="str">
            <v>OS</v>
          </cell>
          <cell r="D474" t="str">
            <v>OS</v>
          </cell>
          <cell r="E474" t="str">
            <v>ZHHI</v>
          </cell>
          <cell r="F474" t="str">
            <v>C20</v>
          </cell>
          <cell r="G474" t="str">
            <v>Cargo tank 33TX008 (COT3E)</v>
          </cell>
          <cell r="I474">
            <v>41458</v>
          </cell>
        </row>
        <row r="475">
          <cell r="B475" t="str">
            <v>5201-C15</v>
          </cell>
          <cell r="C475" t="str">
            <v>OS</v>
          </cell>
          <cell r="D475" t="str">
            <v>OS</v>
          </cell>
          <cell r="E475" t="str">
            <v>ZHHI</v>
          </cell>
          <cell r="F475" t="str">
            <v>B10</v>
          </cell>
          <cell r="G475" t="str">
            <v>BallastTank No 1, East, 52TC011</v>
          </cell>
          <cell r="I475">
            <v>41458</v>
          </cell>
        </row>
        <row r="476">
          <cell r="B476" t="str">
            <v>7004-C07</v>
          </cell>
          <cell r="C476" t="str">
            <v>OS</v>
          </cell>
          <cell r="D476" t="str">
            <v>OS</v>
          </cell>
          <cell r="E476" t="str">
            <v>ZHHI</v>
          </cell>
          <cell r="F476" t="str">
            <v>Q30</v>
          </cell>
          <cell r="G476" t="str">
            <v>Panel 70JC014/015 F&amp;G Node 77 (LER)</v>
          </cell>
          <cell r="I476">
            <v>41459</v>
          </cell>
        </row>
        <row r="477">
          <cell r="B477" t="str">
            <v>7004-C08</v>
          </cell>
          <cell r="C477" t="str">
            <v>OS</v>
          </cell>
          <cell r="D477" t="str">
            <v>OS</v>
          </cell>
          <cell r="E477" t="str">
            <v>ZHHI</v>
          </cell>
          <cell r="F477" t="str">
            <v>Q30</v>
          </cell>
          <cell r="G477" t="str">
            <v>Panel 70JC016/017 F&amp;G Node 78 (LQ) (LER)</v>
          </cell>
          <cell r="I477">
            <v>41459</v>
          </cell>
        </row>
        <row r="478">
          <cell r="B478" t="str">
            <v>7701-C08</v>
          </cell>
          <cell r="C478" t="str">
            <v>OS</v>
          </cell>
          <cell r="D478" t="str">
            <v>OS</v>
          </cell>
          <cell r="E478" t="str">
            <v>ZHHI</v>
          </cell>
          <cell r="F478" t="str">
            <v>L10</v>
          </cell>
          <cell r="G478" t="str">
            <v>M30 &amp; LQ Emergency Stairs West Supply System 77GA109A/B</v>
          </cell>
          <cell r="I478">
            <v>41459</v>
          </cell>
        </row>
        <row r="479">
          <cell r="B479" t="str">
            <v>8644-C01</v>
          </cell>
          <cell r="C479" t="str">
            <v>OS</v>
          </cell>
          <cell r="D479" t="str">
            <v>OS</v>
          </cell>
          <cell r="E479" t="str">
            <v>ZHHI</v>
          </cell>
          <cell r="F479" t="str">
            <v>L10</v>
          </cell>
          <cell r="G479" t="str">
            <v>Marine VHF and Mobile Base station</v>
          </cell>
          <cell r="I479">
            <v>41459</v>
          </cell>
        </row>
        <row r="480">
          <cell r="B480" t="str">
            <v>3301-C15</v>
          </cell>
          <cell r="C480" t="str">
            <v>OS</v>
          </cell>
          <cell r="D480" t="str">
            <v>OS</v>
          </cell>
          <cell r="E480" t="str">
            <v>ZHHI</v>
          </cell>
          <cell r="F480" t="str">
            <v>C20</v>
          </cell>
          <cell r="G480" t="str">
            <v>Cargo tank 33TX007 (COT4E)</v>
          </cell>
          <cell r="I480">
            <v>41460</v>
          </cell>
        </row>
        <row r="481">
          <cell r="B481" t="str">
            <v>8621-C02</v>
          </cell>
          <cell r="C481" t="str">
            <v>OS</v>
          </cell>
          <cell r="D481" t="str">
            <v>OS</v>
          </cell>
          <cell r="E481" t="str">
            <v>ZHHI</v>
          </cell>
          <cell r="F481" t="str">
            <v>L10</v>
          </cell>
          <cell r="G481" t="str">
            <v>PABX and telephone system LQ</v>
          </cell>
          <cell r="I481">
            <v>41461</v>
          </cell>
        </row>
        <row r="482">
          <cell r="B482" t="str">
            <v>Comm. package</v>
          </cell>
          <cell r="C482" t="str">
            <v>Comm. st.</v>
          </cell>
          <cell r="D482" t="str">
            <v>MC st.</v>
          </cell>
          <cell r="E482" t="str">
            <v>Comm. resp.</v>
          </cell>
          <cell r="F482" t="str">
            <v>Comm. area</v>
          </cell>
          <cell r="G482" t="str">
            <v>Description</v>
          </cell>
          <cell r="H482" t="str">
            <v>Priority</v>
          </cell>
          <cell r="I482" t="str">
            <v>Planned startup</v>
          </cell>
        </row>
        <row r="483">
          <cell r="B483" t="str">
            <v>8643-C01</v>
          </cell>
          <cell r="C483" t="str">
            <v>OS</v>
          </cell>
          <cell r="D483" t="str">
            <v>OS</v>
          </cell>
          <cell r="E483" t="str">
            <v>ZHHI</v>
          </cell>
          <cell r="F483" t="str">
            <v>L10</v>
          </cell>
          <cell r="G483" t="str">
            <v>Audio and video entertainment system</v>
          </cell>
          <cell r="I483">
            <v>41461</v>
          </cell>
        </row>
        <row r="484">
          <cell r="B484" t="str">
            <v>5201-C16</v>
          </cell>
          <cell r="C484" t="str">
            <v>OS</v>
          </cell>
          <cell r="D484" t="str">
            <v>OS</v>
          </cell>
          <cell r="E484" t="str">
            <v>ZHHI</v>
          </cell>
          <cell r="F484" t="str">
            <v>B10</v>
          </cell>
          <cell r="G484" t="str">
            <v>BallastTank No 2, East, 52TC012</v>
          </cell>
          <cell r="I484">
            <v>41462</v>
          </cell>
        </row>
        <row r="485">
          <cell r="B485" t="str">
            <v>7004-C09</v>
          </cell>
          <cell r="C485" t="str">
            <v>OS</v>
          </cell>
          <cell r="D485" t="str">
            <v>OS</v>
          </cell>
          <cell r="E485" t="str">
            <v>ZHHI</v>
          </cell>
          <cell r="F485" t="str">
            <v>Q30</v>
          </cell>
          <cell r="G485" t="str">
            <v>Panel 70JC018 F&amp;G Node 71 (LQ) (CER)</v>
          </cell>
          <cell r="I485">
            <v>41463</v>
          </cell>
        </row>
        <row r="486">
          <cell r="B486" t="str">
            <v>7004-C10</v>
          </cell>
          <cell r="C486" t="str">
            <v>OS</v>
          </cell>
          <cell r="D486" t="str">
            <v>OS</v>
          </cell>
          <cell r="E486" t="str">
            <v>ZHHI</v>
          </cell>
          <cell r="F486" t="str">
            <v>Q30</v>
          </cell>
          <cell r="G486" t="str">
            <v>Panel 70JX001 F&amp;G Visual Flame Detection (LER)</v>
          </cell>
          <cell r="I486">
            <v>41463</v>
          </cell>
        </row>
        <row r="487">
          <cell r="B487" t="str">
            <v>9401-C09</v>
          </cell>
          <cell r="C487" t="str">
            <v>OS</v>
          </cell>
          <cell r="D487" t="str">
            <v>OS</v>
          </cell>
          <cell r="E487" t="str">
            <v>ZHHI</v>
          </cell>
          <cell r="F487" t="str">
            <v>M20</v>
          </cell>
          <cell r="G487" t="str">
            <v>Chain Tensioner Unit, South</v>
          </cell>
          <cell r="I487">
            <v>41463</v>
          </cell>
        </row>
        <row r="488">
          <cell r="B488" t="str">
            <v>9401-C11</v>
          </cell>
          <cell r="C488" t="str">
            <v>OS</v>
          </cell>
          <cell r="D488" t="str">
            <v>OS</v>
          </cell>
          <cell r="E488" t="str">
            <v>ZHHI</v>
          </cell>
          <cell r="F488" t="str">
            <v>M10</v>
          </cell>
          <cell r="G488" t="str">
            <v>Auxilary Winches for Towing / Mooring Line Handling</v>
          </cell>
          <cell r="I488">
            <v>41463</v>
          </cell>
        </row>
        <row r="489">
          <cell r="B489" t="str">
            <v>9401-C12</v>
          </cell>
          <cell r="C489" t="str">
            <v>OS</v>
          </cell>
          <cell r="D489" t="str">
            <v>OS</v>
          </cell>
          <cell r="E489" t="str">
            <v>ZHHI</v>
          </cell>
          <cell r="F489" t="str">
            <v>M10</v>
          </cell>
          <cell r="G489" t="str">
            <v>EFCS/Chain stopper, Easth</v>
          </cell>
          <cell r="I489">
            <v>41463</v>
          </cell>
        </row>
        <row r="490">
          <cell r="B490" t="str">
            <v>3301-C16</v>
          </cell>
          <cell r="C490" t="str">
            <v>OS</v>
          </cell>
          <cell r="D490" t="str">
            <v>OS</v>
          </cell>
          <cell r="E490" t="str">
            <v>ZHHI</v>
          </cell>
          <cell r="F490" t="str">
            <v>C20</v>
          </cell>
          <cell r="G490" t="str">
            <v>Cargo tank 33TX006 (COT4C)</v>
          </cell>
          <cell r="I490">
            <v>41464</v>
          </cell>
        </row>
        <row r="491">
          <cell r="B491" t="str">
            <v>5201-C17</v>
          </cell>
          <cell r="C491" t="str">
            <v>OS</v>
          </cell>
          <cell r="D491" t="str">
            <v>OS</v>
          </cell>
          <cell r="E491" t="str">
            <v>ZHHI</v>
          </cell>
          <cell r="F491" t="str">
            <v>B10</v>
          </cell>
          <cell r="G491" t="str">
            <v>BallastTank No 3, East, 52TC013</v>
          </cell>
          <cell r="I491">
            <v>41464</v>
          </cell>
        </row>
        <row r="492">
          <cell r="B492" t="str">
            <v>8611-C05</v>
          </cell>
          <cell r="C492" t="str">
            <v>OS</v>
          </cell>
          <cell r="D492" t="str">
            <v>OS</v>
          </cell>
          <cell r="E492" t="str">
            <v>ZHHI</v>
          </cell>
          <cell r="F492" t="str">
            <v>L10</v>
          </cell>
          <cell r="G492" t="str">
            <v>PA/GA A system LQ</v>
          </cell>
          <cell r="I492">
            <v>41464</v>
          </cell>
        </row>
        <row r="493">
          <cell r="B493" t="str">
            <v>5601-C09</v>
          </cell>
          <cell r="C493" t="str">
            <v>OS</v>
          </cell>
          <cell r="D493" t="str">
            <v>OS</v>
          </cell>
          <cell r="E493" t="str">
            <v>ZHHI</v>
          </cell>
          <cell r="F493" t="str">
            <v>N10</v>
          </cell>
          <cell r="G493" t="str">
            <v>Bilge system and pumps 56PF003A&amp;B north shaft</v>
          </cell>
          <cell r="I493">
            <v>41465</v>
          </cell>
        </row>
        <row r="494">
          <cell r="B494" t="str">
            <v>9901-C04</v>
          </cell>
          <cell r="C494" t="str">
            <v>OS</v>
          </cell>
          <cell r="D494" t="str">
            <v>OS</v>
          </cell>
          <cell r="E494" t="str">
            <v>ZHHI</v>
          </cell>
          <cell r="F494" t="str">
            <v>C10</v>
          </cell>
          <cell r="G494" t="str">
            <v>C10 &amp; C20 Cargo Tanks North &amp; South</v>
          </cell>
          <cell r="I494">
            <v>41465</v>
          </cell>
        </row>
        <row r="495">
          <cell r="B495" t="str">
            <v>2001-C02</v>
          </cell>
          <cell r="C495" t="str">
            <v>OS</v>
          </cell>
          <cell r="D495" t="str">
            <v>OS</v>
          </cell>
          <cell r="E495" t="str">
            <v>ZHHI</v>
          </cell>
          <cell r="F495" t="str">
            <v>P20</v>
          </cell>
          <cell r="G495" t="str">
            <v>Test Heater 20HA003 &amp; Test Separator 20VA003</v>
          </cell>
          <cell r="I495">
            <v>41466</v>
          </cell>
        </row>
        <row r="496">
          <cell r="B496" t="str">
            <v>7001-C01</v>
          </cell>
          <cell r="C496" t="str">
            <v>OS</v>
          </cell>
          <cell r="D496" t="str">
            <v>OS</v>
          </cell>
          <cell r="E496" t="str">
            <v>ZHHI</v>
          </cell>
          <cell r="F496" t="str">
            <v>G10</v>
          </cell>
          <cell r="G496" t="str">
            <v>Fire zone G10A Center Shaft Outer</v>
          </cell>
          <cell r="I496">
            <v>41466</v>
          </cell>
        </row>
        <row r="497">
          <cell r="B497" t="str">
            <v>7002-C01</v>
          </cell>
          <cell r="C497" t="str">
            <v>OS</v>
          </cell>
          <cell r="D497" t="str">
            <v>OS</v>
          </cell>
          <cell r="E497" t="str">
            <v>ZHHI</v>
          </cell>
          <cell r="F497" t="str">
            <v>D10</v>
          </cell>
          <cell r="G497" t="str">
            <v>Fire zone D10A Offloading Station</v>
          </cell>
          <cell r="I497">
            <v>41466</v>
          </cell>
        </row>
        <row r="498">
          <cell r="B498" t="str">
            <v>7002-C48</v>
          </cell>
          <cell r="C498" t="str">
            <v>OS</v>
          </cell>
          <cell r="D498" t="str">
            <v>OS</v>
          </cell>
          <cell r="E498" t="str">
            <v>ZHHI</v>
          </cell>
          <cell r="F498" t="str">
            <v>Q32</v>
          </cell>
          <cell r="G498" t="str">
            <v>Fire zone Q32C LER &amp; Battery Rooms</v>
          </cell>
          <cell r="I498">
            <v>41466</v>
          </cell>
        </row>
        <row r="499">
          <cell r="B499" t="str">
            <v>Comm. package</v>
          </cell>
          <cell r="C499" t="str">
            <v>Comm. st.</v>
          </cell>
          <cell r="D499" t="str">
            <v>MC st.</v>
          </cell>
          <cell r="E499" t="str">
            <v>Comm. resp.</v>
          </cell>
          <cell r="F499" t="str">
            <v>Comm. area</v>
          </cell>
          <cell r="G499" t="str">
            <v>Description</v>
          </cell>
          <cell r="H499" t="str">
            <v>Priority</v>
          </cell>
          <cell r="I499" t="str">
            <v>Planned startup</v>
          </cell>
        </row>
        <row r="500">
          <cell r="B500" t="str">
            <v>7002-C49</v>
          </cell>
          <cell r="C500" t="str">
            <v>OS</v>
          </cell>
          <cell r="D500" t="str">
            <v>OS</v>
          </cell>
          <cell r="E500" t="str">
            <v>ZHHI</v>
          </cell>
          <cell r="F500" t="str">
            <v>Q32</v>
          </cell>
          <cell r="G500" t="str">
            <v>Fire zone Q32D UPS &amp; Battery Room</v>
          </cell>
          <cell r="I500">
            <v>41466</v>
          </cell>
        </row>
        <row r="501">
          <cell r="B501" t="str">
            <v>7002-C50</v>
          </cell>
          <cell r="C501" t="str">
            <v>OS</v>
          </cell>
          <cell r="D501" t="str">
            <v>OS</v>
          </cell>
          <cell r="E501" t="str">
            <v>ZHHI</v>
          </cell>
          <cell r="F501" t="str">
            <v>Q32</v>
          </cell>
          <cell r="G501" t="str">
            <v>Fire zone Q32E Corridors, Offices &amp; Laydown Area</v>
          </cell>
          <cell r="I501">
            <v>41466</v>
          </cell>
        </row>
        <row r="502">
          <cell r="B502" t="str">
            <v>7003-C01</v>
          </cell>
          <cell r="C502" t="str">
            <v>OS</v>
          </cell>
          <cell r="D502" t="str">
            <v>OS</v>
          </cell>
          <cell r="E502" t="str">
            <v>ZHHI</v>
          </cell>
          <cell r="F502" t="str">
            <v>L11</v>
          </cell>
          <cell r="G502" t="str">
            <v>Fire zone L11A Gymnasium &amp; Cinema</v>
          </cell>
          <cell r="I502">
            <v>41466</v>
          </cell>
        </row>
        <row r="503">
          <cell r="B503" t="str">
            <v>7003-C02</v>
          </cell>
          <cell r="C503" t="str">
            <v>OS</v>
          </cell>
          <cell r="D503" t="str">
            <v>OS</v>
          </cell>
          <cell r="E503" t="str">
            <v>ZHHI</v>
          </cell>
          <cell r="F503" t="str">
            <v>L11</v>
          </cell>
          <cell r="G503" t="str">
            <v>Fire zone L11B HVAC Plant Room</v>
          </cell>
          <cell r="I503">
            <v>41466</v>
          </cell>
        </row>
        <row r="504">
          <cell r="B504" t="str">
            <v>7004-C11</v>
          </cell>
          <cell r="C504" t="str">
            <v>OS</v>
          </cell>
          <cell r="D504" t="str">
            <v>OS</v>
          </cell>
          <cell r="E504" t="str">
            <v>ZHHI</v>
          </cell>
          <cell r="F504" t="str">
            <v>Q30</v>
          </cell>
          <cell r="G504" t="str">
            <v>Panel 70JC020/021 F&amp;G Node 79 (Hull) (LER)</v>
          </cell>
          <cell r="I504">
            <v>41466</v>
          </cell>
        </row>
        <row r="505">
          <cell r="B505" t="str">
            <v>7005-C01</v>
          </cell>
          <cell r="C505" t="str">
            <v>OS</v>
          </cell>
          <cell r="D505" t="str">
            <v>OS</v>
          </cell>
          <cell r="E505" t="str">
            <v>ZHHI</v>
          </cell>
          <cell r="F505" t="str">
            <v>M10</v>
          </cell>
          <cell r="G505" t="str">
            <v>Gas Detection Cabinets</v>
          </cell>
          <cell r="I505">
            <v>41466</v>
          </cell>
        </row>
        <row r="506">
          <cell r="B506" t="str">
            <v>7701-C36</v>
          </cell>
          <cell r="C506" t="str">
            <v>OS</v>
          </cell>
          <cell r="D506" t="str">
            <v>OS</v>
          </cell>
          <cell r="E506" t="str">
            <v>ZHHI</v>
          </cell>
          <cell r="F506" t="str">
            <v>M30</v>
          </cell>
          <cell r="G506" t="str">
            <v>M30 Area Extract West System 77GK128A/B</v>
          </cell>
          <cell r="I506">
            <v>41466</v>
          </cell>
        </row>
        <row r="507">
          <cell r="B507" t="str">
            <v>9901-C39</v>
          </cell>
          <cell r="C507" t="str">
            <v>OS</v>
          </cell>
          <cell r="D507" t="str">
            <v>OS</v>
          </cell>
          <cell r="E507" t="str">
            <v>ZHHI</v>
          </cell>
          <cell r="F507" t="str">
            <v>D10</v>
          </cell>
          <cell r="G507" t="str">
            <v>D10 Offloading Station Area EL:44.000 to 69.000</v>
          </cell>
          <cell r="I507">
            <v>41466</v>
          </cell>
        </row>
        <row r="508">
          <cell r="B508" t="str">
            <v>4501-C01</v>
          </cell>
          <cell r="C508" t="str">
            <v>OS</v>
          </cell>
          <cell r="D508" t="str">
            <v>OS</v>
          </cell>
          <cell r="E508" t="str">
            <v>ZHHI</v>
          </cell>
          <cell r="F508" t="str">
            <v>P30</v>
          </cell>
          <cell r="G508" t="str">
            <v>Fuel gas Cooler 45HJ001, Heaters 45FE001A/B &amp; Scrubber 45VG001</v>
          </cell>
          <cell r="I508">
            <v>41467</v>
          </cell>
        </row>
        <row r="509">
          <cell r="B509" t="str">
            <v>4501-C02</v>
          </cell>
          <cell r="C509" t="str">
            <v>OS</v>
          </cell>
          <cell r="D509" t="str">
            <v>OS</v>
          </cell>
          <cell r="E509" t="str">
            <v>ZHHI</v>
          </cell>
          <cell r="F509" t="str">
            <v>P30</v>
          </cell>
          <cell r="G509" t="str">
            <v>Fuel gas Metering 45JX001 &amp; Calorimeter 45JX002</v>
          </cell>
          <cell r="I509">
            <v>41467</v>
          </cell>
        </row>
        <row r="510">
          <cell r="B510" t="str">
            <v>5201-C18</v>
          </cell>
          <cell r="C510" t="str">
            <v>OS</v>
          </cell>
          <cell r="D510" t="str">
            <v>OS</v>
          </cell>
          <cell r="E510" t="str">
            <v>ZHHI</v>
          </cell>
          <cell r="F510" t="str">
            <v>B10</v>
          </cell>
          <cell r="G510" t="str">
            <v>BallastTank No 4, East, 52TC014</v>
          </cell>
          <cell r="I510">
            <v>41467</v>
          </cell>
        </row>
        <row r="511">
          <cell r="B511" t="str">
            <v>9401-C13</v>
          </cell>
          <cell r="C511" t="str">
            <v>OS</v>
          </cell>
          <cell r="D511" t="str">
            <v>OS</v>
          </cell>
          <cell r="E511" t="str">
            <v>ZHHI</v>
          </cell>
          <cell r="F511" t="str">
            <v>M20</v>
          </cell>
          <cell r="G511" t="str">
            <v>EFCS/Chain stopper, South</v>
          </cell>
          <cell r="I511">
            <v>41467</v>
          </cell>
        </row>
        <row r="512">
          <cell r="B512" t="str">
            <v>8642-C01</v>
          </cell>
          <cell r="C512" t="str">
            <v>OS</v>
          </cell>
          <cell r="D512" t="str">
            <v>OS</v>
          </cell>
          <cell r="E512" t="str">
            <v>ZHHI</v>
          </cell>
          <cell r="F512" t="str">
            <v>L10</v>
          </cell>
          <cell r="G512" t="str">
            <v>UHF Internal Radio and paging system</v>
          </cell>
          <cell r="I512">
            <v>41468</v>
          </cell>
        </row>
        <row r="513">
          <cell r="B513" t="str">
            <v>8642-C02</v>
          </cell>
          <cell r="C513" t="str">
            <v>OS</v>
          </cell>
          <cell r="D513" t="str">
            <v>OS</v>
          </cell>
          <cell r="E513" t="str">
            <v>ZHHI</v>
          </cell>
          <cell r="F513" t="str">
            <v>L10</v>
          </cell>
          <cell r="G513" t="str">
            <v>External Antennas (Antenna Tower)</v>
          </cell>
          <cell r="I513">
            <v>41468</v>
          </cell>
        </row>
        <row r="514">
          <cell r="B514" t="str">
            <v>6201-C01</v>
          </cell>
          <cell r="C514" t="str">
            <v>OS</v>
          </cell>
          <cell r="D514" t="str">
            <v>OS</v>
          </cell>
          <cell r="E514" t="str">
            <v>ZHHI</v>
          </cell>
          <cell r="F514" t="str">
            <v>N10</v>
          </cell>
          <cell r="G514" t="str">
            <v>Diesel bunker reels and storage tanks 62TB001/2, &amp; Diesel transfer Pumps 62PG001A/B</v>
          </cell>
          <cell r="I514">
            <v>41469</v>
          </cell>
        </row>
        <row r="515">
          <cell r="B515" t="str">
            <v>3901-C01</v>
          </cell>
          <cell r="C515" t="str">
            <v>OS</v>
          </cell>
          <cell r="D515" t="str">
            <v>OS</v>
          </cell>
          <cell r="E515" t="str">
            <v>ZHHI</v>
          </cell>
          <cell r="F515" t="str">
            <v>Q30</v>
          </cell>
          <cell r="G515" t="str">
            <v>Primary Bunkering Station 39XX001A</v>
          </cell>
          <cell r="I515">
            <v>41470</v>
          </cell>
        </row>
        <row r="516">
          <cell r="B516" t="str">
            <v>Comm. package</v>
          </cell>
          <cell r="C516" t="str">
            <v>Comm. st.</v>
          </cell>
          <cell r="D516" t="str">
            <v>MC st.</v>
          </cell>
          <cell r="E516" t="str">
            <v>Comm. resp.</v>
          </cell>
          <cell r="F516" t="str">
            <v>Comm. area</v>
          </cell>
          <cell r="G516" t="str">
            <v>Description</v>
          </cell>
          <cell r="H516" t="str">
            <v>Priority</v>
          </cell>
          <cell r="I516" t="str">
            <v>Planned startup</v>
          </cell>
        </row>
        <row r="517">
          <cell r="B517" t="str">
            <v>5201-C19</v>
          </cell>
          <cell r="C517" t="str">
            <v>OS</v>
          </cell>
          <cell r="D517" t="str">
            <v>OS</v>
          </cell>
          <cell r="E517" t="str">
            <v>ZHHI</v>
          </cell>
          <cell r="F517" t="str">
            <v>B10</v>
          </cell>
          <cell r="G517" t="str">
            <v>BallastTank No 5, East, 52TC015</v>
          </cell>
          <cell r="I517">
            <v>41470</v>
          </cell>
        </row>
        <row r="518">
          <cell r="B518" t="str">
            <v>7002-C51</v>
          </cell>
          <cell r="C518" t="str">
            <v>OS</v>
          </cell>
          <cell r="D518" t="str">
            <v>OS</v>
          </cell>
          <cell r="E518" t="str">
            <v>ZHHI</v>
          </cell>
          <cell r="F518" t="str">
            <v>Q33</v>
          </cell>
          <cell r="G518" t="str">
            <v>Fire zone Q33A Emergency Generator 84XX001</v>
          </cell>
          <cell r="I518">
            <v>41470</v>
          </cell>
        </row>
        <row r="519">
          <cell r="B519" t="str">
            <v>7002-C54</v>
          </cell>
          <cell r="C519" t="str">
            <v>OS</v>
          </cell>
          <cell r="D519" t="str">
            <v>OS</v>
          </cell>
          <cell r="E519" t="str">
            <v>ZHHI</v>
          </cell>
          <cell r="F519" t="str">
            <v>Q33</v>
          </cell>
          <cell r="G519" t="str">
            <v>Fire zone Q33D Fire Pump 71XX101, Generator</v>
          </cell>
          <cell r="I519">
            <v>41470</v>
          </cell>
        </row>
        <row r="520">
          <cell r="B520" t="str">
            <v>7003-C03</v>
          </cell>
          <cell r="C520" t="str">
            <v>OS</v>
          </cell>
          <cell r="D520" t="str">
            <v>OS</v>
          </cell>
          <cell r="E520" t="str">
            <v>ZHHI</v>
          </cell>
          <cell r="F520" t="str">
            <v>L11</v>
          </cell>
          <cell r="G520" t="str">
            <v>Fire zone L11C Dirty Staircase</v>
          </cell>
          <cell r="I520">
            <v>41470</v>
          </cell>
        </row>
        <row r="521">
          <cell r="B521" t="str">
            <v>7701-C40</v>
          </cell>
          <cell r="C521" t="str">
            <v>OS</v>
          </cell>
          <cell r="D521" t="str">
            <v>OS</v>
          </cell>
          <cell r="E521" t="str">
            <v>ZHHI</v>
          </cell>
          <cell r="F521" t="str">
            <v>L10</v>
          </cell>
          <cell r="G521" t="str">
            <v>LQ Galley Handling Area Extract System 77GK143</v>
          </cell>
          <cell r="I521">
            <v>41470</v>
          </cell>
        </row>
        <row r="522">
          <cell r="B522" t="str">
            <v>7002-C03</v>
          </cell>
          <cell r="C522" t="str">
            <v>OS</v>
          </cell>
          <cell r="D522" t="str">
            <v>OS</v>
          </cell>
          <cell r="E522" t="str">
            <v>ZHHI</v>
          </cell>
          <cell r="F522" t="str">
            <v>F10</v>
          </cell>
          <cell r="G522" t="str">
            <v>Fire zone F20A Flare tower stack area</v>
          </cell>
          <cell r="I522">
            <v>41471</v>
          </cell>
        </row>
        <row r="523">
          <cell r="B523" t="str">
            <v>7002-C04</v>
          </cell>
          <cell r="C523" t="str">
            <v>OS</v>
          </cell>
          <cell r="D523" t="str">
            <v>OS</v>
          </cell>
          <cell r="E523" t="str">
            <v>ZHHI</v>
          </cell>
          <cell r="F523" t="str">
            <v>M10</v>
          </cell>
          <cell r="G523" t="str">
            <v>Fire zone M10A Cargo Tank Top North West</v>
          </cell>
          <cell r="I523">
            <v>41471</v>
          </cell>
        </row>
        <row r="524">
          <cell r="B524" t="str">
            <v>7002-C52</v>
          </cell>
          <cell r="C524" t="str">
            <v>OS</v>
          </cell>
          <cell r="D524" t="str">
            <v>OS</v>
          </cell>
          <cell r="E524" t="str">
            <v>ZHHI</v>
          </cell>
          <cell r="F524" t="str">
            <v>Q33</v>
          </cell>
          <cell r="G524" t="str">
            <v>Fire zone Q33B Fire Pump Generator</v>
          </cell>
          <cell r="I524">
            <v>41471</v>
          </cell>
        </row>
        <row r="525">
          <cell r="B525" t="str">
            <v>7002-C53</v>
          </cell>
          <cell r="C525" t="str">
            <v>OS</v>
          </cell>
          <cell r="D525" t="str">
            <v>OS</v>
          </cell>
          <cell r="E525" t="str">
            <v>ZHHI</v>
          </cell>
          <cell r="F525" t="str">
            <v>Q33</v>
          </cell>
          <cell r="G525" t="str">
            <v>Fire zone Q33C ASDS Swrm and Transformers</v>
          </cell>
          <cell r="I525">
            <v>41471</v>
          </cell>
        </row>
        <row r="526">
          <cell r="B526" t="str">
            <v>7003-C04</v>
          </cell>
          <cell r="C526" t="str">
            <v>OS</v>
          </cell>
          <cell r="D526" t="str">
            <v>OS</v>
          </cell>
          <cell r="E526" t="str">
            <v>ZHHI</v>
          </cell>
          <cell r="F526" t="str">
            <v>L11</v>
          </cell>
          <cell r="G526" t="str">
            <v>Fire zone L11D Main Staircase</v>
          </cell>
          <cell r="I526">
            <v>41471</v>
          </cell>
        </row>
        <row r="527">
          <cell r="B527" t="str">
            <v>7003-C20</v>
          </cell>
          <cell r="C527" t="str">
            <v>OS</v>
          </cell>
          <cell r="D527" t="str">
            <v>OS</v>
          </cell>
          <cell r="E527" t="str">
            <v>ZHHI</v>
          </cell>
          <cell r="F527" t="str">
            <v>L17</v>
          </cell>
          <cell r="G527" t="str">
            <v>Fire zone L17C Battery Room</v>
          </cell>
          <cell r="I527">
            <v>41471</v>
          </cell>
        </row>
        <row r="528">
          <cell r="B528" t="str">
            <v>5201-C20</v>
          </cell>
          <cell r="C528" t="str">
            <v>OS</v>
          </cell>
          <cell r="D528" t="str">
            <v>OS</v>
          </cell>
          <cell r="E528" t="str">
            <v>ZHHI</v>
          </cell>
          <cell r="F528" t="str">
            <v>B20</v>
          </cell>
          <cell r="G528" t="str">
            <v>BallastTank No 6, East, 52TC016</v>
          </cell>
          <cell r="I528">
            <v>41472</v>
          </cell>
        </row>
        <row r="529">
          <cell r="B529" t="str">
            <v>7001-C02</v>
          </cell>
          <cell r="C529" t="str">
            <v>OS</v>
          </cell>
          <cell r="D529" t="str">
            <v>OS</v>
          </cell>
          <cell r="E529" t="str">
            <v>ZHHI</v>
          </cell>
          <cell r="F529" t="str">
            <v>G12</v>
          </cell>
          <cell r="G529" t="str">
            <v>Fire zone G12A Cargo Pump Room Center Shaft</v>
          </cell>
          <cell r="I529">
            <v>41472</v>
          </cell>
        </row>
        <row r="530">
          <cell r="B530" t="str">
            <v>7003-C21</v>
          </cell>
          <cell r="C530" t="str">
            <v>OS</v>
          </cell>
          <cell r="D530" t="str">
            <v>OS</v>
          </cell>
          <cell r="E530" t="str">
            <v>ZHHI</v>
          </cell>
          <cell r="F530" t="str">
            <v>L17</v>
          </cell>
          <cell r="G530" t="str">
            <v>Fire zone L17D Stores</v>
          </cell>
          <cell r="I530">
            <v>41472</v>
          </cell>
        </row>
        <row r="531">
          <cell r="B531" t="str">
            <v>9401-C14</v>
          </cell>
          <cell r="C531" t="str">
            <v>OS</v>
          </cell>
          <cell r="D531" t="str">
            <v>OS</v>
          </cell>
          <cell r="E531" t="str">
            <v>ZHHI</v>
          </cell>
          <cell r="F531" t="str">
            <v>M10</v>
          </cell>
          <cell r="G531" t="str">
            <v>EFCS/Chain stopper, West</v>
          </cell>
          <cell r="I531">
            <v>41472</v>
          </cell>
        </row>
        <row r="532">
          <cell r="B532" t="str">
            <v>8611-C07</v>
          </cell>
          <cell r="C532" t="str">
            <v>OS</v>
          </cell>
          <cell r="D532" t="str">
            <v>OS</v>
          </cell>
          <cell r="E532" t="str">
            <v>ZHHI</v>
          </cell>
          <cell r="F532" t="str">
            <v>P10</v>
          </cell>
          <cell r="G532" t="str">
            <v>PA/GA A system Topside</v>
          </cell>
          <cell r="I532">
            <v>41473</v>
          </cell>
        </row>
        <row r="533">
          <cell r="B533" t="str">
            <v>Comm. package</v>
          </cell>
          <cell r="C533" t="str">
            <v>Comm. st.</v>
          </cell>
          <cell r="D533" t="str">
            <v>MC st.</v>
          </cell>
          <cell r="E533" t="str">
            <v>Comm. resp.</v>
          </cell>
          <cell r="F533" t="str">
            <v>Comm. area</v>
          </cell>
          <cell r="G533" t="str">
            <v>Description</v>
          </cell>
          <cell r="H533" t="str">
            <v>Priority</v>
          </cell>
          <cell r="I533" t="str">
            <v>Planned startup</v>
          </cell>
        </row>
        <row r="534">
          <cell r="B534" t="str">
            <v>3901-C02</v>
          </cell>
          <cell r="C534" t="str">
            <v>OS</v>
          </cell>
          <cell r="D534" t="str">
            <v>OS</v>
          </cell>
          <cell r="E534" t="str">
            <v>ZHHI</v>
          </cell>
          <cell r="F534" t="str">
            <v>Q20</v>
          </cell>
          <cell r="G534" t="str">
            <v>Secondary Bunkering Station 39XX001B</v>
          </cell>
          <cell r="I534">
            <v>41474</v>
          </cell>
        </row>
        <row r="535">
          <cell r="B535" t="str">
            <v>7002-C76</v>
          </cell>
          <cell r="C535" t="str">
            <v>OS</v>
          </cell>
          <cell r="D535" t="str">
            <v>OS</v>
          </cell>
          <cell r="E535" t="str">
            <v>ZHHI</v>
          </cell>
          <cell r="F535" t="str">
            <v>Q32</v>
          </cell>
          <cell r="G535" t="str">
            <v>Fire zone Q32F UPS &amp; UPS battery Room</v>
          </cell>
          <cell r="I535">
            <v>41474</v>
          </cell>
        </row>
        <row r="536">
          <cell r="B536" t="str">
            <v>7003-C22</v>
          </cell>
          <cell r="C536" t="str">
            <v>OS</v>
          </cell>
          <cell r="D536" t="str">
            <v>OS</v>
          </cell>
          <cell r="E536" t="str">
            <v>ZHHI</v>
          </cell>
          <cell r="F536" t="str">
            <v>L18</v>
          </cell>
          <cell r="G536" t="str">
            <v>Fire zone L18A Helideck Control Cabin</v>
          </cell>
          <cell r="I536">
            <v>41474</v>
          </cell>
        </row>
        <row r="537">
          <cell r="B537" t="str">
            <v>9401-C10</v>
          </cell>
          <cell r="C537" t="str">
            <v>OS</v>
          </cell>
          <cell r="D537" t="str">
            <v>OS</v>
          </cell>
          <cell r="E537" t="str">
            <v>ZHHI</v>
          </cell>
          <cell r="F537" t="str">
            <v>M10</v>
          </cell>
          <cell r="G537" t="str">
            <v>Chain Tensioner Unit, West</v>
          </cell>
          <cell r="I537">
            <v>41474</v>
          </cell>
        </row>
        <row r="538">
          <cell r="B538" t="str">
            <v>7003-C05</v>
          </cell>
          <cell r="C538" t="str">
            <v>OS</v>
          </cell>
          <cell r="D538" t="str">
            <v>OS</v>
          </cell>
          <cell r="E538" t="str">
            <v>ZHHI</v>
          </cell>
          <cell r="F538" t="str">
            <v>L11</v>
          </cell>
          <cell r="G538" t="str">
            <v>Fire zone L11E West Staircase</v>
          </cell>
          <cell r="I538">
            <v>41475</v>
          </cell>
        </row>
        <row r="539">
          <cell r="B539" t="str">
            <v>8600-C01</v>
          </cell>
          <cell r="C539" t="str">
            <v>OS</v>
          </cell>
          <cell r="D539" t="str">
            <v>OS</v>
          </cell>
          <cell r="E539" t="str">
            <v>ZHHI</v>
          </cell>
          <cell r="F539" t="str">
            <v>L17</v>
          </cell>
          <cell r="G539" t="str">
            <v>General</v>
          </cell>
          <cell r="I539">
            <v>41475</v>
          </cell>
        </row>
        <row r="540">
          <cell r="B540" t="str">
            <v>8621-C03</v>
          </cell>
          <cell r="C540" t="str">
            <v>OS</v>
          </cell>
          <cell r="D540" t="str">
            <v>OS</v>
          </cell>
          <cell r="E540" t="str">
            <v>ZHHI</v>
          </cell>
          <cell r="F540" t="str">
            <v>P10</v>
          </cell>
          <cell r="G540" t="str">
            <v>PABX and telephone system Topside</v>
          </cell>
          <cell r="I540">
            <v>41475</v>
          </cell>
        </row>
        <row r="541">
          <cell r="B541" t="str">
            <v>8645-C01</v>
          </cell>
          <cell r="C541" t="str">
            <v>OS</v>
          </cell>
          <cell r="D541" t="str">
            <v>OS</v>
          </cell>
          <cell r="E541" t="str">
            <v>ZHHI</v>
          </cell>
          <cell r="F541" t="str">
            <v>L10</v>
          </cell>
          <cell r="G541" t="str">
            <v>Personnel Registration and Tracking system (RFID)</v>
          </cell>
          <cell r="I541">
            <v>41475</v>
          </cell>
        </row>
        <row r="542">
          <cell r="B542" t="str">
            <v>8651-C01</v>
          </cell>
          <cell r="C542" t="str">
            <v>OS</v>
          </cell>
          <cell r="D542" t="str">
            <v>OS</v>
          </cell>
          <cell r="E542" t="str">
            <v>ZHHI</v>
          </cell>
          <cell r="F542" t="str">
            <v>G21</v>
          </cell>
          <cell r="G542" t="str">
            <v>Closed Circuit Television system (CCTV) Hull</v>
          </cell>
          <cell r="I542">
            <v>41475</v>
          </cell>
        </row>
        <row r="543">
          <cell r="B543" t="str">
            <v>5201-C21</v>
          </cell>
          <cell r="C543" t="str">
            <v>OS</v>
          </cell>
          <cell r="D543" t="str">
            <v>OS</v>
          </cell>
          <cell r="E543" t="str">
            <v>ZHHI</v>
          </cell>
          <cell r="F543" t="str">
            <v>B20</v>
          </cell>
          <cell r="G543" t="str">
            <v>BallastTank No 7, East, 52TC017</v>
          </cell>
          <cell r="I543">
            <v>41476</v>
          </cell>
        </row>
        <row r="544">
          <cell r="B544" t="str">
            <v>7002-C55</v>
          </cell>
          <cell r="C544" t="str">
            <v>OS</v>
          </cell>
          <cell r="D544" t="str">
            <v>OS</v>
          </cell>
          <cell r="E544" t="str">
            <v>ZHHI</v>
          </cell>
          <cell r="F544" t="str">
            <v>Q33</v>
          </cell>
          <cell r="G544" t="str">
            <v>Fire zone Q33E Fire Pump 71XX201, Generator</v>
          </cell>
          <cell r="I544">
            <v>41476</v>
          </cell>
        </row>
        <row r="545">
          <cell r="B545" t="str">
            <v>7002-C60</v>
          </cell>
          <cell r="C545" t="str">
            <v>OS</v>
          </cell>
          <cell r="D545" t="str">
            <v>OS</v>
          </cell>
          <cell r="E545" t="str">
            <v>ZHHI</v>
          </cell>
          <cell r="F545" t="str">
            <v>Q35</v>
          </cell>
          <cell r="G545" t="str">
            <v>Fire zone Q35B East Crane 73MA001</v>
          </cell>
          <cell r="I545">
            <v>41476</v>
          </cell>
        </row>
        <row r="546">
          <cell r="B546" t="str">
            <v>5301-C01</v>
          </cell>
          <cell r="C546" t="str">
            <v>OS</v>
          </cell>
          <cell r="D546" t="str">
            <v>OS</v>
          </cell>
          <cell r="E546" t="str">
            <v>ZHHI</v>
          </cell>
          <cell r="F546" t="str">
            <v>N10</v>
          </cell>
          <cell r="G546" t="str">
            <v>Potable water tanks 53TC001A/B/C</v>
          </cell>
          <cell r="I546">
            <v>41477</v>
          </cell>
        </row>
        <row r="547">
          <cell r="B547" t="str">
            <v>7001-C20</v>
          </cell>
          <cell r="C547" t="str">
            <v>OS</v>
          </cell>
          <cell r="D547" t="str">
            <v>OS</v>
          </cell>
          <cell r="E547" t="str">
            <v>ZHHI</v>
          </cell>
          <cell r="F547" t="str">
            <v>G20</v>
          </cell>
          <cell r="G547" t="str">
            <v>F&amp;G Junction Boxes and Multicore cables Hull</v>
          </cell>
          <cell r="I547">
            <v>41477</v>
          </cell>
        </row>
        <row r="548">
          <cell r="B548" t="str">
            <v>7002-C56</v>
          </cell>
          <cell r="C548" t="str">
            <v>OS</v>
          </cell>
          <cell r="D548" t="str">
            <v>OS</v>
          </cell>
          <cell r="E548" t="str">
            <v>ZHHI</v>
          </cell>
          <cell r="F548" t="str">
            <v>Q33</v>
          </cell>
          <cell r="G548" t="str">
            <v>Fire zone Q33F Corridors &amp; Muster Area</v>
          </cell>
          <cell r="I548">
            <v>41477</v>
          </cell>
        </row>
        <row r="549">
          <cell r="B549" t="str">
            <v>7002-C57</v>
          </cell>
          <cell r="C549" t="str">
            <v>OS</v>
          </cell>
          <cell r="D549" t="str">
            <v>OS</v>
          </cell>
          <cell r="E549" t="str">
            <v>ZHHI</v>
          </cell>
          <cell r="F549" t="str">
            <v>Q34</v>
          </cell>
          <cell r="G549" t="str">
            <v>Fire zone Q34A Switchroom and Transformers</v>
          </cell>
          <cell r="I549">
            <v>41477</v>
          </cell>
        </row>
        <row r="550">
          <cell r="B550" t="str">
            <v>Comm. package</v>
          </cell>
          <cell r="C550" t="str">
            <v>Comm. st.</v>
          </cell>
          <cell r="D550" t="str">
            <v>MC st.</v>
          </cell>
          <cell r="E550" t="str">
            <v>Comm. resp.</v>
          </cell>
          <cell r="F550" t="str">
            <v>Comm. area</v>
          </cell>
          <cell r="G550" t="str">
            <v>Description</v>
          </cell>
          <cell r="H550" t="str">
            <v>Priority</v>
          </cell>
          <cell r="I550" t="str">
            <v>Planned startup</v>
          </cell>
        </row>
        <row r="551">
          <cell r="B551" t="str">
            <v>7002-C58</v>
          </cell>
          <cell r="C551" t="str">
            <v>OS</v>
          </cell>
          <cell r="D551" t="str">
            <v>OS</v>
          </cell>
          <cell r="E551" t="str">
            <v>ZHHI</v>
          </cell>
          <cell r="F551" t="str">
            <v>Q34</v>
          </cell>
          <cell r="G551" t="str">
            <v>Fire zone Q34B Corridors &amp; Spare Rooms</v>
          </cell>
          <cell r="I551">
            <v>41477</v>
          </cell>
        </row>
        <row r="552">
          <cell r="B552" t="str">
            <v>7002-C59</v>
          </cell>
          <cell r="C552" t="str">
            <v>OS</v>
          </cell>
          <cell r="D552" t="str">
            <v>OS</v>
          </cell>
          <cell r="E552" t="str">
            <v>ZHHI</v>
          </cell>
          <cell r="F552" t="str">
            <v>Q35</v>
          </cell>
          <cell r="G552" t="str">
            <v>Fire zone Q35A MOB Boat, Corridor &amp; Laydown Storage</v>
          </cell>
          <cell r="I552">
            <v>41477</v>
          </cell>
        </row>
        <row r="553">
          <cell r="B553" t="str">
            <v>7002-C77</v>
          </cell>
          <cell r="C553" t="str">
            <v>OS</v>
          </cell>
          <cell r="D553" t="str">
            <v>OS</v>
          </cell>
          <cell r="E553" t="str">
            <v>ZHHI</v>
          </cell>
          <cell r="F553" t="str">
            <v>Q34</v>
          </cell>
          <cell r="G553" t="str">
            <v>Fire zone Q34C LV Switchboard Room</v>
          </cell>
          <cell r="I553">
            <v>41477</v>
          </cell>
        </row>
        <row r="554">
          <cell r="B554" t="str">
            <v>7002-C78</v>
          </cell>
          <cell r="C554" t="str">
            <v>OS</v>
          </cell>
          <cell r="D554" t="str">
            <v>OS</v>
          </cell>
          <cell r="E554" t="str">
            <v>ZHHI</v>
          </cell>
          <cell r="F554" t="str">
            <v>Q30</v>
          </cell>
          <cell r="G554" t="str">
            <v>F&amp;G Junction Boxes and Multicore cables Topside</v>
          </cell>
          <cell r="I554">
            <v>41477</v>
          </cell>
        </row>
        <row r="555">
          <cell r="B555" t="str">
            <v>7003-C28</v>
          </cell>
          <cell r="C555" t="str">
            <v>OS</v>
          </cell>
          <cell r="D555" t="str">
            <v>OS</v>
          </cell>
          <cell r="E555" t="str">
            <v>ZHHI</v>
          </cell>
          <cell r="F555" t="str">
            <v>L17</v>
          </cell>
          <cell r="G555" t="str">
            <v>F&amp;G Junction Boxes and Multicore cables LQ</v>
          </cell>
          <cell r="I555">
            <v>41477</v>
          </cell>
        </row>
        <row r="556">
          <cell r="B556" t="str">
            <v>8624-C01</v>
          </cell>
          <cell r="C556" t="str">
            <v>OS</v>
          </cell>
          <cell r="D556" t="str">
            <v>OS</v>
          </cell>
          <cell r="E556" t="str">
            <v>ZHHI</v>
          </cell>
          <cell r="F556" t="str">
            <v>G20</v>
          </cell>
          <cell r="G556" t="str">
            <v>Office data and telephone cabling network Hull</v>
          </cell>
          <cell r="I556">
            <v>41477</v>
          </cell>
        </row>
        <row r="557">
          <cell r="B557" t="str">
            <v>5201-C22</v>
          </cell>
          <cell r="C557" t="str">
            <v>OS</v>
          </cell>
          <cell r="D557" t="str">
            <v>OS</v>
          </cell>
          <cell r="E557" t="str">
            <v>ZHHI</v>
          </cell>
          <cell r="F557" t="str">
            <v>B20</v>
          </cell>
          <cell r="G557" t="str">
            <v>BallastTank No 8, East, 52TC018</v>
          </cell>
          <cell r="I557">
            <v>41478</v>
          </cell>
        </row>
        <row r="558">
          <cell r="B558" t="str">
            <v>7002-C05</v>
          </cell>
          <cell r="C558" t="str">
            <v>OS</v>
          </cell>
          <cell r="D558" t="str">
            <v>OS</v>
          </cell>
          <cell r="E558" t="str">
            <v>ZHHI</v>
          </cell>
          <cell r="F558" t="str">
            <v>M10</v>
          </cell>
          <cell r="G558" t="str">
            <v>Fire zone M10B Cargo Tank Top North East</v>
          </cell>
          <cell r="I558">
            <v>41478</v>
          </cell>
        </row>
        <row r="559">
          <cell r="B559" t="str">
            <v>7002-C06</v>
          </cell>
          <cell r="C559" t="str">
            <v>OS</v>
          </cell>
          <cell r="D559" t="str">
            <v>OS</v>
          </cell>
          <cell r="E559" t="str">
            <v>ZHHI</v>
          </cell>
          <cell r="F559" t="str">
            <v>M20</v>
          </cell>
          <cell r="G559" t="str">
            <v>Fire zone M20A Cargo Tank Top South West</v>
          </cell>
          <cell r="I559">
            <v>41478</v>
          </cell>
        </row>
        <row r="560">
          <cell r="B560" t="str">
            <v>7003-C06</v>
          </cell>
          <cell r="C560" t="str">
            <v>OS</v>
          </cell>
          <cell r="D560" t="str">
            <v>OS</v>
          </cell>
          <cell r="E560" t="str">
            <v>ZHHI</v>
          </cell>
          <cell r="F560" t="str">
            <v>L11</v>
          </cell>
          <cell r="G560" t="str">
            <v>Fire zone L11F East Staircase</v>
          </cell>
          <cell r="I560">
            <v>41478</v>
          </cell>
        </row>
        <row r="561">
          <cell r="B561" t="str">
            <v>7003-C23</v>
          </cell>
          <cell r="C561" t="str">
            <v>OS</v>
          </cell>
          <cell r="D561" t="str">
            <v>OS</v>
          </cell>
          <cell r="E561" t="str">
            <v>ZHHI</v>
          </cell>
          <cell r="F561" t="str">
            <v>L18</v>
          </cell>
          <cell r="G561" t="str">
            <v>Fire zone L18B Lift Motor Room</v>
          </cell>
          <cell r="I561">
            <v>41478</v>
          </cell>
        </row>
        <row r="562">
          <cell r="B562" t="str">
            <v>7003-C24</v>
          </cell>
          <cell r="C562" t="str">
            <v>OS</v>
          </cell>
          <cell r="D562" t="str">
            <v>OS</v>
          </cell>
          <cell r="E562" t="str">
            <v>ZHHI</v>
          </cell>
          <cell r="F562" t="str">
            <v>L18</v>
          </cell>
          <cell r="G562" t="str">
            <v>Fire zone L18C Accommodation Roof Area</v>
          </cell>
          <cell r="I562">
            <v>41478</v>
          </cell>
        </row>
        <row r="563">
          <cell r="B563" t="str">
            <v>9801-C01</v>
          </cell>
          <cell r="C563" t="str">
            <v>OS</v>
          </cell>
          <cell r="D563" t="str">
            <v>OS</v>
          </cell>
          <cell r="E563" t="str">
            <v>ZHHI</v>
          </cell>
          <cell r="F563" t="str">
            <v>B10</v>
          </cell>
          <cell r="G563" t="str">
            <v>Cathodic protection of Ballast tanks</v>
          </cell>
          <cell r="I563">
            <v>41479</v>
          </cell>
        </row>
        <row r="564">
          <cell r="B564" t="str">
            <v>2001-C03</v>
          </cell>
          <cell r="C564" t="str">
            <v>OS</v>
          </cell>
          <cell r="D564" t="str">
            <v>OS</v>
          </cell>
          <cell r="E564" t="str">
            <v>ZHHI</v>
          </cell>
          <cell r="F564" t="str">
            <v>P20</v>
          </cell>
          <cell r="G564" t="str">
            <v>Inter Stage Heater, 20HA002</v>
          </cell>
          <cell r="I564">
            <v>41480</v>
          </cell>
        </row>
        <row r="565">
          <cell r="B565" t="str">
            <v>2001-C07</v>
          </cell>
          <cell r="C565" t="str">
            <v>OS</v>
          </cell>
          <cell r="D565" t="str">
            <v>OS</v>
          </cell>
          <cell r="E565" t="str">
            <v>ZHHI</v>
          </cell>
          <cell r="F565" t="str">
            <v>P20</v>
          </cell>
          <cell r="G565" t="str">
            <v>Gas Meetering 20JX001, Oil Metering 20JX002 and Water Metering 20JX003 from Test Separator</v>
          </cell>
          <cell r="I565">
            <v>41480</v>
          </cell>
        </row>
        <row r="566">
          <cell r="B566" t="str">
            <v>5601-C11</v>
          </cell>
          <cell r="C566" t="str">
            <v>OS</v>
          </cell>
          <cell r="D566" t="str">
            <v>OS</v>
          </cell>
          <cell r="E566" t="str">
            <v>ZHHI</v>
          </cell>
          <cell r="F566" t="str">
            <v>B20</v>
          </cell>
          <cell r="G566" t="str">
            <v>Chain Locker Drain</v>
          </cell>
          <cell r="I566">
            <v>41480</v>
          </cell>
        </row>
        <row r="567">
          <cell r="B567" t="str">
            <v>Comm. package</v>
          </cell>
          <cell r="C567" t="str">
            <v>Comm. st.</v>
          </cell>
          <cell r="D567" t="str">
            <v>MC st.</v>
          </cell>
          <cell r="E567" t="str">
            <v>Comm. resp.</v>
          </cell>
          <cell r="F567" t="str">
            <v>Comm. area</v>
          </cell>
          <cell r="G567" t="str">
            <v>Description</v>
          </cell>
          <cell r="H567" t="str">
            <v>Priority</v>
          </cell>
          <cell r="I567" t="str">
            <v>Planned startup</v>
          </cell>
        </row>
        <row r="568">
          <cell r="B568" t="str">
            <v>7001-C10</v>
          </cell>
          <cell r="C568" t="str">
            <v>OS</v>
          </cell>
          <cell r="D568" t="str">
            <v>OS</v>
          </cell>
          <cell r="E568" t="str">
            <v>ZHHI</v>
          </cell>
          <cell r="F568" t="str">
            <v>N11</v>
          </cell>
          <cell r="G568" t="str">
            <v>Fire zone N11A Fuel Handling Room North shaft</v>
          </cell>
          <cell r="I568">
            <v>41480</v>
          </cell>
        </row>
        <row r="569">
          <cell r="B569" t="str">
            <v>7001-C18</v>
          </cell>
          <cell r="C569" t="str">
            <v>OS</v>
          </cell>
          <cell r="D569" t="str">
            <v>OS</v>
          </cell>
          <cell r="E569" t="str">
            <v>ZHHI</v>
          </cell>
          <cell r="F569" t="str">
            <v>G21</v>
          </cell>
          <cell r="G569" t="str">
            <v>Fire zone G21A Nitrogen Generation Package Center Shaft</v>
          </cell>
          <cell r="I569">
            <v>41480</v>
          </cell>
        </row>
        <row r="570">
          <cell r="B570" t="str">
            <v>7002-C61</v>
          </cell>
          <cell r="C570" t="str">
            <v>OS</v>
          </cell>
          <cell r="D570" t="str">
            <v>OS</v>
          </cell>
          <cell r="E570" t="str">
            <v>ZHHI</v>
          </cell>
          <cell r="F570" t="str">
            <v>R10</v>
          </cell>
          <cell r="G570" t="str">
            <v>Fire zone R10A Riser Area</v>
          </cell>
          <cell r="I570">
            <v>41480</v>
          </cell>
        </row>
        <row r="571">
          <cell r="B571" t="str">
            <v>7002-C62</v>
          </cell>
          <cell r="C571" t="str">
            <v>OS</v>
          </cell>
          <cell r="D571" t="str">
            <v>OS</v>
          </cell>
          <cell r="E571" t="str">
            <v>ZHHI</v>
          </cell>
          <cell r="F571" t="str">
            <v>P50</v>
          </cell>
          <cell r="G571" t="str">
            <v>Fire zone P83C Chemical injection package A</v>
          </cell>
          <cell r="I571">
            <v>41480</v>
          </cell>
        </row>
        <row r="572">
          <cell r="B572" t="str">
            <v>7003-C25</v>
          </cell>
          <cell r="C572" t="str">
            <v>OS</v>
          </cell>
          <cell r="D572" t="str">
            <v>OS</v>
          </cell>
          <cell r="E572" t="str">
            <v>ZHHI</v>
          </cell>
          <cell r="F572" t="str">
            <v>H10</v>
          </cell>
          <cell r="G572" t="str">
            <v>Fire zone H10A Helideck</v>
          </cell>
          <cell r="I572">
            <v>41480</v>
          </cell>
        </row>
        <row r="573">
          <cell r="B573" t="str">
            <v>9901-C10</v>
          </cell>
          <cell r="C573" t="str">
            <v>OS</v>
          </cell>
          <cell r="D573" t="str">
            <v>OS</v>
          </cell>
          <cell r="E573" t="str">
            <v>ZHHI</v>
          </cell>
          <cell r="F573" t="str">
            <v>P10</v>
          </cell>
          <cell r="G573" t="str">
            <v>R10 Riser Area</v>
          </cell>
          <cell r="I573">
            <v>41480</v>
          </cell>
        </row>
        <row r="574">
          <cell r="B574" t="str">
            <v>5201-C23</v>
          </cell>
          <cell r="C574" t="str">
            <v>OS</v>
          </cell>
          <cell r="D574" t="str">
            <v>OS</v>
          </cell>
          <cell r="E574" t="str">
            <v>ZHHI</v>
          </cell>
          <cell r="F574" t="str">
            <v>B20</v>
          </cell>
          <cell r="G574" t="str">
            <v>BallastTank No 9, East, 52TC019</v>
          </cell>
          <cell r="I574">
            <v>41481</v>
          </cell>
        </row>
        <row r="575">
          <cell r="B575" t="str">
            <v>7001-C19</v>
          </cell>
          <cell r="C575" t="str">
            <v>OS</v>
          </cell>
          <cell r="D575" t="str">
            <v>OS</v>
          </cell>
          <cell r="E575" t="str">
            <v>ZHHI</v>
          </cell>
          <cell r="F575" t="str">
            <v>N10</v>
          </cell>
          <cell r="G575" t="str">
            <v>Fire zone N10A Hull North shaft</v>
          </cell>
          <cell r="I575">
            <v>41481</v>
          </cell>
        </row>
        <row r="576">
          <cell r="B576" t="str">
            <v>7002-C44</v>
          </cell>
          <cell r="C576" t="str">
            <v>OS</v>
          </cell>
          <cell r="D576" t="str">
            <v>OS</v>
          </cell>
          <cell r="E576" t="str">
            <v>ZHHI</v>
          </cell>
          <cell r="F576" t="str">
            <v>Q31</v>
          </cell>
          <cell r="G576" t="str">
            <v>Fire zone Q31H Em. Switchroom &amp; Transformers</v>
          </cell>
          <cell r="I576">
            <v>41482</v>
          </cell>
        </row>
        <row r="577">
          <cell r="B577" t="str">
            <v>7002-C63</v>
          </cell>
          <cell r="C577" t="str">
            <v>OS</v>
          </cell>
          <cell r="D577" t="str">
            <v>OS</v>
          </cell>
          <cell r="E577" t="str">
            <v>ZHHI</v>
          </cell>
          <cell r="F577" t="str">
            <v>Q21</v>
          </cell>
          <cell r="G577" t="str">
            <v>Fire zone Q21F Main Transformer Room</v>
          </cell>
          <cell r="I577">
            <v>41482</v>
          </cell>
        </row>
        <row r="578">
          <cell r="B578" t="str">
            <v>7002-C64</v>
          </cell>
          <cell r="C578" t="str">
            <v>OS</v>
          </cell>
          <cell r="D578" t="str">
            <v>OS</v>
          </cell>
          <cell r="E578" t="str">
            <v>ZHHI</v>
          </cell>
          <cell r="F578" t="str">
            <v>Q24</v>
          </cell>
          <cell r="G578" t="str">
            <v>Fire zone Q24C Turbine generator Control Room</v>
          </cell>
          <cell r="I578">
            <v>41482</v>
          </cell>
        </row>
        <row r="579">
          <cell r="B579" t="str">
            <v>7003-C26</v>
          </cell>
          <cell r="C579" t="str">
            <v>OS</v>
          </cell>
          <cell r="D579" t="str">
            <v>OS</v>
          </cell>
          <cell r="E579" t="str">
            <v>ZHHI</v>
          </cell>
          <cell r="F579" t="str">
            <v>L17</v>
          </cell>
          <cell r="G579" t="str">
            <v>Fire zone L17E Equipment Room</v>
          </cell>
          <cell r="I579">
            <v>41482</v>
          </cell>
        </row>
        <row r="580">
          <cell r="B580" t="str">
            <v>5201-C24</v>
          </cell>
          <cell r="C580" t="str">
            <v>OS</v>
          </cell>
          <cell r="D580" t="str">
            <v>OS</v>
          </cell>
          <cell r="E580" t="str">
            <v>ZHHI</v>
          </cell>
          <cell r="F580" t="str">
            <v>B20</v>
          </cell>
          <cell r="G580" t="str">
            <v>BallastTank No 10, East, 52TC020</v>
          </cell>
          <cell r="I580">
            <v>41484</v>
          </cell>
        </row>
        <row r="581">
          <cell r="B581" t="str">
            <v>7002-C07</v>
          </cell>
          <cell r="C581" t="str">
            <v>OS</v>
          </cell>
          <cell r="D581" t="str">
            <v>OS</v>
          </cell>
          <cell r="E581" t="str">
            <v>ZHHI</v>
          </cell>
          <cell r="F581" t="str">
            <v>M20</v>
          </cell>
          <cell r="G581" t="str">
            <v>Fire zone M20B Cargo Tank Top South East</v>
          </cell>
          <cell r="I581">
            <v>41484</v>
          </cell>
        </row>
        <row r="582">
          <cell r="B582" t="str">
            <v>7002-C08</v>
          </cell>
          <cell r="C582" t="str">
            <v>OS</v>
          </cell>
          <cell r="D582" t="str">
            <v>OS</v>
          </cell>
          <cell r="E582" t="str">
            <v>ZHHI</v>
          </cell>
          <cell r="F582" t="str">
            <v>M20</v>
          </cell>
          <cell r="G582" t="str">
            <v>Fire zone M20C DEH Container 16FE001</v>
          </cell>
          <cell r="I582">
            <v>41484</v>
          </cell>
        </row>
        <row r="583">
          <cell r="B583" t="str">
            <v>7002-C65</v>
          </cell>
          <cell r="C583" t="str">
            <v>OS</v>
          </cell>
          <cell r="D583" t="str">
            <v>OS</v>
          </cell>
          <cell r="E583" t="str">
            <v>ZHHI</v>
          </cell>
          <cell r="F583" t="str">
            <v>Q35</v>
          </cell>
          <cell r="G583" t="str">
            <v>Fire zone Q35C Fire WaterPump 71XX401, generator</v>
          </cell>
          <cell r="I583">
            <v>41484</v>
          </cell>
        </row>
        <row r="584">
          <cell r="B584" t="str">
            <v>Comm. package</v>
          </cell>
          <cell r="C584" t="str">
            <v>Comm. st.</v>
          </cell>
          <cell r="D584" t="str">
            <v>MC st.</v>
          </cell>
          <cell r="E584" t="str">
            <v>Comm. resp.</v>
          </cell>
          <cell r="F584" t="str">
            <v>Comm. area</v>
          </cell>
          <cell r="G584" t="str">
            <v>Description</v>
          </cell>
          <cell r="H584" t="str">
            <v>Priority</v>
          </cell>
          <cell r="I584" t="str">
            <v>Planned startup</v>
          </cell>
        </row>
        <row r="585">
          <cell r="B585" t="str">
            <v>7003-C07</v>
          </cell>
          <cell r="C585" t="str">
            <v>OS</v>
          </cell>
          <cell r="D585" t="str">
            <v>OS</v>
          </cell>
          <cell r="E585" t="str">
            <v>ZHHI</v>
          </cell>
          <cell r="F585" t="str">
            <v>L12</v>
          </cell>
          <cell r="G585" t="str">
            <v>Fire zone L12A Main Control Center</v>
          </cell>
          <cell r="I585">
            <v>41484</v>
          </cell>
        </row>
        <row r="586">
          <cell r="B586" t="str">
            <v>7001-C17</v>
          </cell>
          <cell r="C586" t="str">
            <v>OS</v>
          </cell>
          <cell r="D586" t="str">
            <v>OS</v>
          </cell>
          <cell r="E586" t="str">
            <v>ZHHI</v>
          </cell>
          <cell r="F586" t="str">
            <v>G20</v>
          </cell>
          <cell r="G586" t="str">
            <v>Fire zone G20A Center Shaft Inner</v>
          </cell>
          <cell r="I586">
            <v>41485</v>
          </cell>
        </row>
        <row r="587">
          <cell r="B587" t="str">
            <v>7002-C33</v>
          </cell>
          <cell r="C587" t="str">
            <v>OS</v>
          </cell>
          <cell r="D587" t="str">
            <v>OS</v>
          </cell>
          <cell r="E587" t="str">
            <v>ZHHI</v>
          </cell>
          <cell r="F587" t="str">
            <v>Q24</v>
          </cell>
          <cell r="G587" t="str">
            <v>Fire zone Q24A Switchroom and Transformers</v>
          </cell>
          <cell r="I587">
            <v>41485</v>
          </cell>
        </row>
        <row r="588">
          <cell r="B588" t="str">
            <v>7002-C34</v>
          </cell>
          <cell r="C588" t="str">
            <v>OS</v>
          </cell>
          <cell r="D588" t="str">
            <v>OS</v>
          </cell>
          <cell r="E588" t="str">
            <v>ZHHI</v>
          </cell>
          <cell r="F588" t="str">
            <v>Q24</v>
          </cell>
          <cell r="G588" t="str">
            <v>Fire zone Q24B Corridors and Muster Area</v>
          </cell>
          <cell r="I588">
            <v>41485</v>
          </cell>
        </row>
        <row r="589">
          <cell r="B589" t="str">
            <v>7002-C66</v>
          </cell>
          <cell r="C589" t="str">
            <v>OS</v>
          </cell>
          <cell r="D589" t="str">
            <v>OS</v>
          </cell>
          <cell r="E589" t="str">
            <v>ZHHI</v>
          </cell>
          <cell r="F589" t="str">
            <v>Q35</v>
          </cell>
          <cell r="G589" t="str">
            <v>Fire zone Q21G HV ASDS Transformer room</v>
          </cell>
          <cell r="I589">
            <v>41485</v>
          </cell>
        </row>
        <row r="590">
          <cell r="B590" t="str">
            <v>7003-C27</v>
          </cell>
          <cell r="C590" t="str">
            <v>OS</v>
          </cell>
          <cell r="D590" t="str">
            <v>OS</v>
          </cell>
          <cell r="E590" t="str">
            <v>ZHHI</v>
          </cell>
          <cell r="F590" t="str">
            <v>L17</v>
          </cell>
          <cell r="G590" t="str">
            <v>Fire zone L17F Telecom Test Room</v>
          </cell>
          <cell r="I590">
            <v>41485</v>
          </cell>
        </row>
        <row r="591">
          <cell r="B591" t="str">
            <v>8636-C01</v>
          </cell>
          <cell r="C591" t="str">
            <v>OS</v>
          </cell>
          <cell r="D591" t="str">
            <v>OS</v>
          </cell>
          <cell r="E591" t="str">
            <v>ZHHI</v>
          </cell>
          <cell r="F591" t="str">
            <v>L10</v>
          </cell>
          <cell r="G591" t="str">
            <v>Point to Multipoint system</v>
          </cell>
          <cell r="I591">
            <v>41485</v>
          </cell>
        </row>
        <row r="592">
          <cell r="B592" t="str">
            <v>5301-C02</v>
          </cell>
          <cell r="C592" t="str">
            <v>OS</v>
          </cell>
          <cell r="D592" t="str">
            <v>OS</v>
          </cell>
          <cell r="E592" t="str">
            <v>ZHHI</v>
          </cell>
          <cell r="F592" t="str">
            <v>N10</v>
          </cell>
          <cell r="G592" t="str">
            <v>Potable water pumps 53PA001A/B and circulation pump 53PA007 + UV sterilization units</v>
          </cell>
          <cell r="I592">
            <v>41486</v>
          </cell>
        </row>
        <row r="593">
          <cell r="B593" t="str">
            <v>7002-C36</v>
          </cell>
          <cell r="C593" t="str">
            <v>OS</v>
          </cell>
          <cell r="D593" t="str">
            <v>OS</v>
          </cell>
          <cell r="E593" t="str">
            <v>ZHHI</v>
          </cell>
          <cell r="F593" t="str">
            <v>Q25</v>
          </cell>
          <cell r="G593" t="str">
            <v>Fire zone Q25B West Crane 73MA002</v>
          </cell>
          <cell r="I593">
            <v>41486</v>
          </cell>
        </row>
        <row r="594">
          <cell r="B594" t="str">
            <v>7002-C45</v>
          </cell>
          <cell r="C594" t="str">
            <v>OS</v>
          </cell>
          <cell r="D594" t="str">
            <v>OS</v>
          </cell>
          <cell r="E594" t="str">
            <v>ZHHI</v>
          </cell>
          <cell r="F594" t="str">
            <v>Q31</v>
          </cell>
          <cell r="G594" t="str">
            <v>Fire zone Q31X Internal Staircase</v>
          </cell>
          <cell r="I594">
            <v>41486</v>
          </cell>
        </row>
        <row r="595">
          <cell r="B595" t="str">
            <v>7002-C46</v>
          </cell>
          <cell r="C595" t="str">
            <v>OS</v>
          </cell>
          <cell r="D595" t="str">
            <v>OS</v>
          </cell>
          <cell r="E595" t="str">
            <v>ZHHI</v>
          </cell>
          <cell r="F595" t="str">
            <v>Q32</v>
          </cell>
          <cell r="G595" t="str">
            <v>Fire zone Q32A Air Intake Utilities and Central Shaft</v>
          </cell>
          <cell r="I595">
            <v>41486</v>
          </cell>
        </row>
        <row r="596">
          <cell r="B596" t="str">
            <v>7002-C09</v>
          </cell>
          <cell r="C596" t="str">
            <v>OS</v>
          </cell>
          <cell r="D596" t="str">
            <v>OS</v>
          </cell>
          <cell r="E596" t="str">
            <v>ZHHI</v>
          </cell>
          <cell r="F596" t="str">
            <v>M20</v>
          </cell>
          <cell r="G596" t="str">
            <v>Fire zone M20D DEH Container 16FE002</v>
          </cell>
          <cell r="I596">
            <v>41487</v>
          </cell>
        </row>
        <row r="597">
          <cell r="B597" t="str">
            <v>7002-C10</v>
          </cell>
          <cell r="C597" t="str">
            <v>OS</v>
          </cell>
          <cell r="D597" t="str">
            <v>OS</v>
          </cell>
          <cell r="E597" t="str">
            <v>ZHHI</v>
          </cell>
          <cell r="F597" t="str">
            <v>M30</v>
          </cell>
          <cell r="G597" t="str">
            <v>Fire zone M30A Elect Cable Riser and HV Swrm</v>
          </cell>
          <cell r="I597">
            <v>41487</v>
          </cell>
        </row>
        <row r="598">
          <cell r="B598" t="str">
            <v>7002-C35</v>
          </cell>
          <cell r="C598" t="str">
            <v>OS</v>
          </cell>
          <cell r="D598" t="str">
            <v>OS</v>
          </cell>
          <cell r="E598" t="str">
            <v>ZHHI</v>
          </cell>
          <cell r="F598" t="str">
            <v>Q25</v>
          </cell>
          <cell r="G598" t="str">
            <v>Fire zone Q25A Weather Deck West</v>
          </cell>
          <cell r="I598">
            <v>41487</v>
          </cell>
        </row>
        <row r="599">
          <cell r="B599" t="str">
            <v>9901-C03</v>
          </cell>
          <cell r="C599" t="str">
            <v>OS</v>
          </cell>
          <cell r="D599" t="str">
            <v>OS</v>
          </cell>
          <cell r="E599" t="str">
            <v>ZHHI</v>
          </cell>
          <cell r="F599" t="str">
            <v>B10</v>
          </cell>
          <cell r="G599" t="str">
            <v>B10 &amp; B20 Ballast Tanks North &amp; South</v>
          </cell>
          <cell r="I599">
            <v>41487</v>
          </cell>
        </row>
        <row r="600">
          <cell r="B600" t="str">
            <v>7002-C67</v>
          </cell>
          <cell r="C600" t="str">
            <v>OS</v>
          </cell>
          <cell r="D600" t="str">
            <v>OS</v>
          </cell>
          <cell r="E600" t="str">
            <v>ZHHI</v>
          </cell>
          <cell r="F600" t="str">
            <v>P50</v>
          </cell>
          <cell r="G600" t="str">
            <v>Fire zone P83D Chemical injection package B</v>
          </cell>
          <cell r="I600">
            <v>41488</v>
          </cell>
        </row>
        <row r="601">
          <cell r="B601" t="str">
            <v>Comm. package</v>
          </cell>
          <cell r="C601" t="str">
            <v>Comm. st.</v>
          </cell>
          <cell r="D601" t="str">
            <v>MC st.</v>
          </cell>
          <cell r="E601" t="str">
            <v>Comm. resp.</v>
          </cell>
          <cell r="F601" t="str">
            <v>Comm. area</v>
          </cell>
          <cell r="G601" t="str">
            <v>Description</v>
          </cell>
          <cell r="H601" t="str">
            <v>Priority</v>
          </cell>
          <cell r="I601" t="str">
            <v>Planned startup</v>
          </cell>
        </row>
        <row r="602">
          <cell r="B602" t="str">
            <v>7002-C68</v>
          </cell>
          <cell r="C602" t="str">
            <v>OS</v>
          </cell>
          <cell r="D602" t="str">
            <v>OS</v>
          </cell>
          <cell r="E602" t="str">
            <v>ZHHI</v>
          </cell>
          <cell r="F602" t="str">
            <v>P60</v>
          </cell>
          <cell r="G602" t="str">
            <v>Fire zone Q21H Heat trace Transformer room</v>
          </cell>
          <cell r="I602">
            <v>41488</v>
          </cell>
        </row>
        <row r="603">
          <cell r="B603" t="str">
            <v>7003-C08</v>
          </cell>
          <cell r="C603" t="str">
            <v>OS</v>
          </cell>
          <cell r="D603" t="str">
            <v>OS</v>
          </cell>
          <cell r="E603" t="str">
            <v>ZHHI</v>
          </cell>
          <cell r="F603" t="str">
            <v>L12</v>
          </cell>
          <cell r="G603" t="str">
            <v>Fire zone L12B Offices and Lockers</v>
          </cell>
          <cell r="I603">
            <v>41488</v>
          </cell>
        </row>
        <row r="604">
          <cell r="B604" t="str">
            <v>8639-C01</v>
          </cell>
          <cell r="C604" t="str">
            <v>OS</v>
          </cell>
          <cell r="D604" t="str">
            <v>OS</v>
          </cell>
          <cell r="E604" t="str">
            <v>ZHHI</v>
          </cell>
          <cell r="F604" t="str">
            <v>L10</v>
          </cell>
          <cell r="G604" t="str">
            <v>Fibre Optic cable links</v>
          </cell>
          <cell r="I604">
            <v>41488</v>
          </cell>
        </row>
        <row r="605">
          <cell r="B605" t="str">
            <v>8651-C02</v>
          </cell>
          <cell r="C605" t="str">
            <v>OS</v>
          </cell>
          <cell r="D605" t="str">
            <v>OS</v>
          </cell>
          <cell r="E605" t="str">
            <v>ZHHI</v>
          </cell>
          <cell r="F605" t="str">
            <v>L10</v>
          </cell>
          <cell r="G605" t="str">
            <v>Closed circuit television system (CCTV) LQ</v>
          </cell>
          <cell r="I605">
            <v>41488</v>
          </cell>
        </row>
        <row r="606">
          <cell r="B606" t="str">
            <v>2001-C04</v>
          </cell>
          <cell r="C606" t="str">
            <v>OS</v>
          </cell>
          <cell r="D606" t="str">
            <v>OS</v>
          </cell>
          <cell r="E606" t="str">
            <v>ZHHI</v>
          </cell>
          <cell r="F606" t="str">
            <v>P20</v>
          </cell>
          <cell r="G606" t="str">
            <v>LP Separator, 20VA002</v>
          </cell>
          <cell r="I606">
            <v>41489</v>
          </cell>
        </row>
        <row r="607">
          <cell r="B607" t="str">
            <v>7002-C37</v>
          </cell>
          <cell r="C607" t="str">
            <v>OS</v>
          </cell>
          <cell r="D607" t="str">
            <v>OS</v>
          </cell>
          <cell r="E607" t="str">
            <v>ZHHI</v>
          </cell>
          <cell r="F607" t="str">
            <v>Q31</v>
          </cell>
          <cell r="G607" t="str">
            <v>Fire zone Q31A Primary Laydown Area</v>
          </cell>
          <cell r="I607">
            <v>41489</v>
          </cell>
        </row>
        <row r="608">
          <cell r="B608" t="str">
            <v>7002-C38</v>
          </cell>
          <cell r="C608" t="str">
            <v>OS</v>
          </cell>
          <cell r="D608" t="str">
            <v>OS</v>
          </cell>
          <cell r="E608" t="str">
            <v>ZHHI</v>
          </cell>
          <cell r="F608" t="str">
            <v>Q31</v>
          </cell>
          <cell r="G608" t="str">
            <v>Fire zone Q31B Workshops</v>
          </cell>
          <cell r="I608">
            <v>41489</v>
          </cell>
        </row>
        <row r="609">
          <cell r="B609" t="str">
            <v>7002-C11</v>
          </cell>
          <cell r="C609" t="str">
            <v>OS</v>
          </cell>
          <cell r="D609" t="str">
            <v>OS</v>
          </cell>
          <cell r="E609" t="str">
            <v>ZHHI</v>
          </cell>
          <cell r="F609" t="str">
            <v>M32</v>
          </cell>
          <cell r="G609" t="str">
            <v>Fire zone M32A Riser Hang Cable Hang-Off &amp; GIS Room North Shaft</v>
          </cell>
          <cell r="I609">
            <v>41491</v>
          </cell>
        </row>
        <row r="610">
          <cell r="B610" t="str">
            <v>7002-C12</v>
          </cell>
          <cell r="C610" t="str">
            <v>OS</v>
          </cell>
          <cell r="D610" t="str">
            <v>OS</v>
          </cell>
          <cell r="E610" t="str">
            <v>ZHHI</v>
          </cell>
          <cell r="F610" t="str">
            <v>P10</v>
          </cell>
          <cell r="G610" t="str">
            <v>Fire zone P81A Process Level 1 West</v>
          </cell>
          <cell r="I610">
            <v>41491</v>
          </cell>
        </row>
        <row r="611">
          <cell r="B611" t="str">
            <v>7002-C13</v>
          </cell>
          <cell r="C611" t="str">
            <v>OS</v>
          </cell>
          <cell r="D611" t="str">
            <v>OS</v>
          </cell>
          <cell r="E611" t="str">
            <v>ZHHI</v>
          </cell>
          <cell r="F611" t="str">
            <v>P10</v>
          </cell>
          <cell r="G611" t="str">
            <v>Fire zone P81B Process Level 1 East</v>
          </cell>
          <cell r="I611">
            <v>41491</v>
          </cell>
        </row>
        <row r="612">
          <cell r="B612" t="str">
            <v>7002-C14</v>
          </cell>
          <cell r="C612" t="str">
            <v>OS</v>
          </cell>
          <cell r="D612" t="str">
            <v>OS</v>
          </cell>
          <cell r="E612" t="str">
            <v>ZHHI</v>
          </cell>
          <cell r="F612" t="str">
            <v>P10</v>
          </cell>
          <cell r="G612" t="str">
            <v>Fire zone P81C Process Lift Shaft</v>
          </cell>
          <cell r="I612">
            <v>41491</v>
          </cell>
        </row>
        <row r="613">
          <cell r="B613" t="str">
            <v>7002-C69</v>
          </cell>
          <cell r="C613" t="str">
            <v>OS</v>
          </cell>
          <cell r="D613" t="str">
            <v>OS</v>
          </cell>
          <cell r="E613" t="str">
            <v>ZHHI</v>
          </cell>
          <cell r="F613" t="str">
            <v>P60</v>
          </cell>
          <cell r="G613" t="str">
            <v>Fire zone Q21W Lift for goods</v>
          </cell>
          <cell r="I613">
            <v>41491</v>
          </cell>
        </row>
        <row r="614">
          <cell r="B614" t="str">
            <v>7002-C70</v>
          </cell>
          <cell r="C614" t="str">
            <v>OS</v>
          </cell>
          <cell r="D614" t="str">
            <v>OS</v>
          </cell>
          <cell r="E614" t="str">
            <v>ZHHI</v>
          </cell>
          <cell r="F614" t="str">
            <v>P60</v>
          </cell>
          <cell r="G614" t="str">
            <v>Fire zone Q32G Telecom UPS B Battery room</v>
          </cell>
          <cell r="I614">
            <v>41491</v>
          </cell>
        </row>
        <row r="615">
          <cell r="B615" t="str">
            <v>7601-C04</v>
          </cell>
          <cell r="C615" t="str">
            <v>OS</v>
          </cell>
          <cell r="D615" t="str">
            <v>OS</v>
          </cell>
          <cell r="E615" t="str">
            <v>ZHHI</v>
          </cell>
          <cell r="F615" t="str">
            <v>L10</v>
          </cell>
          <cell r="G615" t="str">
            <v>Escape Chute incl. Liferafts and Equipment</v>
          </cell>
          <cell r="I615">
            <v>41491</v>
          </cell>
        </row>
        <row r="616">
          <cell r="B616" t="str">
            <v>8624-C02</v>
          </cell>
          <cell r="C616" t="str">
            <v>OS</v>
          </cell>
          <cell r="D616" t="str">
            <v>OS</v>
          </cell>
          <cell r="E616" t="str">
            <v>ZHHI</v>
          </cell>
          <cell r="F616" t="str">
            <v>L10</v>
          </cell>
          <cell r="G616" t="str">
            <v>Office data and telephone cabling network LQ</v>
          </cell>
          <cell r="I616">
            <v>41491</v>
          </cell>
        </row>
        <row r="617">
          <cell r="B617" t="str">
            <v>7002-C47</v>
          </cell>
          <cell r="C617" t="str">
            <v>OS</v>
          </cell>
          <cell r="D617" t="str">
            <v>OS</v>
          </cell>
          <cell r="E617" t="str">
            <v>ZHHI</v>
          </cell>
          <cell r="F617" t="str">
            <v>Q32</v>
          </cell>
          <cell r="G617" t="str">
            <v>Fire zone Q32B HVAC Plantroom</v>
          </cell>
          <cell r="I617">
            <v>41492</v>
          </cell>
        </row>
        <row r="618">
          <cell r="B618" t="str">
            <v>Comm. package</v>
          </cell>
          <cell r="C618" t="str">
            <v>Comm. st.</v>
          </cell>
          <cell r="D618" t="str">
            <v>MC st.</v>
          </cell>
          <cell r="E618" t="str">
            <v>Comm. resp.</v>
          </cell>
          <cell r="F618" t="str">
            <v>Comm. area</v>
          </cell>
          <cell r="G618" t="str">
            <v>Description</v>
          </cell>
          <cell r="H618" t="str">
            <v>Priority</v>
          </cell>
          <cell r="I618" t="str">
            <v>Planned startup</v>
          </cell>
        </row>
        <row r="619">
          <cell r="B619" t="str">
            <v>7002-C15</v>
          </cell>
          <cell r="C619" t="str">
            <v>OS</v>
          </cell>
          <cell r="D619" t="str">
            <v>OS</v>
          </cell>
          <cell r="E619" t="str">
            <v>ZHHI</v>
          </cell>
          <cell r="F619" t="str">
            <v>P10</v>
          </cell>
          <cell r="G619" t="str">
            <v>Fire zone P82A Process Level 2 West</v>
          </cell>
          <cell r="I619">
            <v>41494</v>
          </cell>
        </row>
        <row r="620">
          <cell r="B620" t="str">
            <v>7002-C16</v>
          </cell>
          <cell r="C620" t="str">
            <v>OS</v>
          </cell>
          <cell r="D620" t="str">
            <v>OS</v>
          </cell>
          <cell r="E620" t="str">
            <v>ZHHI</v>
          </cell>
          <cell r="F620" t="str">
            <v>P10</v>
          </cell>
          <cell r="G620" t="str">
            <v>Fire zone P82B Process Level 2 East</v>
          </cell>
          <cell r="I620">
            <v>41494</v>
          </cell>
        </row>
        <row r="621">
          <cell r="B621" t="str">
            <v>7002-C17</v>
          </cell>
          <cell r="C621" t="str">
            <v>OS</v>
          </cell>
          <cell r="D621" t="str">
            <v>OS</v>
          </cell>
          <cell r="E621" t="str">
            <v>ZHHI</v>
          </cell>
          <cell r="F621" t="str">
            <v>P10</v>
          </cell>
          <cell r="G621" t="str">
            <v>Fire zone P83A Process Level 3 West</v>
          </cell>
          <cell r="I621">
            <v>41494</v>
          </cell>
        </row>
        <row r="622">
          <cell r="B622" t="str">
            <v>7002-C18</v>
          </cell>
          <cell r="C622" t="str">
            <v>OS</v>
          </cell>
          <cell r="D622" t="str">
            <v>OS</v>
          </cell>
          <cell r="E622" t="str">
            <v>ZHHI</v>
          </cell>
          <cell r="F622" t="str">
            <v>P10</v>
          </cell>
          <cell r="G622" t="str">
            <v>Fire zone P83B Process Level 3 East</v>
          </cell>
          <cell r="I622">
            <v>41494</v>
          </cell>
        </row>
        <row r="623">
          <cell r="B623" t="str">
            <v>7002-C39</v>
          </cell>
          <cell r="C623" t="str">
            <v>OS</v>
          </cell>
          <cell r="D623" t="str">
            <v>OS</v>
          </cell>
          <cell r="E623" t="str">
            <v>ZHHI</v>
          </cell>
          <cell r="F623" t="str">
            <v>Q31</v>
          </cell>
          <cell r="G623" t="str">
            <v>Fire zone Q31C Stores</v>
          </cell>
          <cell r="I623">
            <v>41494</v>
          </cell>
        </row>
        <row r="624">
          <cell r="B624" t="str">
            <v>7002-C40</v>
          </cell>
          <cell r="C624" t="str">
            <v>OS</v>
          </cell>
          <cell r="D624" t="str">
            <v>OS</v>
          </cell>
          <cell r="E624" t="str">
            <v>ZHHI</v>
          </cell>
          <cell r="F624" t="str">
            <v>Q31</v>
          </cell>
          <cell r="G624" t="str">
            <v>Fire zone Q31D Lab, Offices, Gen. Areas &amp; Firemans Store</v>
          </cell>
          <cell r="I624">
            <v>41494</v>
          </cell>
        </row>
        <row r="625">
          <cell r="B625" t="str">
            <v>7002-C71</v>
          </cell>
          <cell r="C625" t="str">
            <v>OS</v>
          </cell>
          <cell r="D625" t="str">
            <v>OS</v>
          </cell>
          <cell r="E625" t="str">
            <v>ZHHI</v>
          </cell>
          <cell r="F625" t="str">
            <v>P60</v>
          </cell>
          <cell r="G625" t="str">
            <v>Fire zone Q33G ASDS Transformer room</v>
          </cell>
          <cell r="I625">
            <v>41494</v>
          </cell>
        </row>
        <row r="626">
          <cell r="B626" t="str">
            <v>7002-C72</v>
          </cell>
          <cell r="C626" t="str">
            <v>OS</v>
          </cell>
          <cell r="D626" t="str">
            <v>OS</v>
          </cell>
          <cell r="E626" t="str">
            <v>ZHHI</v>
          </cell>
          <cell r="F626" t="str">
            <v>Q30</v>
          </cell>
          <cell r="G626" t="str">
            <v>Fire zone P84C Tote Tank &amp; Helifuel Storage</v>
          </cell>
          <cell r="I626">
            <v>41494</v>
          </cell>
        </row>
        <row r="627">
          <cell r="B627" t="str">
            <v>8642-C03</v>
          </cell>
          <cell r="C627" t="str">
            <v>OS</v>
          </cell>
          <cell r="D627" t="str">
            <v>OS</v>
          </cell>
          <cell r="E627" t="str">
            <v>ZHHI</v>
          </cell>
          <cell r="F627" t="str">
            <v>G20</v>
          </cell>
          <cell r="G627" t="str">
            <v>Leaky Feeder Hull</v>
          </cell>
          <cell r="I627">
            <v>41494</v>
          </cell>
        </row>
        <row r="628">
          <cell r="B628" t="str">
            <v>7003-C09</v>
          </cell>
          <cell r="C628" t="str">
            <v>OS</v>
          </cell>
          <cell r="D628" t="str">
            <v>OS</v>
          </cell>
          <cell r="E628" t="str">
            <v>ZHHI</v>
          </cell>
          <cell r="F628" t="str">
            <v>L13</v>
          </cell>
          <cell r="G628" t="str">
            <v>Fire zone L13A Dining &amp; Lounge Area</v>
          </cell>
          <cell r="I628">
            <v>41495</v>
          </cell>
        </row>
        <row r="629">
          <cell r="B629" t="str">
            <v>7002-C73</v>
          </cell>
          <cell r="C629" t="str">
            <v>OS</v>
          </cell>
          <cell r="D629" t="str">
            <v>OS</v>
          </cell>
          <cell r="E629" t="str">
            <v>ZHHI</v>
          </cell>
          <cell r="F629" t="str">
            <v>Q22</v>
          </cell>
          <cell r="G629" t="str">
            <v>Fire zone Q22F Turbine in Turbine Generator</v>
          </cell>
          <cell r="I629">
            <v>41496</v>
          </cell>
        </row>
        <row r="630">
          <cell r="B630" t="str">
            <v>2001-C05</v>
          </cell>
          <cell r="C630" t="str">
            <v>OS</v>
          </cell>
          <cell r="D630" t="str">
            <v>OS</v>
          </cell>
          <cell r="E630" t="str">
            <v>ZHHI</v>
          </cell>
          <cell r="F630" t="str">
            <v>P20</v>
          </cell>
          <cell r="G630" t="str">
            <v>Suction &amp; Discharge of Crude Oil Transfer Pumps 20PA001A/B</v>
          </cell>
          <cell r="I630">
            <v>41498</v>
          </cell>
        </row>
        <row r="631">
          <cell r="B631" t="str">
            <v>2001-C08</v>
          </cell>
          <cell r="C631" t="str">
            <v>OS</v>
          </cell>
          <cell r="D631" t="str">
            <v>OS</v>
          </cell>
          <cell r="E631" t="str">
            <v>ZHHI</v>
          </cell>
          <cell r="F631" t="str">
            <v>M10</v>
          </cell>
          <cell r="G631" t="str">
            <v>Topside Ringline, Crude Oil</v>
          </cell>
          <cell r="I631">
            <v>41498</v>
          </cell>
        </row>
        <row r="632">
          <cell r="B632" t="str">
            <v>2001-C09</v>
          </cell>
          <cell r="C632" t="str">
            <v>OS</v>
          </cell>
          <cell r="D632" t="str">
            <v>OS</v>
          </cell>
          <cell r="E632" t="str">
            <v>ZHHI</v>
          </cell>
          <cell r="F632" t="str">
            <v>P20</v>
          </cell>
          <cell r="G632" t="str">
            <v>Crude Oil Transfer Pump 20PA001A</v>
          </cell>
          <cell r="I632">
            <v>41498</v>
          </cell>
        </row>
        <row r="633">
          <cell r="B633" t="str">
            <v>2001-C10</v>
          </cell>
          <cell r="C633" t="str">
            <v>OS</v>
          </cell>
          <cell r="D633" t="str">
            <v>OS</v>
          </cell>
          <cell r="E633" t="str">
            <v>ZHHI</v>
          </cell>
          <cell r="F633" t="str">
            <v>P20</v>
          </cell>
          <cell r="G633" t="str">
            <v>Crude Oil Transfer Pump 20PA001B</v>
          </cell>
          <cell r="I633">
            <v>41498</v>
          </cell>
        </row>
        <row r="634">
          <cell r="B634" t="str">
            <v>4401-C02</v>
          </cell>
          <cell r="C634" t="str">
            <v>OS</v>
          </cell>
          <cell r="D634" t="str">
            <v>OS</v>
          </cell>
          <cell r="E634" t="str">
            <v>ZHHI</v>
          </cell>
          <cell r="F634" t="str">
            <v>P20</v>
          </cell>
          <cell r="G634" t="str">
            <v>Jet Water To/From Sand Cleaning Unit, 44XX003</v>
          </cell>
          <cell r="I634">
            <v>41498</v>
          </cell>
        </row>
        <row r="635">
          <cell r="B635" t="str">
            <v>Comm. package</v>
          </cell>
          <cell r="C635" t="str">
            <v>Comm. st.</v>
          </cell>
          <cell r="D635" t="str">
            <v>MC st.</v>
          </cell>
          <cell r="E635" t="str">
            <v>Comm. resp.</v>
          </cell>
          <cell r="F635" t="str">
            <v>Comm. area</v>
          </cell>
          <cell r="G635" t="str">
            <v>Description</v>
          </cell>
          <cell r="H635" t="str">
            <v>Priority</v>
          </cell>
          <cell r="I635" t="str">
            <v>Planned startup</v>
          </cell>
        </row>
        <row r="636">
          <cell r="B636" t="str">
            <v>4401-C04</v>
          </cell>
          <cell r="C636" t="str">
            <v>OS</v>
          </cell>
          <cell r="D636" t="str">
            <v>OS</v>
          </cell>
          <cell r="E636" t="str">
            <v>ZHHI</v>
          </cell>
          <cell r="F636" t="str">
            <v>P20</v>
          </cell>
          <cell r="G636" t="str">
            <v>Sand Cleaning Unit, 44XX003</v>
          </cell>
          <cell r="I636">
            <v>41498</v>
          </cell>
        </row>
        <row r="637">
          <cell r="B637" t="str">
            <v>4401-C10</v>
          </cell>
          <cell r="C637" t="str">
            <v>OS</v>
          </cell>
          <cell r="D637" t="str">
            <v>OS</v>
          </cell>
          <cell r="E637" t="str">
            <v>ZHHI</v>
          </cell>
          <cell r="F637" t="str">
            <v>P40</v>
          </cell>
          <cell r="G637" t="str">
            <v>Sand Cleaning Flush Water Pump, 44PA008 to Sand Cleaning Unit, 44PA008</v>
          </cell>
          <cell r="I637">
            <v>41498</v>
          </cell>
        </row>
        <row r="638">
          <cell r="B638" t="str">
            <v>5301-C04</v>
          </cell>
          <cell r="C638" t="str">
            <v>OS</v>
          </cell>
          <cell r="D638" t="str">
            <v>OS</v>
          </cell>
          <cell r="E638" t="str">
            <v>ZHHI</v>
          </cell>
          <cell r="F638" t="str">
            <v>N10</v>
          </cell>
          <cell r="G638" t="str">
            <v>Service water distribution and pumps</v>
          </cell>
          <cell r="I638">
            <v>41498</v>
          </cell>
        </row>
        <row r="639">
          <cell r="B639" t="str">
            <v>7002-C41</v>
          </cell>
          <cell r="C639" t="str">
            <v>OS</v>
          </cell>
          <cell r="D639" t="str">
            <v>OS</v>
          </cell>
          <cell r="E639" t="str">
            <v>ZHHI</v>
          </cell>
          <cell r="F639" t="str">
            <v>Q31</v>
          </cell>
          <cell r="G639" t="str">
            <v>Fire zone Q31E Emergency Generator</v>
          </cell>
          <cell r="I639">
            <v>41498</v>
          </cell>
        </row>
        <row r="640">
          <cell r="B640" t="str">
            <v>7002-C42</v>
          </cell>
          <cell r="C640" t="str">
            <v>OS</v>
          </cell>
          <cell r="D640" t="str">
            <v>OS</v>
          </cell>
          <cell r="E640" t="str">
            <v>ZHHI</v>
          </cell>
          <cell r="F640" t="str">
            <v>Q31</v>
          </cell>
          <cell r="G640" t="str">
            <v>Fire zone Q31F Inert Gas Generator</v>
          </cell>
          <cell r="I640">
            <v>41498</v>
          </cell>
        </row>
        <row r="641">
          <cell r="B641" t="str">
            <v>7002-C75</v>
          </cell>
          <cell r="C641" t="str">
            <v>OS</v>
          </cell>
          <cell r="D641" t="str">
            <v>OS</v>
          </cell>
          <cell r="E641" t="str">
            <v>ZHHI</v>
          </cell>
          <cell r="F641" t="str">
            <v>Q31</v>
          </cell>
          <cell r="G641" t="str">
            <v>Fire zone Q31K Insulation W/S &amp; Dark/X-Ray Room</v>
          </cell>
          <cell r="I641">
            <v>41499</v>
          </cell>
        </row>
        <row r="642">
          <cell r="B642" t="str">
            <v>7003-C10</v>
          </cell>
          <cell r="C642" t="str">
            <v>OS</v>
          </cell>
          <cell r="D642" t="str">
            <v>OS</v>
          </cell>
          <cell r="E642" t="str">
            <v>ZHHI</v>
          </cell>
          <cell r="F642" t="str">
            <v>L13</v>
          </cell>
          <cell r="G642" t="str">
            <v>Fire zone L13B Kitchen Area</v>
          </cell>
          <cell r="I642">
            <v>41499</v>
          </cell>
        </row>
        <row r="643">
          <cell r="B643" t="str">
            <v>8642-C04</v>
          </cell>
          <cell r="C643" t="str">
            <v>OS</v>
          </cell>
          <cell r="D643" t="str">
            <v>OS</v>
          </cell>
          <cell r="E643" t="str">
            <v>ZHHI</v>
          </cell>
          <cell r="F643" t="str">
            <v>L13</v>
          </cell>
          <cell r="G643" t="str">
            <v>Leaky Feeder LQ</v>
          </cell>
          <cell r="I643">
            <v>41499</v>
          </cell>
        </row>
        <row r="644">
          <cell r="B644" t="str">
            <v>8651-C03</v>
          </cell>
          <cell r="C644" t="str">
            <v>OS</v>
          </cell>
          <cell r="D644" t="str">
            <v>OS</v>
          </cell>
          <cell r="E644" t="str">
            <v>ZHHI</v>
          </cell>
          <cell r="F644" t="str">
            <v>P10</v>
          </cell>
          <cell r="G644" t="str">
            <v>Closed circuit television system (CCTV) Topside</v>
          </cell>
          <cell r="I644">
            <v>41501</v>
          </cell>
        </row>
        <row r="645">
          <cell r="B645" t="str">
            <v>4401-C03</v>
          </cell>
          <cell r="C645" t="str">
            <v>OS</v>
          </cell>
          <cell r="D645" t="str">
            <v>OS</v>
          </cell>
          <cell r="E645" t="str">
            <v>ZHHI</v>
          </cell>
          <cell r="F645" t="str">
            <v>P20</v>
          </cell>
          <cell r="G645" t="str">
            <v>Produced Water Recycle Pumps, 44PG004A/B from Electrostatic Coalescer</v>
          </cell>
          <cell r="I645">
            <v>41502</v>
          </cell>
        </row>
        <row r="646">
          <cell r="B646" t="str">
            <v>9101-C01</v>
          </cell>
          <cell r="C646" t="str">
            <v>OS</v>
          </cell>
          <cell r="D646" t="str">
            <v>OS</v>
          </cell>
          <cell r="E646" t="str">
            <v>ZHHI</v>
          </cell>
          <cell r="F646" t="str">
            <v>G20</v>
          </cell>
          <cell r="G646" t="str">
            <v>Panel 91JC001 - Hull Stress Monitoring</v>
          </cell>
          <cell r="I646">
            <v>41502</v>
          </cell>
        </row>
        <row r="647">
          <cell r="B647" t="str">
            <v>7002-C43</v>
          </cell>
          <cell r="C647" t="str">
            <v>OS</v>
          </cell>
          <cell r="D647" t="str">
            <v>OS</v>
          </cell>
          <cell r="E647" t="str">
            <v>ZHHI</v>
          </cell>
          <cell r="F647" t="str">
            <v>Q31</v>
          </cell>
          <cell r="G647" t="str">
            <v>Fire zone Q31G Paint Store</v>
          </cell>
          <cell r="I647">
            <v>41503</v>
          </cell>
        </row>
        <row r="648">
          <cell r="B648" t="str">
            <v>7003-C11</v>
          </cell>
          <cell r="C648" t="str">
            <v>OS</v>
          </cell>
          <cell r="D648" t="str">
            <v>OS</v>
          </cell>
          <cell r="E648" t="str">
            <v>ZHHI</v>
          </cell>
          <cell r="F648" t="str">
            <v>L13</v>
          </cell>
          <cell r="G648" t="str">
            <v>Fire zone L13C Galley Extract Hood</v>
          </cell>
          <cell r="I648">
            <v>41503</v>
          </cell>
        </row>
        <row r="649">
          <cell r="B649" t="str">
            <v>7003-C12</v>
          </cell>
          <cell r="C649" t="str">
            <v>OS</v>
          </cell>
          <cell r="D649" t="str">
            <v>OS</v>
          </cell>
          <cell r="E649" t="str">
            <v>ZHHI</v>
          </cell>
          <cell r="F649" t="str">
            <v>L13</v>
          </cell>
          <cell r="G649" t="str">
            <v>Fire zone L13D Laundry</v>
          </cell>
          <cell r="I649">
            <v>41503</v>
          </cell>
        </row>
        <row r="650">
          <cell r="B650" t="str">
            <v>8624-C03</v>
          </cell>
          <cell r="C650" t="str">
            <v>OS</v>
          </cell>
          <cell r="D650" t="str">
            <v>OS</v>
          </cell>
          <cell r="E650" t="str">
            <v>ZHHI</v>
          </cell>
          <cell r="F650" t="str">
            <v>P10</v>
          </cell>
          <cell r="G650" t="str">
            <v>Office data and telephone cabling network Topside</v>
          </cell>
          <cell r="I650">
            <v>41503</v>
          </cell>
        </row>
        <row r="651">
          <cell r="B651" t="str">
            <v>1301-C02</v>
          </cell>
          <cell r="C651" t="str">
            <v>OS</v>
          </cell>
          <cell r="D651" t="str">
            <v>OS</v>
          </cell>
          <cell r="E651" t="str">
            <v>ZHHI</v>
          </cell>
          <cell r="F651" t="str">
            <v>Z10</v>
          </cell>
          <cell r="G651" t="str">
            <v>Annulus vent, Flowline 1</v>
          </cell>
          <cell r="I651">
            <v>41505</v>
          </cell>
        </row>
        <row r="652">
          <cell r="B652" t="str">
            <v>Comm. package</v>
          </cell>
          <cell r="C652" t="str">
            <v>Comm. st.</v>
          </cell>
          <cell r="D652" t="str">
            <v>MC st.</v>
          </cell>
          <cell r="E652" t="str">
            <v>Comm. resp.</v>
          </cell>
          <cell r="F652" t="str">
            <v>Comm. area</v>
          </cell>
          <cell r="G652" t="str">
            <v>Description</v>
          </cell>
          <cell r="H652" t="str">
            <v>Priority</v>
          </cell>
          <cell r="I652" t="str">
            <v>Planned startup</v>
          </cell>
        </row>
        <row r="653">
          <cell r="B653" t="str">
            <v>7002-C19</v>
          </cell>
          <cell r="C653" t="str">
            <v>OS</v>
          </cell>
          <cell r="D653" t="str">
            <v>OS</v>
          </cell>
          <cell r="E653" t="str">
            <v>ZHHI</v>
          </cell>
          <cell r="F653" t="str">
            <v>P10</v>
          </cell>
          <cell r="G653" t="str">
            <v>Fire zone P84A Process Level 3 West</v>
          </cell>
          <cell r="I653">
            <v>41505</v>
          </cell>
        </row>
        <row r="654">
          <cell r="B654" t="str">
            <v>7002-C20</v>
          </cell>
          <cell r="C654" t="str">
            <v>OS</v>
          </cell>
          <cell r="D654" t="str">
            <v>OS</v>
          </cell>
          <cell r="E654" t="str">
            <v>ZHHI</v>
          </cell>
          <cell r="F654" t="str">
            <v>P10</v>
          </cell>
          <cell r="G654" t="str">
            <v>Fire zone P84B Process Level 3 East</v>
          </cell>
          <cell r="I654">
            <v>41505</v>
          </cell>
        </row>
        <row r="655">
          <cell r="B655" t="str">
            <v>7003-C13</v>
          </cell>
          <cell r="C655" t="str">
            <v>OS</v>
          </cell>
          <cell r="D655" t="str">
            <v>OS</v>
          </cell>
          <cell r="E655" t="str">
            <v>ZHHI</v>
          </cell>
          <cell r="F655" t="str">
            <v>L14</v>
          </cell>
          <cell r="G655" t="str">
            <v>Fire zone L14A Cabins</v>
          </cell>
          <cell r="I655">
            <v>41505</v>
          </cell>
        </row>
        <row r="656">
          <cell r="B656" t="str">
            <v>2001-C06</v>
          </cell>
          <cell r="C656" t="str">
            <v>OS</v>
          </cell>
          <cell r="D656" t="str">
            <v>OS</v>
          </cell>
          <cell r="E656" t="str">
            <v>ZHHI</v>
          </cell>
          <cell r="F656" t="str">
            <v>P20</v>
          </cell>
          <cell r="G656" t="str">
            <v>Electrostatic Coalescer 20VJ001 &amp; Crude Oil Coolers 20HB004A/B</v>
          </cell>
          <cell r="I656">
            <v>41507</v>
          </cell>
        </row>
        <row r="657">
          <cell r="B657" t="str">
            <v>8642-C05</v>
          </cell>
          <cell r="C657" t="str">
            <v>OS</v>
          </cell>
          <cell r="D657" t="str">
            <v>OS</v>
          </cell>
          <cell r="E657" t="str">
            <v>ZHHI</v>
          </cell>
          <cell r="F657" t="str">
            <v>P10</v>
          </cell>
          <cell r="G657" t="str">
            <v>Leaky Feeder Topside</v>
          </cell>
          <cell r="I657">
            <v>41507</v>
          </cell>
        </row>
        <row r="658">
          <cell r="B658" t="str">
            <v>4401-C12</v>
          </cell>
          <cell r="C658" t="str">
            <v>OS</v>
          </cell>
          <cell r="D658" t="str">
            <v>OS</v>
          </cell>
          <cell r="E658" t="str">
            <v>ZHHI</v>
          </cell>
          <cell r="F658" t="str">
            <v>P20</v>
          </cell>
          <cell r="G658" t="str">
            <v>Produced Water Booster Pumps, 44PG002A/B</v>
          </cell>
          <cell r="I658">
            <v>41508</v>
          </cell>
        </row>
        <row r="659">
          <cell r="B659" t="str">
            <v>7002-C21</v>
          </cell>
          <cell r="C659" t="str">
            <v>OS</v>
          </cell>
          <cell r="D659" t="str">
            <v>OS</v>
          </cell>
          <cell r="E659" t="str">
            <v>ZHHI</v>
          </cell>
          <cell r="F659" t="str">
            <v>Q21</v>
          </cell>
          <cell r="G659" t="str">
            <v>Fire zone Q21A Secondary Laydown Area</v>
          </cell>
          <cell r="I659">
            <v>41509</v>
          </cell>
        </row>
        <row r="660">
          <cell r="B660" t="str">
            <v>7002-C22</v>
          </cell>
          <cell r="C660" t="str">
            <v>OS</v>
          </cell>
          <cell r="D660" t="str">
            <v>OS</v>
          </cell>
          <cell r="E660" t="str">
            <v>ZHHI</v>
          </cell>
          <cell r="F660" t="str">
            <v>Q21</v>
          </cell>
          <cell r="G660" t="str">
            <v>Fire zone Q21B Elect Switchrooms &amp; Floor Voids</v>
          </cell>
          <cell r="I660">
            <v>41509</v>
          </cell>
        </row>
        <row r="661">
          <cell r="B661" t="str">
            <v>7301-C08</v>
          </cell>
          <cell r="C661" t="str">
            <v>OS</v>
          </cell>
          <cell r="D661" t="str">
            <v>OS</v>
          </cell>
          <cell r="E661" t="str">
            <v>ZHHI</v>
          </cell>
          <cell r="F661" t="str">
            <v>Q30</v>
          </cell>
          <cell r="G661" t="str">
            <v>Workshop Overhead Crane</v>
          </cell>
          <cell r="I661">
            <v>41510</v>
          </cell>
        </row>
        <row r="662">
          <cell r="B662" t="str">
            <v>8611-C04</v>
          </cell>
          <cell r="C662" t="str">
            <v>OS</v>
          </cell>
          <cell r="D662" t="str">
            <v>OS</v>
          </cell>
          <cell r="E662" t="str">
            <v>ZHHI</v>
          </cell>
          <cell r="F662" t="str">
            <v>G20</v>
          </cell>
          <cell r="G662" t="str">
            <v>PA/GA B system Hull</v>
          </cell>
          <cell r="I662">
            <v>41510</v>
          </cell>
        </row>
        <row r="663">
          <cell r="B663" t="str">
            <v>7002-C31</v>
          </cell>
          <cell r="C663" t="str">
            <v>OS</v>
          </cell>
          <cell r="D663" t="str">
            <v>OS</v>
          </cell>
          <cell r="E663" t="str">
            <v>ZHHI</v>
          </cell>
          <cell r="F663" t="str">
            <v>Q22</v>
          </cell>
          <cell r="G663" t="str">
            <v>Fire zone Q22D Fire Pump 71XX301, Generator</v>
          </cell>
          <cell r="I663">
            <v>41511</v>
          </cell>
        </row>
        <row r="664">
          <cell r="B664" t="str">
            <v>7003-C17</v>
          </cell>
          <cell r="C664" t="str">
            <v>OS</v>
          </cell>
          <cell r="D664" t="str">
            <v>OS</v>
          </cell>
          <cell r="E664" t="str">
            <v>ZHHI</v>
          </cell>
          <cell r="F664" t="str">
            <v>L16</v>
          </cell>
          <cell r="G664" t="str">
            <v>Fire zone L16A Cabins and Helideck Reception</v>
          </cell>
          <cell r="I664">
            <v>41511</v>
          </cell>
        </row>
        <row r="665">
          <cell r="B665" t="str">
            <v>7002-C27</v>
          </cell>
          <cell r="C665" t="str">
            <v>OS</v>
          </cell>
          <cell r="D665" t="str">
            <v>OS</v>
          </cell>
          <cell r="E665" t="str">
            <v>ZHHI</v>
          </cell>
          <cell r="F665" t="str">
            <v>Q21</v>
          </cell>
          <cell r="G665" t="str">
            <v>Fire zone Q21Y Cable and Duct Shafts</v>
          </cell>
          <cell r="I665">
            <v>41512</v>
          </cell>
        </row>
        <row r="666">
          <cell r="B666" t="str">
            <v>7002-C28</v>
          </cell>
          <cell r="C666" t="str">
            <v>OS</v>
          </cell>
          <cell r="D666" t="str">
            <v>OS</v>
          </cell>
          <cell r="E666" t="str">
            <v>ZHHI</v>
          </cell>
          <cell r="F666" t="str">
            <v>Q22</v>
          </cell>
          <cell r="G666" t="str">
            <v>Fire zone Q22A Gas Turbine Generator</v>
          </cell>
          <cell r="I666">
            <v>41512</v>
          </cell>
        </row>
        <row r="667">
          <cell r="B667" t="str">
            <v>7002-C32</v>
          </cell>
          <cell r="C667" t="str">
            <v>OS</v>
          </cell>
          <cell r="D667" t="str">
            <v>OS</v>
          </cell>
          <cell r="E667" t="str">
            <v>ZHHI</v>
          </cell>
          <cell r="F667" t="str">
            <v>Q22</v>
          </cell>
          <cell r="G667" t="str">
            <v>Fire zone Q22E Fire Pump Generator Room</v>
          </cell>
          <cell r="I667">
            <v>41512</v>
          </cell>
        </row>
        <row r="668">
          <cell r="B668" t="str">
            <v>7601-C01</v>
          </cell>
          <cell r="C668" t="str">
            <v>OS</v>
          </cell>
          <cell r="D668" t="str">
            <v>OS</v>
          </cell>
          <cell r="E668" t="str">
            <v>ZHHI</v>
          </cell>
          <cell r="F668" t="str">
            <v>Q10</v>
          </cell>
          <cell r="G668" t="str">
            <v>Lifeboats with Equipment</v>
          </cell>
          <cell r="I668">
            <v>41512</v>
          </cell>
        </row>
        <row r="669">
          <cell r="B669" t="str">
            <v>Comm. package</v>
          </cell>
          <cell r="C669" t="str">
            <v>Comm. st.</v>
          </cell>
          <cell r="D669" t="str">
            <v>MC st.</v>
          </cell>
          <cell r="E669" t="str">
            <v>Comm. resp.</v>
          </cell>
          <cell r="F669" t="str">
            <v>Comm. area</v>
          </cell>
          <cell r="G669" t="str">
            <v>Description</v>
          </cell>
          <cell r="H669" t="str">
            <v>Priority</v>
          </cell>
          <cell r="I669" t="str">
            <v>Planned startup</v>
          </cell>
        </row>
        <row r="670">
          <cell r="B670" t="str">
            <v>4401-C09</v>
          </cell>
          <cell r="C670" t="str">
            <v>OS</v>
          </cell>
          <cell r="D670" t="str">
            <v>OS</v>
          </cell>
          <cell r="E670" t="str">
            <v>ZHHI</v>
          </cell>
          <cell r="F670" t="str">
            <v>P20</v>
          </cell>
          <cell r="G670" t="str">
            <v>Wash Water Interchanger, 44HB001</v>
          </cell>
          <cell r="I670">
            <v>41513</v>
          </cell>
        </row>
        <row r="671">
          <cell r="B671" t="str">
            <v>1301-C04</v>
          </cell>
          <cell r="C671" t="str">
            <v>OS</v>
          </cell>
          <cell r="D671" t="str">
            <v>OS</v>
          </cell>
          <cell r="E671" t="str">
            <v>ZHHI</v>
          </cell>
          <cell r="F671" t="str">
            <v>Z10</v>
          </cell>
          <cell r="G671" t="str">
            <v>Annulus vent Gas Injection</v>
          </cell>
          <cell r="I671">
            <v>41514</v>
          </cell>
        </row>
        <row r="672">
          <cell r="B672" t="str">
            <v>7002-C23</v>
          </cell>
          <cell r="C672" t="str">
            <v>OS</v>
          </cell>
          <cell r="D672" t="str">
            <v>OS</v>
          </cell>
          <cell r="E672" t="str">
            <v>ZHHI</v>
          </cell>
          <cell r="F672" t="str">
            <v>Q21</v>
          </cell>
          <cell r="G672" t="str">
            <v>Fire zone Q21C Elect Transformers &amp; Floor Voids</v>
          </cell>
          <cell r="I672">
            <v>41514</v>
          </cell>
        </row>
        <row r="673">
          <cell r="B673" t="str">
            <v>7002-C24</v>
          </cell>
          <cell r="C673" t="str">
            <v>OS</v>
          </cell>
          <cell r="D673" t="str">
            <v>OS</v>
          </cell>
          <cell r="E673" t="str">
            <v>ZHHI</v>
          </cell>
          <cell r="F673" t="str">
            <v>Q21</v>
          </cell>
          <cell r="G673" t="str">
            <v>Fire zone Q21D Elect Transformers &amp; Floor Voids</v>
          </cell>
          <cell r="I673">
            <v>41514</v>
          </cell>
        </row>
        <row r="674">
          <cell r="B674" t="str">
            <v>7003-C14</v>
          </cell>
          <cell r="C674" t="str">
            <v>OS</v>
          </cell>
          <cell r="D674" t="str">
            <v>OS</v>
          </cell>
          <cell r="E674" t="str">
            <v>ZHHI</v>
          </cell>
          <cell r="F674" t="str">
            <v>L14</v>
          </cell>
          <cell r="G674" t="str">
            <v>Fire zone L14B Escape Chute Embarkation Area</v>
          </cell>
          <cell r="I674">
            <v>41514</v>
          </cell>
        </row>
        <row r="675">
          <cell r="B675" t="str">
            <v>0401-C01</v>
          </cell>
          <cell r="C675" t="str">
            <v>OS</v>
          </cell>
          <cell r="D675" t="str">
            <v>OS</v>
          </cell>
          <cell r="E675" t="str">
            <v>ZHHI</v>
          </cell>
          <cell r="F675" t="str">
            <v>L10</v>
          </cell>
          <cell r="G675" t="str">
            <v>Workshop Equipment</v>
          </cell>
          <cell r="I675">
            <v>41515</v>
          </cell>
        </row>
        <row r="676">
          <cell r="B676" t="str">
            <v>0401-C02</v>
          </cell>
          <cell r="C676" t="str">
            <v>OS</v>
          </cell>
          <cell r="D676" t="str">
            <v>OS</v>
          </cell>
          <cell r="E676" t="str">
            <v>ZHHI</v>
          </cell>
          <cell r="F676" t="str">
            <v>L10</v>
          </cell>
          <cell r="G676" t="str">
            <v>Laboratory Equipment</v>
          </cell>
          <cell r="I676">
            <v>41515</v>
          </cell>
        </row>
        <row r="677">
          <cell r="B677" t="str">
            <v>4401-C07</v>
          </cell>
          <cell r="C677" t="str">
            <v>OS</v>
          </cell>
          <cell r="D677" t="str">
            <v>OS</v>
          </cell>
          <cell r="E677" t="str">
            <v>ZHHI</v>
          </cell>
          <cell r="F677" t="str">
            <v>P20</v>
          </cell>
          <cell r="G677" t="str">
            <v>Produced Water Flotation Unit 44XX004, 44VD001/44VD002</v>
          </cell>
          <cell r="I677">
            <v>41515</v>
          </cell>
        </row>
        <row r="678">
          <cell r="B678" t="str">
            <v>4701-C01</v>
          </cell>
          <cell r="C678" t="str">
            <v>OS</v>
          </cell>
          <cell r="D678" t="str">
            <v>OS</v>
          </cell>
          <cell r="E678" t="str">
            <v>ZHHI</v>
          </cell>
          <cell r="F678" t="str">
            <v>G20</v>
          </cell>
          <cell r="G678" t="str">
            <v>Chlorination Package 47XX002</v>
          </cell>
          <cell r="I678">
            <v>41515</v>
          </cell>
        </row>
        <row r="679">
          <cell r="B679" t="str">
            <v>4701-C02</v>
          </cell>
          <cell r="C679" t="str">
            <v>OS</v>
          </cell>
          <cell r="D679" t="str">
            <v>OS</v>
          </cell>
          <cell r="E679" t="str">
            <v>ZHHI</v>
          </cell>
          <cell r="F679" t="str">
            <v>G20</v>
          </cell>
          <cell r="G679" t="str">
            <v>Chlorination distribution</v>
          </cell>
          <cell r="I679">
            <v>41515</v>
          </cell>
        </row>
        <row r="680">
          <cell r="B680" t="str">
            <v>5301-C03</v>
          </cell>
          <cell r="C680" t="str">
            <v>OS</v>
          </cell>
          <cell r="D680" t="str">
            <v>OS</v>
          </cell>
          <cell r="E680" t="str">
            <v>ZHHI</v>
          </cell>
          <cell r="F680" t="str">
            <v>N10</v>
          </cell>
          <cell r="G680" t="str">
            <v>Fresh water generators 53XX001A/B/C/D</v>
          </cell>
          <cell r="I680">
            <v>41515</v>
          </cell>
        </row>
        <row r="681">
          <cell r="B681" t="str">
            <v>5301-C06</v>
          </cell>
          <cell r="C681" t="str">
            <v>OS</v>
          </cell>
          <cell r="D681" t="str">
            <v>OS</v>
          </cell>
          <cell r="E681" t="str">
            <v>ZHHI</v>
          </cell>
          <cell r="F681" t="str">
            <v>N10</v>
          </cell>
          <cell r="G681" t="str">
            <v>Pipe to/from fresh water generators</v>
          </cell>
          <cell r="I681">
            <v>41515</v>
          </cell>
        </row>
        <row r="682">
          <cell r="B682" t="str">
            <v>5301-C07</v>
          </cell>
          <cell r="C682" t="str">
            <v>OS</v>
          </cell>
          <cell r="D682" t="str">
            <v>OS</v>
          </cell>
          <cell r="E682" t="str">
            <v>ZHHI</v>
          </cell>
          <cell r="F682" t="str">
            <v>N10</v>
          </cell>
          <cell r="G682" t="str">
            <v>Fresh water distribution</v>
          </cell>
          <cell r="I682">
            <v>41515</v>
          </cell>
        </row>
        <row r="683">
          <cell r="B683" t="str">
            <v>5301-C08</v>
          </cell>
          <cell r="C683" t="str">
            <v>OS</v>
          </cell>
          <cell r="D683" t="str">
            <v>OS</v>
          </cell>
          <cell r="E683" t="str">
            <v>ZHHI</v>
          </cell>
          <cell r="F683" t="str">
            <v>P10</v>
          </cell>
          <cell r="G683" t="str">
            <v>Wash water deaeration system</v>
          </cell>
          <cell r="I683">
            <v>41515</v>
          </cell>
        </row>
        <row r="684">
          <cell r="B684" t="str">
            <v>5301-C10</v>
          </cell>
          <cell r="C684" t="str">
            <v>OS</v>
          </cell>
          <cell r="D684" t="str">
            <v>OS</v>
          </cell>
          <cell r="E684" t="str">
            <v>ZHHI</v>
          </cell>
          <cell r="F684" t="str">
            <v>N10</v>
          </cell>
          <cell r="G684" t="str">
            <v>Fresh water clorination units 53XR001A/B</v>
          </cell>
          <cell r="I684">
            <v>41515</v>
          </cell>
        </row>
        <row r="685">
          <cell r="B685" t="str">
            <v>5401-C01</v>
          </cell>
          <cell r="C685" t="str">
            <v>OS</v>
          </cell>
          <cell r="D685" t="str">
            <v>OS</v>
          </cell>
          <cell r="E685" t="str">
            <v>ZHHI</v>
          </cell>
          <cell r="F685" t="str">
            <v>M10</v>
          </cell>
          <cell r="G685" t="str">
            <v>Hot water expansion and circulation system to HVAC</v>
          </cell>
          <cell r="I685">
            <v>41515</v>
          </cell>
        </row>
        <row r="686">
          <cell r="B686" t="str">
            <v>Comm. package</v>
          </cell>
          <cell r="C686" t="str">
            <v>Comm. st.</v>
          </cell>
          <cell r="D686" t="str">
            <v>MC st.</v>
          </cell>
          <cell r="E686" t="str">
            <v>Comm. resp.</v>
          </cell>
          <cell r="F686" t="str">
            <v>Comm. area</v>
          </cell>
          <cell r="G686" t="str">
            <v>Description</v>
          </cell>
          <cell r="H686" t="str">
            <v>Priority</v>
          </cell>
          <cell r="I686" t="str">
            <v>Planned startup</v>
          </cell>
        </row>
        <row r="687">
          <cell r="B687" t="str">
            <v>5401-C02</v>
          </cell>
          <cell r="C687" t="str">
            <v>OS</v>
          </cell>
          <cell r="D687" t="str">
            <v>OS</v>
          </cell>
          <cell r="E687" t="str">
            <v>ZHHI</v>
          </cell>
          <cell r="F687" t="str">
            <v>N10</v>
          </cell>
          <cell r="G687" t="str">
            <v>High pressure hot water skid 54XX001 and distribution system</v>
          </cell>
          <cell r="I687">
            <v>41515</v>
          </cell>
        </row>
        <row r="688">
          <cell r="B688" t="str">
            <v>6601-C01</v>
          </cell>
          <cell r="C688" t="str">
            <v>OS</v>
          </cell>
          <cell r="D688" t="str">
            <v>OS</v>
          </cell>
          <cell r="E688" t="str">
            <v>ZHHI</v>
          </cell>
          <cell r="F688" t="str">
            <v>N10</v>
          </cell>
          <cell r="G688" t="str">
            <v>Sewage Treatment, Vacuum Unit HQ86</v>
          </cell>
          <cell r="I688">
            <v>41515</v>
          </cell>
        </row>
        <row r="689">
          <cell r="B689" t="str">
            <v>6601-C02</v>
          </cell>
          <cell r="C689" t="str">
            <v>OS</v>
          </cell>
          <cell r="D689" t="str">
            <v>OS</v>
          </cell>
          <cell r="E689" t="str">
            <v>ZHHI</v>
          </cell>
          <cell r="F689" t="str">
            <v>L10</v>
          </cell>
          <cell r="G689" t="str">
            <v>Sewage System LQ</v>
          </cell>
          <cell r="I689">
            <v>41515</v>
          </cell>
        </row>
        <row r="690">
          <cell r="B690" t="str">
            <v>7201-C04</v>
          </cell>
          <cell r="C690" t="str">
            <v>OS</v>
          </cell>
          <cell r="D690" t="str">
            <v>OS</v>
          </cell>
          <cell r="E690" t="str">
            <v>ZHHI</v>
          </cell>
          <cell r="F690" t="str">
            <v>H10</v>
          </cell>
          <cell r="G690" t="str">
            <v>Deluge skid helideck 72SU003</v>
          </cell>
          <cell r="I690">
            <v>41515</v>
          </cell>
        </row>
        <row r="691">
          <cell r="B691" t="str">
            <v>7201-C07</v>
          </cell>
          <cell r="C691" t="str">
            <v>OS</v>
          </cell>
          <cell r="D691" t="str">
            <v>OS</v>
          </cell>
          <cell r="E691" t="str">
            <v>ZHHI</v>
          </cell>
          <cell r="F691" t="str">
            <v>G20</v>
          </cell>
          <cell r="G691" t="str">
            <v>Loose Fire Fighting Equipment - Hull</v>
          </cell>
          <cell r="I691">
            <v>41515</v>
          </cell>
        </row>
        <row r="692">
          <cell r="B692" t="str">
            <v>7201-C08</v>
          </cell>
          <cell r="C692" t="str">
            <v>OS</v>
          </cell>
          <cell r="D692" t="str">
            <v>OS</v>
          </cell>
          <cell r="E692" t="str">
            <v>ZHHI</v>
          </cell>
          <cell r="F692" t="str">
            <v>P10</v>
          </cell>
          <cell r="G692" t="str">
            <v>Loose Fire Fighting Equipment - Topside</v>
          </cell>
          <cell r="I692">
            <v>41515</v>
          </cell>
        </row>
        <row r="693">
          <cell r="B693" t="str">
            <v>7301-C09</v>
          </cell>
          <cell r="C693" t="str">
            <v>OS</v>
          </cell>
          <cell r="D693" t="str">
            <v>OS</v>
          </cell>
          <cell r="E693" t="str">
            <v>ZHHI</v>
          </cell>
          <cell r="F693" t="str">
            <v>G20</v>
          </cell>
          <cell r="G693" t="str">
            <v>Monorails Hull</v>
          </cell>
          <cell r="I693">
            <v>41515</v>
          </cell>
        </row>
        <row r="694">
          <cell r="B694" t="str">
            <v>7701-C25</v>
          </cell>
          <cell r="C694" t="str">
            <v>OS</v>
          </cell>
          <cell r="D694" t="str">
            <v>OS</v>
          </cell>
          <cell r="E694" t="str">
            <v>ZHHI</v>
          </cell>
          <cell r="F694" t="str">
            <v>L10</v>
          </cell>
          <cell r="G694" t="str">
            <v>Heat Recovery System LQ. 77PA101A/B</v>
          </cell>
          <cell r="I694">
            <v>41515</v>
          </cell>
        </row>
        <row r="695">
          <cell r="B695" t="str">
            <v>7701-C43</v>
          </cell>
          <cell r="C695" t="str">
            <v>OS</v>
          </cell>
          <cell r="D695" t="str">
            <v>OS</v>
          </cell>
          <cell r="E695" t="str">
            <v>ZHHI</v>
          </cell>
          <cell r="F695" t="str">
            <v>L10</v>
          </cell>
          <cell r="G695" t="str">
            <v>Hot water heating system</v>
          </cell>
          <cell r="I695">
            <v>41515</v>
          </cell>
        </row>
        <row r="696">
          <cell r="B696" t="str">
            <v>7701-C45</v>
          </cell>
          <cell r="C696" t="str">
            <v>OS</v>
          </cell>
          <cell r="D696" t="str">
            <v>OS</v>
          </cell>
          <cell r="E696" t="str">
            <v>ZHHI</v>
          </cell>
          <cell r="F696" t="str">
            <v>L10</v>
          </cell>
          <cell r="G696" t="str">
            <v>LQ Galley refrigerated stores. 77GB101A/B</v>
          </cell>
          <cell r="I696">
            <v>41515</v>
          </cell>
        </row>
        <row r="697">
          <cell r="B697" t="str">
            <v>9301-C03</v>
          </cell>
          <cell r="C697" t="str">
            <v>OS</v>
          </cell>
          <cell r="D697" t="str">
            <v>OS</v>
          </cell>
          <cell r="E697" t="str">
            <v>ZHHI</v>
          </cell>
          <cell r="F697" t="str">
            <v>L10</v>
          </cell>
          <cell r="G697" t="str">
            <v>Central Vacuum Cleaning System LQ</v>
          </cell>
          <cell r="I697">
            <v>41515</v>
          </cell>
        </row>
        <row r="698">
          <cell r="B698" t="str">
            <v>1301-C01</v>
          </cell>
          <cell r="C698" t="str">
            <v>OS</v>
          </cell>
          <cell r="D698" t="str">
            <v>OS</v>
          </cell>
          <cell r="E698" t="str">
            <v>ZHHI</v>
          </cell>
          <cell r="F698" t="str">
            <v>Z10</v>
          </cell>
          <cell r="G698" t="str">
            <v>Raiser Pull in Winch 13MK001 and equipment.</v>
          </cell>
          <cell r="I698">
            <v>41516</v>
          </cell>
        </row>
        <row r="699">
          <cell r="B699" t="str">
            <v>1301-C03</v>
          </cell>
          <cell r="C699" t="str">
            <v>OS</v>
          </cell>
          <cell r="D699" t="str">
            <v>OS</v>
          </cell>
          <cell r="E699" t="str">
            <v>ZHHI</v>
          </cell>
          <cell r="F699" t="str">
            <v>Z10</v>
          </cell>
          <cell r="G699" t="str">
            <v>Annulus vent, Flowline 2</v>
          </cell>
          <cell r="I699">
            <v>41516</v>
          </cell>
        </row>
        <row r="700">
          <cell r="B700" t="str">
            <v>1301-C05</v>
          </cell>
          <cell r="C700" t="str">
            <v>OS</v>
          </cell>
          <cell r="D700" t="str">
            <v>OS</v>
          </cell>
          <cell r="E700" t="str">
            <v>ZHHI</v>
          </cell>
          <cell r="F700" t="str">
            <v>Z10</v>
          </cell>
          <cell r="G700" t="str">
            <v>Annulus vent Gas Lift</v>
          </cell>
          <cell r="I700">
            <v>41516</v>
          </cell>
        </row>
        <row r="701">
          <cell r="B701" t="str">
            <v>1840-C02</v>
          </cell>
          <cell r="C701" t="str">
            <v>OS</v>
          </cell>
          <cell r="D701" t="str">
            <v>OS</v>
          </cell>
          <cell r="E701" t="str">
            <v>ZHHI</v>
          </cell>
          <cell r="G701" t="str">
            <v>Hydraulic Power Unit 18UM0401</v>
          </cell>
          <cell r="I701">
            <v>41516</v>
          </cell>
        </row>
        <row r="702">
          <cell r="B702" t="str">
            <v>4201-C02</v>
          </cell>
          <cell r="C702" t="str">
            <v>OS</v>
          </cell>
          <cell r="D702" t="str">
            <v>OS</v>
          </cell>
          <cell r="E702" t="str">
            <v>ZHHI</v>
          </cell>
          <cell r="F702" t="str">
            <v>M20</v>
          </cell>
          <cell r="G702" t="str">
            <v>Chemical distribution system</v>
          </cell>
          <cell r="I702">
            <v>41516</v>
          </cell>
        </row>
        <row r="703">
          <cell r="B703" t="str">
            <v>Comm. package</v>
          </cell>
          <cell r="C703" t="str">
            <v>Comm. st.</v>
          </cell>
          <cell r="D703" t="str">
            <v>MC st.</v>
          </cell>
          <cell r="E703" t="str">
            <v>Comm. resp.</v>
          </cell>
          <cell r="F703" t="str">
            <v>Comm. area</v>
          </cell>
          <cell r="G703" t="str">
            <v>Description</v>
          </cell>
          <cell r="H703" t="str">
            <v>Priority</v>
          </cell>
          <cell r="I703" t="str">
            <v>Planned startup</v>
          </cell>
        </row>
        <row r="704">
          <cell r="B704" t="str">
            <v>4201-C04</v>
          </cell>
          <cell r="C704" t="str">
            <v>OS</v>
          </cell>
          <cell r="D704" t="str">
            <v>OS</v>
          </cell>
          <cell r="E704" t="str">
            <v>ZHHI</v>
          </cell>
          <cell r="F704" t="str">
            <v>M20</v>
          </cell>
          <cell r="G704" t="str">
            <v>Scale squeeze mixing system</v>
          </cell>
          <cell r="I704">
            <v>41516</v>
          </cell>
        </row>
        <row r="705">
          <cell r="B705" t="str">
            <v>4401-C06</v>
          </cell>
          <cell r="C705" t="str">
            <v>OS</v>
          </cell>
          <cell r="D705" t="str">
            <v>OS</v>
          </cell>
          <cell r="E705" t="str">
            <v>ZHHI</v>
          </cell>
          <cell r="F705" t="str">
            <v>P20</v>
          </cell>
          <cell r="G705" t="str">
            <v>LP &amp; Coalescer Hydrocyclones, 44CE002A/B</v>
          </cell>
          <cell r="I705">
            <v>41516</v>
          </cell>
        </row>
        <row r="706">
          <cell r="B706" t="str">
            <v>4401-C08</v>
          </cell>
          <cell r="C706" t="str">
            <v>OS</v>
          </cell>
          <cell r="D706" t="str">
            <v>OS</v>
          </cell>
          <cell r="E706" t="str">
            <v>ZHHI</v>
          </cell>
          <cell r="F706" t="str">
            <v>P20</v>
          </cell>
          <cell r="G706" t="str">
            <v>Produced water Degassing Drum, 44VD003</v>
          </cell>
          <cell r="I706">
            <v>41516</v>
          </cell>
        </row>
        <row r="707">
          <cell r="B707" t="str">
            <v>4401-C11</v>
          </cell>
          <cell r="C707" t="str">
            <v>OS</v>
          </cell>
          <cell r="D707" t="str">
            <v>OS</v>
          </cell>
          <cell r="E707" t="str">
            <v>ZHHI</v>
          </cell>
          <cell r="F707" t="str">
            <v>P40</v>
          </cell>
          <cell r="G707" t="str">
            <v>Produced Water Skimming Pumps, 44PA007A/B</v>
          </cell>
          <cell r="I707">
            <v>41516</v>
          </cell>
        </row>
        <row r="708">
          <cell r="B708" t="str">
            <v>5301-C05</v>
          </cell>
          <cell r="C708" t="str">
            <v>OS</v>
          </cell>
          <cell r="D708" t="str">
            <v>OS</v>
          </cell>
          <cell r="E708" t="str">
            <v>ZHHI</v>
          </cell>
          <cell r="F708" t="str">
            <v>L10</v>
          </cell>
          <cell r="G708" t="str">
            <v>Cold and hot water distribution LQ</v>
          </cell>
          <cell r="I708">
            <v>41516</v>
          </cell>
        </row>
        <row r="709">
          <cell r="B709" t="str">
            <v>5301-C09</v>
          </cell>
          <cell r="C709" t="str">
            <v>OS</v>
          </cell>
          <cell r="D709" t="str">
            <v>OS</v>
          </cell>
          <cell r="E709" t="str">
            <v>ZHHI</v>
          </cell>
          <cell r="F709" t="str">
            <v>N10</v>
          </cell>
          <cell r="G709" t="str">
            <v>Vacuum pump package 53XJ001</v>
          </cell>
          <cell r="I709">
            <v>41516</v>
          </cell>
        </row>
        <row r="710">
          <cell r="B710" t="str">
            <v>5301-C11</v>
          </cell>
          <cell r="C710" t="str">
            <v>OS</v>
          </cell>
          <cell r="D710" t="str">
            <v>OS</v>
          </cell>
          <cell r="E710" t="str">
            <v>ZHHI</v>
          </cell>
          <cell r="F710" t="str">
            <v>N10</v>
          </cell>
          <cell r="G710" t="str">
            <v>Hot water circulation pumps 53PA002A/B and calorifiers</v>
          </cell>
          <cell r="I710">
            <v>41516</v>
          </cell>
        </row>
        <row r="711">
          <cell r="B711" t="str">
            <v>7002-C25</v>
          </cell>
          <cell r="C711" t="str">
            <v>OS</v>
          </cell>
          <cell r="D711" t="str">
            <v>OS</v>
          </cell>
          <cell r="E711" t="str">
            <v>ZHHI</v>
          </cell>
          <cell r="F711" t="str">
            <v>Q21</v>
          </cell>
          <cell r="G711" t="str">
            <v>Fire zone Q21E Airlocks, Corridors &amp; Safety Store</v>
          </cell>
          <cell r="I711">
            <v>41516</v>
          </cell>
        </row>
        <row r="712">
          <cell r="B712" t="str">
            <v>7002-C26</v>
          </cell>
          <cell r="C712" t="str">
            <v>OS</v>
          </cell>
          <cell r="D712" t="str">
            <v>OS</v>
          </cell>
          <cell r="E712" t="str">
            <v>ZHHI</v>
          </cell>
          <cell r="F712" t="str">
            <v>Q21</v>
          </cell>
          <cell r="G712" t="str">
            <v>Fire zone Q21X Internal Staircase</v>
          </cell>
          <cell r="I712">
            <v>41516</v>
          </cell>
        </row>
        <row r="713">
          <cell r="B713" t="str">
            <v>7002-C29</v>
          </cell>
          <cell r="C713" t="str">
            <v>OS</v>
          </cell>
          <cell r="D713" t="str">
            <v>OS</v>
          </cell>
          <cell r="E713" t="str">
            <v>ZHHI</v>
          </cell>
          <cell r="F713" t="str">
            <v>Q22</v>
          </cell>
          <cell r="G713" t="str">
            <v>Fire zone Q22B Gas Turbine Generator Area</v>
          </cell>
          <cell r="I713">
            <v>41516</v>
          </cell>
        </row>
        <row r="714">
          <cell r="B714" t="str">
            <v>7002-C30</v>
          </cell>
          <cell r="C714" t="str">
            <v>OS</v>
          </cell>
          <cell r="D714" t="str">
            <v>OS</v>
          </cell>
          <cell r="E714" t="str">
            <v>ZHHI</v>
          </cell>
          <cell r="F714" t="str">
            <v>Q22</v>
          </cell>
          <cell r="G714" t="str">
            <v>Fire zone Q22C HVAC Plantroom</v>
          </cell>
          <cell r="I714">
            <v>41516</v>
          </cell>
        </row>
        <row r="715">
          <cell r="B715" t="str">
            <v>7003-C15</v>
          </cell>
          <cell r="C715" t="str">
            <v>OS</v>
          </cell>
          <cell r="D715" t="str">
            <v>OS</v>
          </cell>
          <cell r="E715" t="str">
            <v>ZHHI</v>
          </cell>
          <cell r="F715" t="str">
            <v>L14</v>
          </cell>
          <cell r="G715" t="str">
            <v>Fire zone L14C Air Intake Accommodation and North Shaft</v>
          </cell>
          <cell r="I715">
            <v>41516</v>
          </cell>
        </row>
        <row r="716">
          <cell r="B716" t="str">
            <v>7003-C16</v>
          </cell>
          <cell r="C716" t="str">
            <v>OS</v>
          </cell>
          <cell r="D716" t="str">
            <v>OS</v>
          </cell>
          <cell r="E716" t="str">
            <v>ZHHI</v>
          </cell>
          <cell r="F716" t="str">
            <v>L15</v>
          </cell>
          <cell r="G716" t="str">
            <v>Fire zone L15A Cabins</v>
          </cell>
          <cell r="I716">
            <v>41516</v>
          </cell>
        </row>
        <row r="717">
          <cell r="B717" t="str">
            <v>7003-C18</v>
          </cell>
          <cell r="C717" t="str">
            <v>OS</v>
          </cell>
          <cell r="D717" t="str">
            <v>OS</v>
          </cell>
          <cell r="E717" t="str">
            <v>ZHHI</v>
          </cell>
          <cell r="F717" t="str">
            <v>L17</v>
          </cell>
          <cell r="G717" t="str">
            <v>Fire zone L17A HVAC Extract Plant room</v>
          </cell>
          <cell r="I717">
            <v>41516</v>
          </cell>
        </row>
        <row r="718">
          <cell r="B718" t="str">
            <v>7003-C19</v>
          </cell>
          <cell r="C718" t="str">
            <v>OS</v>
          </cell>
          <cell r="D718" t="str">
            <v>OS</v>
          </cell>
          <cell r="E718" t="str">
            <v>ZHHI</v>
          </cell>
          <cell r="F718" t="str">
            <v>L17</v>
          </cell>
          <cell r="G718" t="str">
            <v>Fire zone L17B Telecommunications Rooms</v>
          </cell>
          <cell r="I718">
            <v>41516</v>
          </cell>
        </row>
        <row r="719">
          <cell r="B719" t="str">
            <v>7201-C01</v>
          </cell>
          <cell r="C719" t="str">
            <v>OS</v>
          </cell>
          <cell r="D719" t="str">
            <v>OS</v>
          </cell>
          <cell r="E719" t="str">
            <v>ZHHI</v>
          </cell>
          <cell r="F719" t="str">
            <v>Q30</v>
          </cell>
          <cell r="G719" t="str">
            <v>Deluge skid 72SU004</v>
          </cell>
          <cell r="I719">
            <v>41516</v>
          </cell>
        </row>
        <row r="720">
          <cell r="B720" t="str">
            <v>Comm. package</v>
          </cell>
          <cell r="C720" t="str">
            <v>Comm. st.</v>
          </cell>
          <cell r="D720" t="str">
            <v>MC st.</v>
          </cell>
          <cell r="E720" t="str">
            <v>Comm. resp.</v>
          </cell>
          <cell r="F720" t="str">
            <v>Comm. area</v>
          </cell>
          <cell r="G720" t="str">
            <v>Description</v>
          </cell>
          <cell r="H720" t="str">
            <v>Priority</v>
          </cell>
          <cell r="I720" t="str">
            <v>Planned startup</v>
          </cell>
        </row>
        <row r="721">
          <cell r="B721" t="str">
            <v>7201-C02</v>
          </cell>
          <cell r="C721" t="str">
            <v>OS</v>
          </cell>
          <cell r="D721" t="str">
            <v>OS</v>
          </cell>
          <cell r="E721" t="str">
            <v>ZHHI</v>
          </cell>
          <cell r="F721" t="str">
            <v>P20</v>
          </cell>
          <cell r="G721" t="str">
            <v>Deluge skid 72SU001</v>
          </cell>
          <cell r="I721">
            <v>41516</v>
          </cell>
        </row>
        <row r="722">
          <cell r="B722" t="str">
            <v>7201-C05</v>
          </cell>
          <cell r="C722" t="str">
            <v>OS</v>
          </cell>
          <cell r="D722" t="str">
            <v>OS</v>
          </cell>
          <cell r="E722" t="str">
            <v>ZHHI</v>
          </cell>
          <cell r="F722" t="str">
            <v>G20</v>
          </cell>
          <cell r="G722" t="str">
            <v>Monitors, Hydrants &amp; Hosereels - Hull</v>
          </cell>
          <cell r="I722">
            <v>41516</v>
          </cell>
        </row>
        <row r="723">
          <cell r="B723" t="str">
            <v>7201-C06</v>
          </cell>
          <cell r="C723" t="str">
            <v>OS</v>
          </cell>
          <cell r="D723" t="str">
            <v>OS</v>
          </cell>
          <cell r="E723" t="str">
            <v>ZHHI</v>
          </cell>
          <cell r="F723" t="str">
            <v>P10</v>
          </cell>
          <cell r="G723" t="str">
            <v>Monitors, Hydrants &amp; Hosereels - Topside</v>
          </cell>
          <cell r="I723">
            <v>41516</v>
          </cell>
        </row>
        <row r="724">
          <cell r="B724" t="str">
            <v>7301-C10</v>
          </cell>
          <cell r="C724" t="str">
            <v>OS</v>
          </cell>
          <cell r="D724" t="str">
            <v>OS</v>
          </cell>
          <cell r="E724" t="str">
            <v>ZHHI</v>
          </cell>
          <cell r="F724" t="str">
            <v>G20</v>
          </cell>
          <cell r="G724" t="str">
            <v>Padeyes Hull</v>
          </cell>
          <cell r="I724">
            <v>41516</v>
          </cell>
        </row>
        <row r="725">
          <cell r="B725" t="str">
            <v>7301-C11</v>
          </cell>
          <cell r="C725" t="str">
            <v>OS</v>
          </cell>
          <cell r="D725" t="str">
            <v>OS</v>
          </cell>
          <cell r="E725" t="str">
            <v>ZHHI</v>
          </cell>
          <cell r="F725" t="str">
            <v>P10</v>
          </cell>
          <cell r="G725" t="str">
            <v>Monorails Topside</v>
          </cell>
          <cell r="I725">
            <v>41516</v>
          </cell>
        </row>
        <row r="726">
          <cell r="B726" t="str">
            <v>7301-C12</v>
          </cell>
          <cell r="C726" t="str">
            <v>OS</v>
          </cell>
          <cell r="D726" t="str">
            <v>OS</v>
          </cell>
          <cell r="E726" t="str">
            <v>ZHHI</v>
          </cell>
          <cell r="F726" t="str">
            <v>P10</v>
          </cell>
          <cell r="G726" t="str">
            <v>Padeyes Topside</v>
          </cell>
          <cell r="I726">
            <v>41516</v>
          </cell>
        </row>
        <row r="727">
          <cell r="B727" t="str">
            <v>7601-C03</v>
          </cell>
          <cell r="C727" t="str">
            <v>OS</v>
          </cell>
          <cell r="D727" t="str">
            <v>OS</v>
          </cell>
          <cell r="E727" t="str">
            <v>ZHHI</v>
          </cell>
          <cell r="F727" t="str">
            <v>Q30</v>
          </cell>
          <cell r="G727" t="str">
            <v>MOB-Boat with Equipment</v>
          </cell>
          <cell r="I727">
            <v>41516</v>
          </cell>
        </row>
        <row r="728">
          <cell r="B728" t="str">
            <v>7901-C03</v>
          </cell>
          <cell r="C728" t="str">
            <v>OS</v>
          </cell>
          <cell r="D728" t="str">
            <v>OS</v>
          </cell>
          <cell r="E728" t="str">
            <v>ZHHI</v>
          </cell>
          <cell r="F728" t="str">
            <v>P10</v>
          </cell>
          <cell r="G728" t="str">
            <v>APS/ESD Pushbottons</v>
          </cell>
          <cell r="I728">
            <v>41516</v>
          </cell>
        </row>
        <row r="729">
          <cell r="B729" t="str">
            <v>8001-C05</v>
          </cell>
          <cell r="C729" t="str">
            <v>OS</v>
          </cell>
          <cell r="D729" t="str">
            <v>OS</v>
          </cell>
          <cell r="E729" t="str">
            <v>ZHHI</v>
          </cell>
          <cell r="F729" t="str">
            <v>M30</v>
          </cell>
          <cell r="G729" t="str">
            <v>Subsea Cable Pull-In System</v>
          </cell>
          <cell r="I729">
            <v>41516</v>
          </cell>
        </row>
        <row r="730">
          <cell r="B730" t="str">
            <v>9301-C01</v>
          </cell>
          <cell r="C730" t="str">
            <v>OS</v>
          </cell>
          <cell r="D730" t="str">
            <v>PA</v>
          </cell>
          <cell r="E730" t="str">
            <v>ZHHI</v>
          </cell>
          <cell r="F730" t="str">
            <v>H10</v>
          </cell>
          <cell r="G730" t="str">
            <v>Helideck LQ</v>
          </cell>
          <cell r="I730">
            <v>41516</v>
          </cell>
        </row>
        <row r="731">
          <cell r="B731" t="str">
            <v>9301-C02</v>
          </cell>
          <cell r="C731" t="str">
            <v>OS</v>
          </cell>
          <cell r="D731" t="str">
            <v>OS</v>
          </cell>
          <cell r="E731" t="str">
            <v>ZHHI</v>
          </cell>
          <cell r="F731" t="str">
            <v>Q30</v>
          </cell>
          <cell r="G731" t="str">
            <v>Central Vacuum Cleaning System Utility Area</v>
          </cell>
          <cell r="I731">
            <v>41516</v>
          </cell>
        </row>
        <row r="732">
          <cell r="B732" t="str">
            <v>4201-C01</v>
          </cell>
          <cell r="C732" t="str">
            <v>OS</v>
          </cell>
          <cell r="D732" t="str">
            <v>OS</v>
          </cell>
          <cell r="E732" t="str">
            <v>ZHHI</v>
          </cell>
          <cell r="F732" t="str">
            <v>P50</v>
          </cell>
          <cell r="G732" t="str">
            <v>Chemical injection package 42XR001</v>
          </cell>
          <cell r="I732">
            <v>41517</v>
          </cell>
        </row>
        <row r="733">
          <cell r="B733" t="str">
            <v>8611-C06</v>
          </cell>
          <cell r="C733" t="str">
            <v>OS</v>
          </cell>
          <cell r="D733" t="str">
            <v>OS</v>
          </cell>
          <cell r="E733" t="str">
            <v>ZHHI</v>
          </cell>
          <cell r="F733" t="str">
            <v>L10</v>
          </cell>
          <cell r="G733" t="str">
            <v>PA/GA B system LQ</v>
          </cell>
          <cell r="I733">
            <v>41520</v>
          </cell>
        </row>
        <row r="734">
          <cell r="B734" t="str">
            <v>9701-C01</v>
          </cell>
          <cell r="C734" t="str">
            <v>OS</v>
          </cell>
          <cell r="D734" t="str">
            <v>OS</v>
          </cell>
          <cell r="E734" t="str">
            <v>ZHHI</v>
          </cell>
          <cell r="F734" t="str">
            <v>L10</v>
          </cell>
          <cell r="G734" t="str">
            <v>Accomodation Systems LQ</v>
          </cell>
          <cell r="I734">
            <v>41523</v>
          </cell>
        </row>
        <row r="735">
          <cell r="B735" t="str">
            <v>9701-C02</v>
          </cell>
          <cell r="C735" t="str">
            <v>OS</v>
          </cell>
          <cell r="D735" t="str">
            <v>OS</v>
          </cell>
          <cell r="E735" t="str">
            <v>ZHHI</v>
          </cell>
          <cell r="F735" t="str">
            <v>L10</v>
          </cell>
          <cell r="G735" t="str">
            <v>Galley Equipment</v>
          </cell>
          <cell r="I735">
            <v>41523</v>
          </cell>
        </row>
        <row r="736">
          <cell r="B736" t="str">
            <v>9701-C03</v>
          </cell>
          <cell r="C736" t="str">
            <v>OS</v>
          </cell>
          <cell r="D736" t="str">
            <v>OS</v>
          </cell>
          <cell r="E736" t="str">
            <v>ZHHI</v>
          </cell>
          <cell r="F736" t="str">
            <v>L10</v>
          </cell>
          <cell r="G736" t="str">
            <v>Laundry Equipment</v>
          </cell>
          <cell r="I736">
            <v>41523</v>
          </cell>
        </row>
        <row r="737">
          <cell r="B737" t="str">
            <v>Comm. package</v>
          </cell>
          <cell r="C737" t="str">
            <v>Comm. st.</v>
          </cell>
          <cell r="D737" t="str">
            <v>MC st.</v>
          </cell>
          <cell r="E737" t="str">
            <v>Comm. resp.</v>
          </cell>
          <cell r="F737" t="str">
            <v>Comm. area</v>
          </cell>
          <cell r="G737" t="str">
            <v>Description</v>
          </cell>
          <cell r="H737" t="str">
            <v>Priority</v>
          </cell>
          <cell r="I737" t="str">
            <v>Planned startup</v>
          </cell>
        </row>
        <row r="738">
          <cell r="B738" t="str">
            <v>9901-C06</v>
          </cell>
          <cell r="C738" t="str">
            <v>OS</v>
          </cell>
          <cell r="D738" t="str">
            <v>OS</v>
          </cell>
          <cell r="E738" t="str">
            <v>ZHHI</v>
          </cell>
          <cell r="F738" t="str">
            <v>P10</v>
          </cell>
          <cell r="G738" t="str">
            <v>P40, P50, P60 and P70 EL:55.500</v>
          </cell>
          <cell r="I738">
            <v>41523</v>
          </cell>
        </row>
        <row r="739">
          <cell r="B739" t="str">
            <v>9901-C08</v>
          </cell>
          <cell r="C739" t="str">
            <v>OS</v>
          </cell>
          <cell r="D739" t="str">
            <v>OS</v>
          </cell>
          <cell r="E739" t="str">
            <v>ZHHI</v>
          </cell>
          <cell r="F739" t="str">
            <v>P10</v>
          </cell>
          <cell r="G739" t="str">
            <v>P40, P50, P60 and P70 EL:64.500</v>
          </cell>
          <cell r="I739">
            <v>41523</v>
          </cell>
        </row>
        <row r="740">
          <cell r="B740" t="str">
            <v>9901-C11</v>
          </cell>
          <cell r="C740" t="str">
            <v>OS</v>
          </cell>
          <cell r="D740" t="str">
            <v>OS</v>
          </cell>
          <cell r="E740" t="str">
            <v>ZHHI</v>
          </cell>
          <cell r="F740" t="str">
            <v>P10</v>
          </cell>
          <cell r="G740" t="str">
            <v>Z10 Main Material handling route. El: 50,000 EL:55,500kk EL:60,000 EL: 64,500 and EL:69,000</v>
          </cell>
          <cell r="I740">
            <v>41523</v>
          </cell>
        </row>
        <row r="741">
          <cell r="B741" t="str">
            <v>9901-C15</v>
          </cell>
          <cell r="C741" t="str">
            <v>OS</v>
          </cell>
          <cell r="D741" t="str">
            <v>OS</v>
          </cell>
          <cell r="E741" t="str">
            <v>ZHHI</v>
          </cell>
          <cell r="F741" t="str">
            <v>Q10</v>
          </cell>
          <cell r="G741" t="str">
            <v>Q10, Q20, Q30 and Q40. EL:50,000 Process deck</v>
          </cell>
          <cell r="I741">
            <v>41523</v>
          </cell>
        </row>
        <row r="742">
          <cell r="B742" t="str">
            <v>9901-C16</v>
          </cell>
          <cell r="C742" t="str">
            <v>OS</v>
          </cell>
          <cell r="D742" t="str">
            <v>OS</v>
          </cell>
          <cell r="E742" t="str">
            <v>ZHHI</v>
          </cell>
          <cell r="F742" t="str">
            <v>P10</v>
          </cell>
          <cell r="G742" t="str">
            <v>P10, P20, P30 and F10 EL:50,000 Process deck</v>
          </cell>
          <cell r="I742">
            <v>41523</v>
          </cell>
        </row>
        <row r="743">
          <cell r="B743" t="str">
            <v>9901-C17</v>
          </cell>
          <cell r="C743" t="str">
            <v>OS</v>
          </cell>
          <cell r="D743" t="str">
            <v>OS</v>
          </cell>
          <cell r="E743" t="str">
            <v>ZHHI</v>
          </cell>
          <cell r="F743" t="str">
            <v>P40</v>
          </cell>
          <cell r="G743" t="str">
            <v>P40, P50, P60 and P70 EL:50,000 Process deck</v>
          </cell>
          <cell r="I743">
            <v>41523</v>
          </cell>
        </row>
        <row r="744">
          <cell r="B744" t="str">
            <v>9901-C18</v>
          </cell>
          <cell r="C744" t="str">
            <v>OS</v>
          </cell>
          <cell r="D744" t="str">
            <v>OS</v>
          </cell>
          <cell r="E744" t="str">
            <v>ZHHI</v>
          </cell>
          <cell r="F744" t="str">
            <v>Q10</v>
          </cell>
          <cell r="G744" t="str">
            <v>Q10, Q20, Q30 and Q40. EL:55,500 Utility deck</v>
          </cell>
          <cell r="I744">
            <v>41523</v>
          </cell>
        </row>
        <row r="745">
          <cell r="B745" t="str">
            <v>9901-C19</v>
          </cell>
          <cell r="C745" t="str">
            <v>OS</v>
          </cell>
          <cell r="D745" t="str">
            <v>OS</v>
          </cell>
          <cell r="E745" t="str">
            <v>ZHHI</v>
          </cell>
          <cell r="F745" t="str">
            <v>Q10</v>
          </cell>
          <cell r="G745" t="str">
            <v>Q10, Q20, Q30 and Q40. EL:60,000 Level 1</v>
          </cell>
          <cell r="I745">
            <v>41523</v>
          </cell>
        </row>
        <row r="746">
          <cell r="B746" t="str">
            <v>9901-C20</v>
          </cell>
          <cell r="C746" t="str">
            <v>OS</v>
          </cell>
          <cell r="D746" t="str">
            <v>OS</v>
          </cell>
          <cell r="E746" t="str">
            <v>ZHHI</v>
          </cell>
          <cell r="F746" t="str">
            <v>P10</v>
          </cell>
          <cell r="G746" t="str">
            <v>P10, P20, P30 and F10 EL:60,000 Level 1</v>
          </cell>
          <cell r="I746">
            <v>41523</v>
          </cell>
        </row>
        <row r="747">
          <cell r="B747" t="str">
            <v>9901-C21</v>
          </cell>
          <cell r="C747" t="str">
            <v>OS</v>
          </cell>
          <cell r="D747" t="str">
            <v>OS</v>
          </cell>
          <cell r="E747" t="str">
            <v>ZHHI</v>
          </cell>
          <cell r="F747" t="str">
            <v>P40</v>
          </cell>
          <cell r="G747" t="str">
            <v>P40, P50, P60 and P70 EL:60,000 Level 1</v>
          </cell>
          <cell r="I747">
            <v>41523</v>
          </cell>
        </row>
        <row r="748">
          <cell r="B748" t="str">
            <v>9901-C22</v>
          </cell>
          <cell r="C748" t="str">
            <v>OS</v>
          </cell>
          <cell r="D748" t="str">
            <v>OS</v>
          </cell>
          <cell r="E748" t="str">
            <v>ZHHI</v>
          </cell>
          <cell r="F748" t="str">
            <v>Q10</v>
          </cell>
          <cell r="G748" t="str">
            <v>Q10, Q20, Q30 and Q40. EL:64,500 Utility deck</v>
          </cell>
          <cell r="I748">
            <v>41523</v>
          </cell>
        </row>
        <row r="749">
          <cell r="B749" t="str">
            <v>9901-C23</v>
          </cell>
          <cell r="C749" t="str">
            <v>OS</v>
          </cell>
          <cell r="D749" t="str">
            <v>OS</v>
          </cell>
          <cell r="E749" t="str">
            <v>ZHHI</v>
          </cell>
          <cell r="F749" t="str">
            <v>Q10</v>
          </cell>
          <cell r="G749" t="str">
            <v>Q10, Q20, Q30 and Q40. EL:69,000 Level 2</v>
          </cell>
          <cell r="I749">
            <v>41523</v>
          </cell>
        </row>
        <row r="750">
          <cell r="B750" t="str">
            <v>9901-C24</v>
          </cell>
          <cell r="C750" t="str">
            <v>OS</v>
          </cell>
          <cell r="D750" t="str">
            <v>OS</v>
          </cell>
          <cell r="E750" t="str">
            <v>ZHHI</v>
          </cell>
          <cell r="F750" t="str">
            <v>P10</v>
          </cell>
          <cell r="G750" t="str">
            <v>P10, P20, P30 and F10 EL:69,000 Level 2</v>
          </cell>
          <cell r="I750">
            <v>41523</v>
          </cell>
        </row>
        <row r="751">
          <cell r="B751" t="str">
            <v>9901-C25</v>
          </cell>
          <cell r="C751" t="str">
            <v>OS</v>
          </cell>
          <cell r="D751" t="str">
            <v>OS</v>
          </cell>
          <cell r="E751" t="str">
            <v>ZHHI</v>
          </cell>
          <cell r="F751" t="str">
            <v>P40</v>
          </cell>
          <cell r="G751" t="str">
            <v>P40, P50, P60 and P70 EL:69,000 Level 2</v>
          </cell>
          <cell r="I751">
            <v>41523</v>
          </cell>
        </row>
        <row r="752">
          <cell r="B752" t="str">
            <v>9901-C26</v>
          </cell>
          <cell r="C752" t="str">
            <v>OS</v>
          </cell>
          <cell r="D752" t="str">
            <v>OS</v>
          </cell>
          <cell r="E752" t="str">
            <v>ZHHI</v>
          </cell>
          <cell r="F752" t="str">
            <v>P20</v>
          </cell>
          <cell r="G752" t="str">
            <v>P20 Tote tank Laydown Area , P40 Spare Storage Area EL:76.000</v>
          </cell>
          <cell r="I752">
            <v>41523</v>
          </cell>
        </row>
        <row r="753">
          <cell r="B753" t="str">
            <v>9901-C27</v>
          </cell>
          <cell r="C753" t="str">
            <v>OS</v>
          </cell>
          <cell r="D753" t="str">
            <v>OS</v>
          </cell>
          <cell r="E753" t="str">
            <v>ZHHI</v>
          </cell>
          <cell r="F753" t="str">
            <v>H10</v>
          </cell>
          <cell r="G753" t="str">
            <v>H10 Helideck EL: 76,700</v>
          </cell>
          <cell r="I753">
            <v>41523</v>
          </cell>
        </row>
        <row r="754">
          <cell r="B754" t="str">
            <v>Comm. package</v>
          </cell>
          <cell r="C754" t="str">
            <v>Comm. st.</v>
          </cell>
          <cell r="D754" t="str">
            <v>MC st.</v>
          </cell>
          <cell r="E754" t="str">
            <v>Comm. resp.</v>
          </cell>
          <cell r="F754" t="str">
            <v>Comm. area</v>
          </cell>
          <cell r="G754" t="str">
            <v>Description</v>
          </cell>
          <cell r="H754" t="str">
            <v>Priority</v>
          </cell>
          <cell r="I754" t="str">
            <v>Planned startup</v>
          </cell>
        </row>
        <row r="755">
          <cell r="B755" t="str">
            <v>9901-C29</v>
          </cell>
          <cell r="C755" t="str">
            <v>OS</v>
          </cell>
          <cell r="D755" t="str">
            <v>OS</v>
          </cell>
          <cell r="E755" t="str">
            <v>ZHHI</v>
          </cell>
          <cell r="F755" t="str">
            <v>L11</v>
          </cell>
          <cell r="G755" t="str">
            <v>L11 Living Quarter, level 1</v>
          </cell>
          <cell r="I755">
            <v>41523</v>
          </cell>
        </row>
        <row r="756">
          <cell r="B756" t="str">
            <v>9901-C30</v>
          </cell>
          <cell r="C756" t="str">
            <v>OS</v>
          </cell>
          <cell r="D756" t="str">
            <v>OS</v>
          </cell>
          <cell r="E756" t="str">
            <v>ZHHI</v>
          </cell>
          <cell r="F756" t="str">
            <v>L12</v>
          </cell>
          <cell r="G756" t="str">
            <v>L12 Living Quarter, level 2</v>
          </cell>
          <cell r="I756">
            <v>41523</v>
          </cell>
        </row>
        <row r="757">
          <cell r="B757" t="str">
            <v>9901-C31</v>
          </cell>
          <cell r="C757" t="str">
            <v>OS</v>
          </cell>
          <cell r="D757" t="str">
            <v>OS</v>
          </cell>
          <cell r="E757" t="str">
            <v>ZHHI</v>
          </cell>
          <cell r="F757" t="str">
            <v>L13</v>
          </cell>
          <cell r="G757" t="str">
            <v>L13 Living Quarter, level 3</v>
          </cell>
          <cell r="I757">
            <v>41523</v>
          </cell>
        </row>
        <row r="758">
          <cell r="B758" t="str">
            <v>9901-C33</v>
          </cell>
          <cell r="C758" t="str">
            <v>OS</v>
          </cell>
          <cell r="D758" t="str">
            <v>OS</v>
          </cell>
          <cell r="E758" t="str">
            <v>ZHHI</v>
          </cell>
          <cell r="F758" t="str">
            <v>L15</v>
          </cell>
          <cell r="G758" t="str">
            <v>L15 Living Quarter, level 5</v>
          </cell>
          <cell r="I758">
            <v>41523</v>
          </cell>
        </row>
        <row r="759">
          <cell r="B759" t="str">
            <v>9901-C34</v>
          </cell>
          <cell r="C759" t="str">
            <v>OS</v>
          </cell>
          <cell r="D759" t="str">
            <v>OS</v>
          </cell>
          <cell r="E759" t="str">
            <v>ZHHI</v>
          </cell>
          <cell r="F759" t="str">
            <v>L16</v>
          </cell>
          <cell r="G759" t="str">
            <v>L16 Living Quarter, level 6</v>
          </cell>
          <cell r="I759">
            <v>41523</v>
          </cell>
        </row>
        <row r="760">
          <cell r="B760" t="str">
            <v>9901-C35</v>
          </cell>
          <cell r="C760" t="str">
            <v>OS</v>
          </cell>
          <cell r="D760" t="str">
            <v>OS</v>
          </cell>
          <cell r="E760" t="str">
            <v>ZHHI</v>
          </cell>
          <cell r="F760" t="str">
            <v>L17</v>
          </cell>
          <cell r="G760" t="str">
            <v>L17 Living Quarter, level 7</v>
          </cell>
          <cell r="I760">
            <v>41523</v>
          </cell>
        </row>
        <row r="761">
          <cell r="B761" t="str">
            <v>9901-C36</v>
          </cell>
          <cell r="C761" t="str">
            <v>OS</v>
          </cell>
          <cell r="D761" t="str">
            <v>OS</v>
          </cell>
          <cell r="E761" t="str">
            <v>ZHHI</v>
          </cell>
          <cell r="F761" t="str">
            <v>L18</v>
          </cell>
          <cell r="G761" t="str">
            <v>L18 Living Quarter, level 8</v>
          </cell>
          <cell r="I761">
            <v>41523</v>
          </cell>
        </row>
        <row r="762">
          <cell r="B762" t="str">
            <v>9901-C37</v>
          </cell>
          <cell r="C762" t="str">
            <v>OS</v>
          </cell>
          <cell r="D762" t="str">
            <v>OS</v>
          </cell>
          <cell r="E762" t="str">
            <v>ZHHI</v>
          </cell>
          <cell r="F762" t="str">
            <v>L19</v>
          </cell>
          <cell r="G762" t="str">
            <v>L19 Living Quarter, level 9</v>
          </cell>
          <cell r="I762">
            <v>41523</v>
          </cell>
        </row>
        <row r="763">
          <cell r="B763" t="str">
            <v>9901-C38</v>
          </cell>
          <cell r="C763" t="str">
            <v>OS</v>
          </cell>
          <cell r="D763" t="str">
            <v>OS</v>
          </cell>
          <cell r="E763" t="str">
            <v>ZHHI</v>
          </cell>
          <cell r="F763" t="str">
            <v>L20</v>
          </cell>
          <cell r="G763" t="str">
            <v>L20 Living Quarter, level 10 (Weather Deck)</v>
          </cell>
          <cell r="I763">
            <v>41523</v>
          </cell>
        </row>
        <row r="764">
          <cell r="B764" t="str">
            <v>9901-C41</v>
          </cell>
          <cell r="C764" t="str">
            <v>OS</v>
          </cell>
          <cell r="D764" t="str">
            <v>OS</v>
          </cell>
          <cell r="E764" t="str">
            <v>ZHHI</v>
          </cell>
          <cell r="F764" t="str">
            <v>F20</v>
          </cell>
          <cell r="G764" t="str">
            <v>F20 Flare Boom - All Flare Structure</v>
          </cell>
          <cell r="I764">
            <v>41523</v>
          </cell>
        </row>
        <row r="765">
          <cell r="B765" t="str">
            <v>9901-C42</v>
          </cell>
          <cell r="C765" t="str">
            <v>OS</v>
          </cell>
          <cell r="D765" t="str">
            <v>OS</v>
          </cell>
          <cell r="E765" t="str">
            <v>ZHHI</v>
          </cell>
          <cell r="F765" t="str">
            <v>G20</v>
          </cell>
          <cell r="G765" t="str">
            <v>External Hull El. 00.000 to El. + 31.500 - Sea Chests and Caissons</v>
          </cell>
          <cell r="I765">
            <v>41523</v>
          </cell>
        </row>
        <row r="766">
          <cell r="B766" t="str">
            <v>8611-C08</v>
          </cell>
          <cell r="C766" t="str">
            <v>OS</v>
          </cell>
          <cell r="D766" t="str">
            <v>OS</v>
          </cell>
          <cell r="E766" t="str">
            <v>ZHHI</v>
          </cell>
          <cell r="F766" t="str">
            <v>P10</v>
          </cell>
          <cell r="G766" t="str">
            <v>PA/GA B system Topside</v>
          </cell>
          <cell r="I766">
            <v>41529</v>
          </cell>
        </row>
        <row r="767">
          <cell r="B767" t="str">
            <v>4301-C09</v>
          </cell>
          <cell r="C767" t="str">
            <v>OS</v>
          </cell>
          <cell r="D767" t="str">
            <v>OS</v>
          </cell>
          <cell r="E767" t="str">
            <v>ZHHI</v>
          </cell>
          <cell r="F767" t="str">
            <v>F10</v>
          </cell>
          <cell r="G767" t="str">
            <v>Flare Ignition system 43XX001</v>
          </cell>
          <cell r="I767">
            <v>41546</v>
          </cell>
        </row>
        <row r="768">
          <cell r="B768" t="str">
            <v>9901-C13</v>
          </cell>
          <cell r="C768" t="str">
            <v>OS</v>
          </cell>
          <cell r="D768" t="str">
            <v>OS</v>
          </cell>
          <cell r="E768" t="str">
            <v>ZHHI</v>
          </cell>
          <cell r="F768" t="str">
            <v>M30</v>
          </cell>
          <cell r="G768" t="str">
            <v>M30, GIS Room / Riser Hang-Off area</v>
          </cell>
          <cell r="I768">
            <v>41550</v>
          </cell>
        </row>
        <row r="769">
          <cell r="B769" t="str">
            <v>9901-C01</v>
          </cell>
          <cell r="C769" t="str">
            <v>OS</v>
          </cell>
          <cell r="D769" t="str">
            <v>OS</v>
          </cell>
          <cell r="E769" t="str">
            <v>ZHHI</v>
          </cell>
          <cell r="F769" t="str">
            <v>G10</v>
          </cell>
          <cell r="G769" t="str">
            <v>G10 &amp; G20 Center Shaft Area EL:0.000 to 40.000</v>
          </cell>
          <cell r="I769">
            <v>41562</v>
          </cell>
        </row>
        <row r="770">
          <cell r="B770" t="str">
            <v>9901-C02</v>
          </cell>
          <cell r="C770" t="str">
            <v>OS</v>
          </cell>
          <cell r="D770" t="str">
            <v>OS</v>
          </cell>
          <cell r="E770" t="str">
            <v>ZHHI</v>
          </cell>
          <cell r="F770" t="str">
            <v>N10</v>
          </cell>
          <cell r="G770" t="str">
            <v>N10 North Shaft Area EL:0.000 to 40.000</v>
          </cell>
          <cell r="I770">
            <v>41564</v>
          </cell>
        </row>
        <row r="771">
          <cell r="B771" t="str">
            <v>Comm. package</v>
          </cell>
          <cell r="C771" t="str">
            <v>Comm. st.</v>
          </cell>
          <cell r="D771" t="str">
            <v>MC st.</v>
          </cell>
          <cell r="E771" t="str">
            <v>Comm. resp.</v>
          </cell>
          <cell r="F771" t="str">
            <v>Comm. area</v>
          </cell>
          <cell r="G771" t="str">
            <v>Description</v>
          </cell>
          <cell r="H771" t="str">
            <v>Priority</v>
          </cell>
          <cell r="I771" t="str">
            <v>Planned startup</v>
          </cell>
        </row>
        <row r="772">
          <cell r="B772" t="str">
            <v>9901-C05</v>
          </cell>
          <cell r="C772" t="str">
            <v>OS</v>
          </cell>
          <cell r="D772" t="str">
            <v>OS</v>
          </cell>
          <cell r="E772" t="str">
            <v>ZHHI</v>
          </cell>
          <cell r="F772" t="str">
            <v>P10</v>
          </cell>
          <cell r="G772" t="str">
            <v>P10, P20, P30 and F10 EL:55.500</v>
          </cell>
          <cell r="I772">
            <v>41566</v>
          </cell>
        </row>
        <row r="773">
          <cell r="B773" t="str">
            <v>9901-C07</v>
          </cell>
          <cell r="C773" t="str">
            <v>OS</v>
          </cell>
          <cell r="D773" t="str">
            <v>OS</v>
          </cell>
          <cell r="E773" t="str">
            <v>ZHHI</v>
          </cell>
          <cell r="F773" t="str">
            <v>P10</v>
          </cell>
          <cell r="G773" t="str">
            <v>P10, P20, P30 and F10 EL:64.500</v>
          </cell>
          <cell r="I773">
            <v>41566</v>
          </cell>
        </row>
        <row r="774">
          <cell r="B774" t="str">
            <v>9901-C12</v>
          </cell>
          <cell r="C774" t="str">
            <v>OS</v>
          </cell>
          <cell r="D774" t="str">
            <v>OS</v>
          </cell>
          <cell r="E774" t="str">
            <v>ZHHI</v>
          </cell>
          <cell r="F774" t="str">
            <v>M10</v>
          </cell>
          <cell r="G774" t="str">
            <v>M10, M20 Main Deck North and South</v>
          </cell>
          <cell r="I774">
            <v>41568</v>
          </cell>
        </row>
        <row r="775">
          <cell r="B775" t="str">
            <v>0001-C01</v>
          </cell>
          <cell r="C775" t="str">
            <v>OS</v>
          </cell>
          <cell r="D775" t="str">
            <v>OK</v>
          </cell>
          <cell r="E775" t="str">
            <v>ZHHI</v>
          </cell>
          <cell r="G775" t="str">
            <v>TEST</v>
          </cell>
        </row>
        <row r="776">
          <cell r="B776" t="str">
            <v>0002-C01</v>
          </cell>
          <cell r="C776" t="str">
            <v>OS</v>
          </cell>
          <cell r="D776" t="str">
            <v>PA</v>
          </cell>
          <cell r="E776" t="str">
            <v>ZHHI</v>
          </cell>
          <cell r="G776" t="str">
            <v>Vendor Inspection</v>
          </cell>
        </row>
        <row r="777">
          <cell r="B777" t="str">
            <v>0006-C01</v>
          </cell>
          <cell r="C777" t="str">
            <v>OS</v>
          </cell>
          <cell r="D777" t="str">
            <v>OS</v>
          </cell>
          <cell r="E777" t="str">
            <v>ZHHI</v>
          </cell>
          <cell r="G777" t="str">
            <v>Supplier LCI Documentation</v>
          </cell>
        </row>
        <row r="778">
          <cell r="B778" t="str">
            <v>0007-C01</v>
          </cell>
          <cell r="C778" t="str">
            <v>OS</v>
          </cell>
          <cell r="D778" t="str">
            <v>OS</v>
          </cell>
          <cell r="E778" t="str">
            <v>ZHHI</v>
          </cell>
          <cell r="G778" t="str">
            <v>Contractor LCI Documentation</v>
          </cell>
        </row>
        <row r="779">
          <cell r="B779" t="str">
            <v>1601-C50</v>
          </cell>
          <cell r="C779" t="str">
            <v>OS</v>
          </cell>
          <cell r="D779" t="str">
            <v>OS</v>
          </cell>
          <cell r="E779" t="str">
            <v>ZHHI</v>
          </cell>
          <cell r="F779" t="str">
            <v>M20</v>
          </cell>
          <cell r="G779" t="str">
            <v>Heat trace &amp; Insulation for  Flow lines, Manifolds and Pigging systems</v>
          </cell>
        </row>
        <row r="780">
          <cell r="B780" t="str">
            <v>1870-C01</v>
          </cell>
          <cell r="C780" t="str">
            <v>OS</v>
          </cell>
          <cell r="D780" t="str">
            <v>OS</v>
          </cell>
          <cell r="E780" t="str">
            <v>ZHHI</v>
          </cell>
          <cell r="G780" t="str">
            <v>Female bend stiffener</v>
          </cell>
        </row>
        <row r="781">
          <cell r="B781" t="str">
            <v>2001-C50</v>
          </cell>
          <cell r="C781" t="str">
            <v>OS</v>
          </cell>
          <cell r="D781" t="str">
            <v>OS</v>
          </cell>
          <cell r="E781" t="str">
            <v>ZHHI</v>
          </cell>
          <cell r="F781" t="str">
            <v>P20</v>
          </cell>
          <cell r="G781" t="str">
            <v>Heat trace &amp; Insulation for Separation and stabilization systems</v>
          </cell>
        </row>
        <row r="782">
          <cell r="B782" t="str">
            <v>2301-C50</v>
          </cell>
          <cell r="C782" t="str">
            <v>OS</v>
          </cell>
          <cell r="D782" t="str">
            <v>OS</v>
          </cell>
          <cell r="E782" t="str">
            <v>ZHHI</v>
          </cell>
          <cell r="G782" t="str">
            <v>Heat trace &amp; Insulation for Gas Re-compression systems</v>
          </cell>
        </row>
        <row r="783">
          <cell r="B783" t="str">
            <v>2701-C50</v>
          </cell>
          <cell r="C783" t="str">
            <v>OS</v>
          </cell>
          <cell r="D783" t="str">
            <v>OS</v>
          </cell>
          <cell r="E783" t="str">
            <v>ZHHI</v>
          </cell>
          <cell r="F783" t="str">
            <v>P10</v>
          </cell>
          <cell r="G783" t="str">
            <v>Heat trace &amp; Insulation for HP Gas compression, export and metering systems</v>
          </cell>
        </row>
        <row r="784">
          <cell r="B784" t="str">
            <v>2901-C50</v>
          </cell>
          <cell r="C784" t="str">
            <v>OS</v>
          </cell>
          <cell r="D784" t="str">
            <v>OS</v>
          </cell>
          <cell r="E784" t="str">
            <v>ZHHI</v>
          </cell>
          <cell r="F784" t="str">
            <v>P50</v>
          </cell>
          <cell r="G784" t="str">
            <v>Heat trace &amp; Insulation for Water Injection systems</v>
          </cell>
        </row>
        <row r="785">
          <cell r="B785" t="str">
            <v>3301-C50</v>
          </cell>
          <cell r="C785" t="str">
            <v>OS</v>
          </cell>
          <cell r="D785" t="str">
            <v>OS</v>
          </cell>
          <cell r="E785" t="str">
            <v>ZHHI</v>
          </cell>
          <cell r="F785" t="str">
            <v>G20</v>
          </cell>
          <cell r="G785" t="str">
            <v>Heat trace &amp; Insulation for Crude storage and export systems</v>
          </cell>
        </row>
        <row r="786">
          <cell r="B786" t="str">
            <v>4001-C50</v>
          </cell>
          <cell r="C786" t="str">
            <v>OS</v>
          </cell>
          <cell r="D786" t="str">
            <v>OS</v>
          </cell>
          <cell r="E786" t="str">
            <v>ZHHI</v>
          </cell>
          <cell r="F786" t="str">
            <v>M20</v>
          </cell>
          <cell r="G786" t="str">
            <v>Heat trace &amp; Insulation for Cooling Medium systems</v>
          </cell>
        </row>
        <row r="787">
          <cell r="B787" t="str">
            <v>4101-C09</v>
          </cell>
          <cell r="C787" t="str">
            <v>OS</v>
          </cell>
          <cell r="D787" t="str">
            <v>OS</v>
          </cell>
          <cell r="E787" t="str">
            <v>ZHHI</v>
          </cell>
          <cell r="F787" t="str">
            <v>G10</v>
          </cell>
          <cell r="G787" t="str">
            <v>Suction &amp; Discharge of Heating Medium Circulation Pumps 41PA001A/B/C</v>
          </cell>
        </row>
        <row r="788">
          <cell r="B788" t="str">
            <v>Comm. package</v>
          </cell>
          <cell r="C788" t="str">
            <v>Comm. st.</v>
          </cell>
          <cell r="D788" t="str">
            <v>MC st.</v>
          </cell>
          <cell r="E788" t="str">
            <v>Comm. resp.</v>
          </cell>
          <cell r="F788" t="str">
            <v>Comm. area</v>
          </cell>
          <cell r="G788" t="str">
            <v>Description</v>
          </cell>
          <cell r="H788" t="str">
            <v>Priority</v>
          </cell>
          <cell r="I788" t="str">
            <v>Planned startup</v>
          </cell>
        </row>
        <row r="789">
          <cell r="B789" t="str">
            <v>4101-C50</v>
          </cell>
          <cell r="C789" t="str">
            <v>OS</v>
          </cell>
          <cell r="D789" t="str">
            <v>OS</v>
          </cell>
          <cell r="E789" t="str">
            <v>ZHHI</v>
          </cell>
          <cell r="F789" t="str">
            <v>M10</v>
          </cell>
          <cell r="G789" t="str">
            <v>Heat trace &amp; Insulation for Heating Medium systems</v>
          </cell>
        </row>
        <row r="790">
          <cell r="B790" t="str">
            <v>4201-C50</v>
          </cell>
          <cell r="C790" t="str">
            <v>OS</v>
          </cell>
          <cell r="D790" t="str">
            <v>OS</v>
          </cell>
          <cell r="E790" t="str">
            <v>ZHHI</v>
          </cell>
          <cell r="F790" t="str">
            <v>M20</v>
          </cell>
          <cell r="G790" t="str">
            <v>Heat trace &amp; Insulation for Chemical Injection systems</v>
          </cell>
        </row>
        <row r="791">
          <cell r="B791" t="str">
            <v>4301-C50</v>
          </cell>
          <cell r="C791" t="str">
            <v>OS</v>
          </cell>
          <cell r="D791" t="str">
            <v>OS</v>
          </cell>
          <cell r="E791" t="str">
            <v>ZHHI</v>
          </cell>
          <cell r="G791" t="str">
            <v>Heat trace &amp; Insulation for Flare systems</v>
          </cell>
        </row>
        <row r="792">
          <cell r="B792" t="str">
            <v>4401-C50</v>
          </cell>
          <cell r="C792" t="str">
            <v>OS</v>
          </cell>
          <cell r="D792" t="str">
            <v>OS</v>
          </cell>
          <cell r="E792" t="str">
            <v>ZHHI</v>
          </cell>
          <cell r="G792" t="str">
            <v>Heat trace &amp; Insulation for Produced water systems</v>
          </cell>
        </row>
        <row r="793">
          <cell r="B793" t="str">
            <v>4501-C50</v>
          </cell>
          <cell r="C793" t="str">
            <v>OS</v>
          </cell>
          <cell r="D793" t="str">
            <v>OS</v>
          </cell>
          <cell r="E793" t="str">
            <v>ZHHI</v>
          </cell>
          <cell r="G793" t="str">
            <v>Heat trace &amp; Insulation for Fuel Gas systems</v>
          </cell>
        </row>
        <row r="794">
          <cell r="B794" t="str">
            <v>4601-C50</v>
          </cell>
          <cell r="C794" t="str">
            <v>OS</v>
          </cell>
          <cell r="D794" t="str">
            <v>OS</v>
          </cell>
          <cell r="E794" t="str">
            <v>ZHHI</v>
          </cell>
          <cell r="G794" t="str">
            <v>Heat trace &amp; Insulation for MEG injection and storage systems</v>
          </cell>
        </row>
        <row r="795">
          <cell r="B795" t="str">
            <v>4701-C50</v>
          </cell>
          <cell r="C795" t="str">
            <v>OS</v>
          </cell>
          <cell r="D795" t="str">
            <v>OS</v>
          </cell>
          <cell r="E795" t="str">
            <v>ZHHI</v>
          </cell>
          <cell r="G795" t="str">
            <v>Heat trace &amp; Insulation for Chlorination systems</v>
          </cell>
        </row>
        <row r="796">
          <cell r="B796" t="str">
            <v>5001-C50</v>
          </cell>
          <cell r="C796" t="str">
            <v>OS</v>
          </cell>
          <cell r="D796" t="str">
            <v>OS</v>
          </cell>
          <cell r="E796" t="str">
            <v>ZHHI</v>
          </cell>
          <cell r="G796" t="str">
            <v>Heat trace &amp; Insulation for Sea water systems</v>
          </cell>
        </row>
        <row r="797">
          <cell r="B797" t="str">
            <v>5201-C50</v>
          </cell>
          <cell r="C797" t="str">
            <v>OS</v>
          </cell>
          <cell r="D797" t="str">
            <v>OS</v>
          </cell>
          <cell r="E797" t="str">
            <v>ZHHI</v>
          </cell>
          <cell r="G797" t="str">
            <v>Heat trace &amp; Insulation for Ballast water systems</v>
          </cell>
        </row>
        <row r="798">
          <cell r="B798" t="str">
            <v>5301-C50</v>
          </cell>
          <cell r="C798" t="str">
            <v>OS</v>
          </cell>
          <cell r="D798" t="str">
            <v>OS</v>
          </cell>
          <cell r="E798" t="str">
            <v>ZHHI</v>
          </cell>
          <cell r="G798" t="str">
            <v>Heat trace &amp; Insulation for Fresh water systems</v>
          </cell>
        </row>
        <row r="799">
          <cell r="B799" t="str">
            <v>5401-C50</v>
          </cell>
          <cell r="C799" t="str">
            <v>OS</v>
          </cell>
          <cell r="D799" t="str">
            <v>OS</v>
          </cell>
          <cell r="E799" t="str">
            <v>ZHHI</v>
          </cell>
          <cell r="G799" t="str">
            <v>Heat trace &amp; Insulation for Hot water systems</v>
          </cell>
        </row>
        <row r="800">
          <cell r="B800" t="str">
            <v>5601-C50</v>
          </cell>
          <cell r="C800" t="str">
            <v>OS</v>
          </cell>
          <cell r="D800" t="str">
            <v>OS</v>
          </cell>
          <cell r="E800" t="str">
            <v>ZHHI</v>
          </cell>
          <cell r="G800" t="str">
            <v>Heat trace &amp; Insulation for Open drain systems</v>
          </cell>
        </row>
        <row r="801">
          <cell r="B801" t="str">
            <v>5701-C50</v>
          </cell>
          <cell r="C801" t="str">
            <v>OS</v>
          </cell>
          <cell r="D801" t="str">
            <v>OS</v>
          </cell>
          <cell r="E801" t="str">
            <v>ZHHI</v>
          </cell>
          <cell r="G801" t="str">
            <v>Heat trace &amp; Insulation for Closed drain systems</v>
          </cell>
        </row>
        <row r="802">
          <cell r="B802" t="str">
            <v>6401-C50</v>
          </cell>
          <cell r="C802" t="str">
            <v>OS</v>
          </cell>
          <cell r="D802" t="str">
            <v>OS</v>
          </cell>
          <cell r="E802" t="str">
            <v>ZHHI</v>
          </cell>
          <cell r="G802" t="str">
            <v>Heat trace &amp; Insulation for Inert Gas systems</v>
          </cell>
        </row>
        <row r="803">
          <cell r="B803" t="str">
            <v>6601-C50</v>
          </cell>
          <cell r="C803" t="str">
            <v>OS</v>
          </cell>
          <cell r="D803" t="str">
            <v>OS</v>
          </cell>
          <cell r="E803" t="str">
            <v>ZHHI</v>
          </cell>
          <cell r="G803" t="str">
            <v>Heat trace &amp; Insulation for Sewage systems</v>
          </cell>
        </row>
        <row r="804">
          <cell r="B804" t="str">
            <v>7101-C19</v>
          </cell>
          <cell r="C804" t="str">
            <v>OS</v>
          </cell>
          <cell r="D804" t="str">
            <v>OS</v>
          </cell>
          <cell r="E804" t="str">
            <v>ZHHI</v>
          </cell>
          <cell r="F804" t="str">
            <v>Q22</v>
          </cell>
          <cell r="G804" t="str">
            <v>FW Junction Boxes and Multicore cables</v>
          </cell>
        </row>
        <row r="805">
          <cell r="B805" t="str">
            <v>Comm. package</v>
          </cell>
          <cell r="C805" t="str">
            <v>Comm. st.</v>
          </cell>
          <cell r="D805" t="str">
            <v>MC st.</v>
          </cell>
          <cell r="E805" t="str">
            <v>Comm. resp.</v>
          </cell>
          <cell r="F805" t="str">
            <v>Comm. area</v>
          </cell>
          <cell r="G805" t="str">
            <v>Description</v>
          </cell>
          <cell r="H805" t="str">
            <v>Priority</v>
          </cell>
          <cell r="I805" t="str">
            <v>Planned startup</v>
          </cell>
        </row>
        <row r="806">
          <cell r="B806" t="str">
            <v>7101-C50</v>
          </cell>
          <cell r="C806" t="str">
            <v>OS</v>
          </cell>
          <cell r="D806" t="str">
            <v>OS</v>
          </cell>
          <cell r="E806" t="str">
            <v>ZHHI</v>
          </cell>
          <cell r="F806" t="str">
            <v>Q22</v>
          </cell>
          <cell r="G806" t="str">
            <v>Heat trace &amp; Insulation for Fire water systems</v>
          </cell>
        </row>
        <row r="807">
          <cell r="B807" t="str">
            <v>7201-C50</v>
          </cell>
          <cell r="C807" t="str">
            <v>OS</v>
          </cell>
          <cell r="D807" t="str">
            <v>OS</v>
          </cell>
          <cell r="E807" t="str">
            <v>ZHHI</v>
          </cell>
          <cell r="F807" t="str">
            <v>Q33</v>
          </cell>
          <cell r="G807" t="str">
            <v>Heat trace &amp; Insulation for Fire fighting systems</v>
          </cell>
        </row>
        <row r="808">
          <cell r="B808" t="str">
            <v>7501-C01</v>
          </cell>
          <cell r="C808" t="str">
            <v>OS</v>
          </cell>
          <cell r="D808" t="str">
            <v>OS</v>
          </cell>
          <cell r="E808" t="str">
            <v>ZHHI</v>
          </cell>
          <cell r="F808" t="str">
            <v>P10</v>
          </cell>
          <cell r="G808" t="str">
            <v>Spare</v>
          </cell>
        </row>
        <row r="809">
          <cell r="B809" t="str">
            <v>7601-C02</v>
          </cell>
          <cell r="C809" t="str">
            <v>OS</v>
          </cell>
          <cell r="D809" t="str">
            <v>OS</v>
          </cell>
          <cell r="E809" t="str">
            <v>ZHHI</v>
          </cell>
          <cell r="F809" t="str">
            <v>Q10</v>
          </cell>
          <cell r="G809" t="str">
            <v>Spare</v>
          </cell>
        </row>
        <row r="810">
          <cell r="B810" t="str">
            <v>7701-C01</v>
          </cell>
          <cell r="C810" t="str">
            <v>OS</v>
          </cell>
          <cell r="D810" t="str">
            <v>OS</v>
          </cell>
          <cell r="E810" t="str">
            <v>ZHHI</v>
          </cell>
          <cell r="F810" t="str">
            <v>L11</v>
          </cell>
          <cell r="G810" t="str">
            <v>Lifeboat Enclosure East Supply system "On Hold"</v>
          </cell>
        </row>
        <row r="811">
          <cell r="B811" t="str">
            <v>7701-C02</v>
          </cell>
          <cell r="C811" t="str">
            <v>OS</v>
          </cell>
          <cell r="D811" t="str">
            <v>OS</v>
          </cell>
          <cell r="E811" t="str">
            <v>ZHHI</v>
          </cell>
          <cell r="F811" t="str">
            <v>L11</v>
          </cell>
          <cell r="G811" t="str">
            <v>Lifeboat Enclosure West Supply system "On Hold"</v>
          </cell>
        </row>
        <row r="812">
          <cell r="B812" t="str">
            <v>7701-C48</v>
          </cell>
          <cell r="C812" t="str">
            <v>OS</v>
          </cell>
          <cell r="D812" t="str">
            <v>OS</v>
          </cell>
          <cell r="E812" t="str">
            <v>ZHHI</v>
          </cell>
          <cell r="F812" t="str">
            <v>P53</v>
          </cell>
          <cell r="G812" t="str">
            <v>P50 Chemical Inj enclosure 42XR001B. Supply fan 77GK922A/B</v>
          </cell>
        </row>
        <row r="813">
          <cell r="B813" t="str">
            <v>7701-C49</v>
          </cell>
          <cell r="C813" t="str">
            <v>OS</v>
          </cell>
          <cell r="D813" t="str">
            <v>OS</v>
          </cell>
          <cell r="E813" t="str">
            <v>ZHHI</v>
          </cell>
          <cell r="F813" t="str">
            <v>Q30</v>
          </cell>
          <cell r="G813" t="str">
            <v>Q30 Chemical Store Room. Extract fan 77GK150A/B</v>
          </cell>
        </row>
        <row r="814">
          <cell r="B814" t="str">
            <v>7701-C50</v>
          </cell>
          <cell r="C814" t="str">
            <v>OS</v>
          </cell>
          <cell r="D814" t="str">
            <v>OS</v>
          </cell>
          <cell r="E814" t="str">
            <v>ZHHI</v>
          </cell>
          <cell r="F814" t="str">
            <v>H10</v>
          </cell>
          <cell r="G814" t="str">
            <v>H10 Heat Tracing Room. Supply fan 77GK153A/B</v>
          </cell>
        </row>
        <row r="815">
          <cell r="B815" t="str">
            <v>7701-C51</v>
          </cell>
          <cell r="C815" t="str">
            <v>OS</v>
          </cell>
          <cell r="D815" t="str">
            <v>OS</v>
          </cell>
          <cell r="E815" t="str">
            <v>ZHHI</v>
          </cell>
          <cell r="F815" t="str">
            <v>Q30</v>
          </cell>
          <cell r="G815" t="str">
            <v>Q30 Electrical Equipment Room Supply fan 77GK154A/B</v>
          </cell>
        </row>
        <row r="816">
          <cell r="B816" t="str">
            <v>7701-C52</v>
          </cell>
          <cell r="C816" t="str">
            <v>OS</v>
          </cell>
          <cell r="D816" t="str">
            <v>OS</v>
          </cell>
          <cell r="E816" t="str">
            <v>ZHHI</v>
          </cell>
          <cell r="F816" t="str">
            <v>Q30</v>
          </cell>
          <cell r="G816" t="str">
            <v>Q30 UPS Battery room A. DX Cooling unit 77GB110</v>
          </cell>
        </row>
        <row r="817">
          <cell r="B817" t="str">
            <v>7701-C53</v>
          </cell>
          <cell r="C817" t="str">
            <v>OS</v>
          </cell>
          <cell r="D817" t="str">
            <v>OS</v>
          </cell>
          <cell r="E817" t="str">
            <v>ZHHI</v>
          </cell>
          <cell r="F817" t="str">
            <v>Q30</v>
          </cell>
          <cell r="G817" t="str">
            <v>Q30 UPS Battery room B. DX Cooling unit 77GB111</v>
          </cell>
        </row>
        <row r="818">
          <cell r="B818" t="str">
            <v>7701-C54</v>
          </cell>
          <cell r="C818" t="str">
            <v>OS</v>
          </cell>
          <cell r="D818" t="str">
            <v>OS</v>
          </cell>
          <cell r="E818" t="str">
            <v>ZHHI</v>
          </cell>
          <cell r="G818" t="str">
            <v>L10. Refrigeration Machinery Room. Extract fan 77GK158A/B</v>
          </cell>
        </row>
        <row r="819">
          <cell r="B819" t="str">
            <v>8001-C50</v>
          </cell>
          <cell r="C819" t="str">
            <v>OS</v>
          </cell>
          <cell r="D819" t="str">
            <v>OS</v>
          </cell>
          <cell r="E819" t="str">
            <v>ZHHI</v>
          </cell>
          <cell r="G819" t="str">
            <v>Heat trace &amp; Insulation for High Voltage systems and main Generator</v>
          </cell>
        </row>
        <row r="820">
          <cell r="B820" t="str">
            <v>8202-C21</v>
          </cell>
          <cell r="C820" t="str">
            <v>OS</v>
          </cell>
          <cell r="D820" t="str">
            <v>OS</v>
          </cell>
          <cell r="E820" t="str">
            <v>ZHHI</v>
          </cell>
          <cell r="F820" t="str">
            <v>L10</v>
          </cell>
          <cell r="G820" t="str">
            <v>Laundry distr. board, Galley dist board LQ</v>
          </cell>
        </row>
        <row r="821">
          <cell r="B821" t="str">
            <v>8203-C01</v>
          </cell>
          <cell r="C821" t="str">
            <v>OS</v>
          </cell>
          <cell r="D821" t="str">
            <v>OS</v>
          </cell>
          <cell r="E821" t="str">
            <v>ZHHI</v>
          </cell>
          <cell r="F821" t="str">
            <v>M20</v>
          </cell>
          <cell r="G821" t="str">
            <v>82EL002 outgoing feeder for Heat Trace for M20-1 main deck, R10-2 Process deck Escape way floor heating</v>
          </cell>
        </row>
        <row r="822">
          <cell r="B822" t="str">
            <v>Comm. package</v>
          </cell>
          <cell r="C822" t="str">
            <v>Comm. st.</v>
          </cell>
          <cell r="D822" t="str">
            <v>MC st.</v>
          </cell>
          <cell r="E822" t="str">
            <v>Comm. resp.</v>
          </cell>
          <cell r="F822" t="str">
            <v>Comm. area</v>
          </cell>
          <cell r="G822" t="str">
            <v>Description</v>
          </cell>
          <cell r="H822" t="str">
            <v>Priority</v>
          </cell>
          <cell r="I822" t="str">
            <v>Planned startup</v>
          </cell>
        </row>
        <row r="823">
          <cell r="B823" t="str">
            <v>8203-C02</v>
          </cell>
          <cell r="C823" t="str">
            <v>OS</v>
          </cell>
          <cell r="D823" t="str">
            <v>OS</v>
          </cell>
          <cell r="E823" t="str">
            <v>ZHHI</v>
          </cell>
          <cell r="F823" t="str">
            <v>Q30</v>
          </cell>
          <cell r="G823" t="str">
            <v>82EL002 outgoing feeder for Heat Trace for Q30-2,3,4 Escape way floor heating</v>
          </cell>
        </row>
        <row r="824">
          <cell r="B824" t="str">
            <v>8203-C03</v>
          </cell>
          <cell r="C824" t="str">
            <v>OS</v>
          </cell>
          <cell r="D824" t="str">
            <v>OS</v>
          </cell>
          <cell r="E824" t="str">
            <v>ZHHI</v>
          </cell>
          <cell r="F824" t="str">
            <v>P10</v>
          </cell>
          <cell r="G824" t="str">
            <v>82EL002 outgoing feeder for Heat Trace for P10-5 Muster aera , Q40-1Kitchen Aera, Q20-2 Secondary Bunkering, D10-3 Offloading station floor heating</v>
          </cell>
        </row>
        <row r="825">
          <cell r="B825" t="str">
            <v>8203-C04</v>
          </cell>
          <cell r="C825" t="str">
            <v>OS</v>
          </cell>
          <cell r="D825" t="str">
            <v>OS</v>
          </cell>
          <cell r="E825" t="str">
            <v>ZHHI</v>
          </cell>
          <cell r="F825" t="str">
            <v>Q20</v>
          </cell>
          <cell r="G825" t="str">
            <v>82EL002 outgoing feeder for Heat Trace for Q20-3 Future Generator Area escape way floor heating</v>
          </cell>
        </row>
        <row r="826">
          <cell r="B826" t="str">
            <v>8203-C05</v>
          </cell>
          <cell r="C826" t="str">
            <v>OS</v>
          </cell>
          <cell r="D826" t="str">
            <v>OS</v>
          </cell>
          <cell r="E826" t="str">
            <v>ZHHI</v>
          </cell>
          <cell r="F826" t="str">
            <v>L18</v>
          </cell>
          <cell r="G826" t="str">
            <v>82EL002 outgoing feeder for Heat Trace for L18-3, P50-2 Escape ways floor heating</v>
          </cell>
        </row>
        <row r="827">
          <cell r="B827" t="str">
            <v>8203-C06</v>
          </cell>
          <cell r="C827" t="str">
            <v>OS</v>
          </cell>
          <cell r="D827" t="str">
            <v>OS</v>
          </cell>
          <cell r="E827" t="str">
            <v>ZHHI</v>
          </cell>
          <cell r="F827" t="str">
            <v>H10</v>
          </cell>
          <cell r="G827" t="str">
            <v>82EL006 outgoing feeder for Heat Trace for Helideck</v>
          </cell>
        </row>
        <row r="828">
          <cell r="B828" t="str">
            <v>8401-C50</v>
          </cell>
          <cell r="C828" t="str">
            <v>OS</v>
          </cell>
          <cell r="D828" t="str">
            <v>OS</v>
          </cell>
          <cell r="E828" t="str">
            <v>ZHHI</v>
          </cell>
          <cell r="G828" t="str">
            <v>Heat trace &amp; Insulation for 690/400 Volt Emergency Power sustem</v>
          </cell>
        </row>
        <row r="829">
          <cell r="B829" t="str">
            <v>8403-C01</v>
          </cell>
          <cell r="C829" t="str">
            <v>OS</v>
          </cell>
          <cell r="D829" t="str">
            <v>OS</v>
          </cell>
          <cell r="E829" t="str">
            <v>ZHHI</v>
          </cell>
          <cell r="F829" t="str">
            <v>L10</v>
          </cell>
          <cell r="G829" t="str">
            <v>84EL001 Outgoing feeder for L10-1Embarkation Escape way and L10-2Embarkation Area floor heating</v>
          </cell>
        </row>
        <row r="830">
          <cell r="B830" t="str">
            <v>8403-C02</v>
          </cell>
          <cell r="C830" t="str">
            <v>OS</v>
          </cell>
          <cell r="D830" t="str">
            <v>OS</v>
          </cell>
          <cell r="E830" t="str">
            <v>ZHHI</v>
          </cell>
          <cell r="F830" t="str">
            <v>P10</v>
          </cell>
          <cell r="G830" t="str">
            <v>84EL001 Outgoing feeder for P10-7 Embarkation Area floor heating</v>
          </cell>
        </row>
        <row r="831">
          <cell r="B831" t="str">
            <v>8641-C02</v>
          </cell>
          <cell r="C831" t="str">
            <v>OS</v>
          </cell>
          <cell r="D831" t="str">
            <v>OS</v>
          </cell>
          <cell r="E831" t="str">
            <v>ZHHI</v>
          </cell>
          <cell r="F831" t="str">
            <v>L10</v>
          </cell>
          <cell r="G831" t="str">
            <v>Spare</v>
          </cell>
        </row>
        <row r="832">
          <cell r="B832" t="str">
            <v>8641-C03</v>
          </cell>
          <cell r="C832" t="str">
            <v>OS</v>
          </cell>
          <cell r="D832" t="str">
            <v>OS</v>
          </cell>
          <cell r="E832" t="str">
            <v>ZHHI</v>
          </cell>
          <cell r="F832" t="str">
            <v>L10</v>
          </cell>
          <cell r="G832" t="str">
            <v>Spare</v>
          </cell>
        </row>
        <row r="833">
          <cell r="B833" t="str">
            <v>8653-C02</v>
          </cell>
          <cell r="C833" t="str">
            <v>OS</v>
          </cell>
          <cell r="D833" t="str">
            <v>OS</v>
          </cell>
          <cell r="E833" t="str">
            <v>ZHHI</v>
          </cell>
          <cell r="F833" t="str">
            <v>L10</v>
          </cell>
          <cell r="G833" t="str">
            <v>Spare</v>
          </cell>
        </row>
        <row r="834">
          <cell r="B834" t="str">
            <v>8703-C03</v>
          </cell>
          <cell r="C834" t="str">
            <v>OS</v>
          </cell>
          <cell r="D834" t="str">
            <v>OS</v>
          </cell>
          <cell r="E834" t="str">
            <v>ZHHI</v>
          </cell>
          <cell r="G834" t="str">
            <v>Spare</v>
          </cell>
        </row>
        <row r="835">
          <cell r="B835" t="str">
            <v>8704-C05</v>
          </cell>
          <cell r="C835" t="str">
            <v>OS</v>
          </cell>
          <cell r="D835" t="str">
            <v>OS</v>
          </cell>
          <cell r="E835" t="str">
            <v>ZHHI</v>
          </cell>
          <cell r="F835" t="str">
            <v>L12</v>
          </cell>
          <cell r="G835" t="str">
            <v>Panel 87JC241 - Screen drivers, OS for EOW</v>
          </cell>
        </row>
        <row r="836">
          <cell r="B836" t="str">
            <v>8704-C06</v>
          </cell>
          <cell r="C836" t="str">
            <v>OS</v>
          </cell>
          <cell r="D836" t="str">
            <v>OS</v>
          </cell>
          <cell r="E836" t="str">
            <v>ZHHI</v>
          </cell>
          <cell r="F836" t="str">
            <v>L12</v>
          </cell>
          <cell r="G836" t="str">
            <v>Panel 87JM001 - CAP (Critical Action Panel)</v>
          </cell>
        </row>
        <row r="837">
          <cell r="B837" t="str">
            <v>9201-C01</v>
          </cell>
          <cell r="C837" t="str">
            <v>OS</v>
          </cell>
          <cell r="D837" t="str">
            <v>OS</v>
          </cell>
          <cell r="E837" t="str">
            <v>ZHHI</v>
          </cell>
          <cell r="F837" t="str">
            <v>G20</v>
          </cell>
          <cell r="G837" t="str">
            <v>Temporary Cooling Water</v>
          </cell>
        </row>
        <row r="838">
          <cell r="B838" t="str">
            <v>9201-C02</v>
          </cell>
          <cell r="C838" t="str">
            <v>OS</v>
          </cell>
          <cell r="D838" t="str">
            <v>OS</v>
          </cell>
          <cell r="E838" t="str">
            <v>ZHHI</v>
          </cell>
          <cell r="F838" t="str">
            <v>Q20</v>
          </cell>
          <cell r="G838" t="str">
            <v>Temporary Power Supply</v>
          </cell>
        </row>
        <row r="839">
          <cell r="B839" t="str">
            <v>Comm. package</v>
          </cell>
          <cell r="C839" t="str">
            <v>Comm. st.</v>
          </cell>
          <cell r="D839" t="str">
            <v>MC st.</v>
          </cell>
          <cell r="E839" t="str">
            <v>Comm. resp.</v>
          </cell>
          <cell r="F839" t="str">
            <v>Comm. area</v>
          </cell>
          <cell r="G839" t="str">
            <v>Description</v>
          </cell>
          <cell r="H839" t="str">
            <v>Priority</v>
          </cell>
          <cell r="I839" t="str">
            <v>Planned startup</v>
          </cell>
        </row>
        <row r="840">
          <cell r="B840" t="str">
            <v>9201-C03</v>
          </cell>
          <cell r="C840" t="str">
            <v>OS</v>
          </cell>
          <cell r="D840" t="str">
            <v>OS</v>
          </cell>
          <cell r="E840" t="str">
            <v>ZHHI</v>
          </cell>
          <cell r="F840" t="str">
            <v>G20</v>
          </cell>
          <cell r="G840" t="str">
            <v>Temporary Compressed air systems</v>
          </cell>
        </row>
        <row r="841">
          <cell r="B841" t="str">
            <v>9201-C04</v>
          </cell>
          <cell r="C841" t="str">
            <v>OS</v>
          </cell>
          <cell r="D841" t="str">
            <v>OS</v>
          </cell>
          <cell r="E841" t="str">
            <v>ZHHI</v>
          </cell>
          <cell r="F841" t="str">
            <v>Q30</v>
          </cell>
          <cell r="G841" t="str">
            <v>Temporary HVAC / AC Systems</v>
          </cell>
        </row>
        <row r="842">
          <cell r="B842" t="str">
            <v>9301-C04</v>
          </cell>
          <cell r="C842" t="str">
            <v>OS</v>
          </cell>
          <cell r="D842" t="str">
            <v>OS</v>
          </cell>
          <cell r="E842" t="str">
            <v>ZHHI</v>
          </cell>
          <cell r="F842" t="str">
            <v>Q20</v>
          </cell>
          <cell r="G842" t="str">
            <v>Watertight sliding doors (Hull)</v>
          </cell>
        </row>
      </sheetData>
      <sheetData sheetId="3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COVER_SHT"/>
      <sheetName val="NOTES"/>
      <sheetName val="Data for Access"/>
      <sheetName val="AlphaNumeric1"/>
      <sheetName val="XFRMRS"/>
      <sheetName val="910-EH-03"/>
      <sheetName val="920-EP-31"/>
      <sheetName val="920-EM-31(1)"/>
      <sheetName val="920-EM-31 (2)"/>
      <sheetName val="920-EP-32"/>
      <sheetName val="920-EM-32"/>
      <sheetName val="480-EP-31"/>
      <sheetName val="360-EM-31A"/>
      <sheetName val="360-EM-31B"/>
      <sheetName val="920-EL-31A"/>
      <sheetName val="920-EL-31B"/>
      <sheetName val="920-EL-32A"/>
      <sheetName val="920-EL-32B"/>
      <sheetName val="470-EM-31A"/>
      <sheetName val="470-EM-31B"/>
      <sheetName val="900-EK-31"/>
      <sheetName val="920-ED-32"/>
      <sheetName val="360-ED-31A"/>
      <sheetName val="360-ED-31B"/>
      <sheetName val="470-ED-31A"/>
      <sheetName val="470-ED-31B"/>
      <sheetName val="Internal"/>
      <sheetName val="OIL SYST DATA SHTS"/>
      <sheetName val="51-PSV8008L"/>
      <sheetName val="Data_for_Access"/>
      <sheetName val="920-EM-31_(2)"/>
      <sheetName val="OIL_SYST_DATA_SHTS"/>
      <sheetName val="Data_for_Access1"/>
      <sheetName val="920-EM-31_(2)1"/>
      <sheetName val="OIL_SYST_DATA_SHTS1"/>
      <sheetName val="Data_for_Access2"/>
      <sheetName val="920-EM-31_(2)2"/>
      <sheetName val="OIL_SYST_DATA_SHTS2"/>
      <sheetName val="Summary"/>
      <sheetName val="ITB COST"/>
      <sheetName val="PRICE-COMP"/>
      <sheetName val="CMTD"/>
      <sheetName val="내역"/>
      <sheetName val="eq_data"/>
      <sheetName val="IO per P&amp;ID "/>
      <sheetName val="PLC"/>
      <sheetName val="Settings"/>
      <sheetName val="Properties"/>
    </sheetNames>
    <sheetDataSet>
      <sheetData sheetId="0" refreshError="1">
        <row r="5">
          <cell r="A5">
            <v>0.25</v>
          </cell>
          <cell r="B5">
            <v>0.67</v>
          </cell>
          <cell r="C5">
            <v>0.59</v>
          </cell>
          <cell r="E5">
            <v>0.25</v>
          </cell>
          <cell r="F5">
            <v>0.51</v>
          </cell>
          <cell r="G5">
            <v>0.45</v>
          </cell>
        </row>
        <row r="6">
          <cell r="A6">
            <v>0.55000000000000004</v>
          </cell>
          <cell r="B6">
            <v>0.69</v>
          </cell>
          <cell r="C6">
            <v>0.53</v>
          </cell>
          <cell r="E6">
            <v>0.55000000000000004</v>
          </cell>
          <cell r="F6">
            <v>0.57999999999999996</v>
          </cell>
          <cell r="G6">
            <v>0.5</v>
          </cell>
          <cell r="J6">
            <v>0.1</v>
          </cell>
          <cell r="K6">
            <v>1</v>
          </cell>
          <cell r="L6">
            <v>1</v>
          </cell>
        </row>
        <row r="7">
          <cell r="A7">
            <v>0.75</v>
          </cell>
          <cell r="B7">
            <v>0.64</v>
          </cell>
          <cell r="C7">
            <v>0.67</v>
          </cell>
          <cell r="E7">
            <v>0.75</v>
          </cell>
          <cell r="F7">
            <v>0.62</v>
          </cell>
          <cell r="G7">
            <v>0.55000000000000004</v>
          </cell>
        </row>
        <row r="8">
          <cell r="A8">
            <v>1.1000000000000001</v>
          </cell>
          <cell r="B8">
            <v>0.73</v>
          </cell>
          <cell r="C8">
            <v>0.81</v>
          </cell>
          <cell r="E8">
            <v>1.1000000000000001</v>
          </cell>
          <cell r="F8">
            <v>0.77</v>
          </cell>
          <cell r="G8">
            <v>0.63</v>
          </cell>
        </row>
        <row r="9">
          <cell r="A9">
            <v>1.5</v>
          </cell>
          <cell r="B9">
            <v>0.73</v>
          </cell>
          <cell r="C9">
            <v>0.8</v>
          </cell>
          <cell r="E9">
            <v>1.5</v>
          </cell>
          <cell r="F9">
            <v>0.78</v>
          </cell>
          <cell r="G9">
            <v>0.63</v>
          </cell>
        </row>
        <row r="10">
          <cell r="A10">
            <v>2.2000000000000002</v>
          </cell>
          <cell r="B10">
            <v>0.79</v>
          </cell>
          <cell r="C10">
            <v>0.82</v>
          </cell>
          <cell r="E10">
            <v>2.2000000000000002</v>
          </cell>
          <cell r="F10">
            <v>0.79</v>
          </cell>
          <cell r="G10">
            <v>0.69</v>
          </cell>
          <cell r="J10">
            <v>0.1</v>
          </cell>
          <cell r="K10">
            <v>0.85</v>
          </cell>
          <cell r="L10">
            <v>0.8</v>
          </cell>
        </row>
        <row r="11">
          <cell r="A11">
            <v>3</v>
          </cell>
          <cell r="B11">
            <v>0.83</v>
          </cell>
          <cell r="C11">
            <v>0.86</v>
          </cell>
          <cell r="E11">
            <v>3</v>
          </cell>
          <cell r="F11">
            <v>0.82</v>
          </cell>
          <cell r="G11">
            <v>0.66</v>
          </cell>
        </row>
        <row r="12">
          <cell r="A12">
            <v>4</v>
          </cell>
          <cell r="B12">
            <v>0.85</v>
          </cell>
          <cell r="C12">
            <v>0.87</v>
          </cell>
          <cell r="E12">
            <v>4</v>
          </cell>
          <cell r="F12">
            <v>0.85</v>
          </cell>
          <cell r="G12">
            <v>0.74</v>
          </cell>
          <cell r="J12" t="str">
            <v>nameplateF (feeder)</v>
          </cell>
        </row>
        <row r="13">
          <cell r="A13">
            <v>5.5</v>
          </cell>
          <cell r="B13">
            <v>0.85</v>
          </cell>
          <cell r="C13">
            <v>0.86</v>
          </cell>
          <cell r="E13">
            <v>5.5</v>
          </cell>
          <cell r="F13">
            <v>0.86</v>
          </cell>
          <cell r="G13">
            <v>0.78</v>
          </cell>
          <cell r="J13">
            <v>0.1</v>
          </cell>
          <cell r="K13">
            <v>1</v>
          </cell>
          <cell r="L13">
            <v>0.9</v>
          </cell>
        </row>
        <row r="14">
          <cell r="A14">
            <v>7.5</v>
          </cell>
          <cell r="B14">
            <v>0.87</v>
          </cell>
          <cell r="C14">
            <v>0.87</v>
          </cell>
          <cell r="E14">
            <v>7.5</v>
          </cell>
          <cell r="F14">
            <v>0.87</v>
          </cell>
          <cell r="G14">
            <v>0.79</v>
          </cell>
        </row>
        <row r="15">
          <cell r="A15">
            <v>11</v>
          </cell>
          <cell r="B15">
            <v>0.87</v>
          </cell>
          <cell r="C15">
            <v>0.82</v>
          </cell>
          <cell r="E15">
            <v>11</v>
          </cell>
          <cell r="F15">
            <v>0.88</v>
          </cell>
          <cell r="G15">
            <v>0.81</v>
          </cell>
        </row>
        <row r="16">
          <cell r="A16">
            <v>15</v>
          </cell>
          <cell r="B16">
            <v>0.89</v>
          </cell>
          <cell r="C16">
            <v>0.88</v>
          </cell>
          <cell r="E16">
            <v>15</v>
          </cell>
          <cell r="F16">
            <v>0.9</v>
          </cell>
          <cell r="G16">
            <v>0.88</v>
          </cell>
        </row>
        <row r="17">
          <cell r="A17">
            <v>18.5</v>
          </cell>
          <cell r="B17">
            <v>0.9</v>
          </cell>
          <cell r="C17">
            <v>0.85</v>
          </cell>
          <cell r="E17">
            <v>18.5</v>
          </cell>
          <cell r="F17">
            <v>0.89</v>
          </cell>
          <cell r="G17">
            <v>0.85</v>
          </cell>
        </row>
        <row r="18">
          <cell r="A18">
            <v>22</v>
          </cell>
          <cell r="B18">
            <v>0.87</v>
          </cell>
          <cell r="C18">
            <v>0.91</v>
          </cell>
          <cell r="E18">
            <v>22</v>
          </cell>
          <cell r="F18">
            <v>0.9</v>
          </cell>
          <cell r="G18">
            <v>0.81</v>
          </cell>
        </row>
        <row r="19">
          <cell r="A19">
            <v>30</v>
          </cell>
          <cell r="B19">
            <v>0.89</v>
          </cell>
          <cell r="C19">
            <v>0.88</v>
          </cell>
          <cell r="E19">
            <v>30</v>
          </cell>
          <cell r="F19">
            <v>0.91</v>
          </cell>
          <cell r="G19">
            <v>0.84</v>
          </cell>
        </row>
        <row r="20">
          <cell r="A20">
            <v>37</v>
          </cell>
          <cell r="B20">
            <v>0.89</v>
          </cell>
          <cell r="C20">
            <v>0.87</v>
          </cell>
          <cell r="E20">
            <v>37</v>
          </cell>
          <cell r="F20">
            <v>0.91</v>
          </cell>
          <cell r="G20">
            <v>0.8</v>
          </cell>
        </row>
        <row r="21">
          <cell r="A21">
            <v>45</v>
          </cell>
          <cell r="B21">
            <v>0.89</v>
          </cell>
          <cell r="C21">
            <v>0.91</v>
          </cell>
          <cell r="E21">
            <v>45</v>
          </cell>
          <cell r="F21">
            <v>0.92</v>
          </cell>
          <cell r="G21">
            <v>0.81</v>
          </cell>
        </row>
        <row r="22">
          <cell r="A22">
            <v>55</v>
          </cell>
          <cell r="B22">
            <v>0.88</v>
          </cell>
          <cell r="C22">
            <v>0.86</v>
          </cell>
          <cell r="E22">
            <v>55</v>
          </cell>
          <cell r="F22">
            <v>0.92</v>
          </cell>
          <cell r="G22">
            <v>0.84</v>
          </cell>
        </row>
        <row r="23">
          <cell r="A23">
            <v>75</v>
          </cell>
          <cell r="B23">
            <v>0.89</v>
          </cell>
          <cell r="C23">
            <v>0.87</v>
          </cell>
          <cell r="E23">
            <v>75</v>
          </cell>
          <cell r="F23">
            <v>0.92</v>
          </cell>
          <cell r="G23">
            <v>0.84</v>
          </cell>
        </row>
        <row r="24">
          <cell r="A24">
            <v>90</v>
          </cell>
          <cell r="B24">
            <v>0.9</v>
          </cell>
          <cell r="C24">
            <v>0.89</v>
          </cell>
          <cell r="E24">
            <v>90</v>
          </cell>
          <cell r="F24">
            <v>0.92</v>
          </cell>
          <cell r="G24">
            <v>0.87</v>
          </cell>
        </row>
        <row r="25">
          <cell r="A25">
            <v>110</v>
          </cell>
          <cell r="B25">
            <v>0.91</v>
          </cell>
          <cell r="C25">
            <v>0.9</v>
          </cell>
          <cell r="E25">
            <v>110</v>
          </cell>
          <cell r="F25">
            <v>0.93</v>
          </cell>
          <cell r="G25">
            <v>0.87</v>
          </cell>
        </row>
        <row r="26">
          <cell r="A26">
            <v>132</v>
          </cell>
          <cell r="B26">
            <v>0.94</v>
          </cell>
          <cell r="C26">
            <v>0.9</v>
          </cell>
          <cell r="E26">
            <v>132</v>
          </cell>
          <cell r="F26">
            <v>0.93</v>
          </cell>
          <cell r="G26">
            <v>0.92</v>
          </cell>
        </row>
        <row r="27">
          <cell r="A27">
            <v>150</v>
          </cell>
          <cell r="B27">
            <v>0.94</v>
          </cell>
          <cell r="C27">
            <v>0.9</v>
          </cell>
          <cell r="E27">
            <v>150</v>
          </cell>
          <cell r="F27">
            <v>0.94</v>
          </cell>
          <cell r="G27">
            <v>0.92</v>
          </cell>
        </row>
        <row r="28">
          <cell r="A28">
            <v>160</v>
          </cell>
          <cell r="B28">
            <v>0.96</v>
          </cell>
          <cell r="C28">
            <v>0.85</v>
          </cell>
          <cell r="E28">
            <v>160</v>
          </cell>
          <cell r="F28">
            <v>0.95</v>
          </cell>
          <cell r="G28">
            <v>0.9</v>
          </cell>
        </row>
        <row r="29">
          <cell r="A29">
            <v>185</v>
          </cell>
          <cell r="B29">
            <v>0.96</v>
          </cell>
          <cell r="C29">
            <v>0.89</v>
          </cell>
          <cell r="E29">
            <v>185</v>
          </cell>
          <cell r="F29">
            <v>0.96</v>
          </cell>
          <cell r="G29">
            <v>0.89</v>
          </cell>
        </row>
        <row r="30">
          <cell r="A30">
            <v>230</v>
          </cell>
          <cell r="B30">
            <v>0.96</v>
          </cell>
          <cell r="C30">
            <v>0.91</v>
          </cell>
          <cell r="E30">
            <v>230</v>
          </cell>
          <cell r="F30">
            <v>0.96</v>
          </cell>
          <cell r="G30">
            <v>0.91</v>
          </cell>
        </row>
        <row r="31">
          <cell r="A31">
            <v>400</v>
          </cell>
          <cell r="B31">
            <v>0.96</v>
          </cell>
          <cell r="C31">
            <v>0.92</v>
          </cell>
          <cell r="E31">
            <v>400</v>
          </cell>
          <cell r="F31">
            <v>0.96</v>
          </cell>
          <cell r="G31">
            <v>0.92</v>
          </cell>
        </row>
        <row r="32">
          <cell r="A32">
            <v>500</v>
          </cell>
          <cell r="B32">
            <v>0.97</v>
          </cell>
          <cell r="C32">
            <v>0.93</v>
          </cell>
          <cell r="E32">
            <v>500</v>
          </cell>
          <cell r="F32">
            <v>0.97</v>
          </cell>
          <cell r="G32">
            <v>0.93</v>
          </cell>
        </row>
        <row r="33">
          <cell r="A33">
            <v>600</v>
          </cell>
          <cell r="B33">
            <v>0.97</v>
          </cell>
          <cell r="C33">
            <v>0.93</v>
          </cell>
          <cell r="E33">
            <v>600</v>
          </cell>
          <cell r="F33">
            <v>0.97</v>
          </cell>
          <cell r="G33">
            <v>0.93</v>
          </cell>
        </row>
        <row r="34">
          <cell r="A34">
            <v>1000</v>
          </cell>
          <cell r="B34">
            <v>0.97</v>
          </cell>
          <cell r="C34">
            <v>0.93</v>
          </cell>
          <cell r="E34">
            <v>1000</v>
          </cell>
          <cell r="F34">
            <v>0.97</v>
          </cell>
          <cell r="G34">
            <v>0.93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2Revision"/>
      <sheetName val="3 Process"/>
      <sheetName val="4Boiler Design"/>
      <sheetName val="5Boiler Nozzle Data"/>
      <sheetName val="Notes 6"/>
      <sheetName val="7Notes Cont'd  "/>
      <sheetName val="11 Drum Design"/>
      <sheetName val="12Drum Nozzle Data"/>
      <sheetName val="15Inspec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Data"/>
      <sheetName val="Variables"/>
    </sheetNames>
    <sheetDataSet>
      <sheetData sheetId="0"/>
      <sheetData sheetId="1"/>
      <sheetData sheetId="2">
        <row r="9">
          <cell r="I9" t="str">
            <v>11/05/2018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-Ground MC Dates"/>
      <sheetName val="On-Ground MC Skyline"/>
      <sheetName val="Integration MC Dates"/>
      <sheetName val="Integration MC Skyline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Comparison"/>
      <sheetName val="Output (1)"/>
      <sheetName val="Output (2)"/>
      <sheetName val="Settings"/>
      <sheetName val="PropSets"/>
      <sheetName val="Output Template"/>
      <sheetName val="Comparison Output Template"/>
    </sheetNames>
    <sheetDataSet>
      <sheetData sheetId="0"/>
      <sheetData sheetId="1"/>
      <sheetData sheetId="2"/>
      <sheetData sheetId="3"/>
      <sheetData sheetId="4">
        <row r="24">
          <cell r="C24" t="str">
            <v>(Ideal) Liquid Volume Flow</v>
          </cell>
        </row>
        <row r="25">
          <cell r="C25" t="str">
            <v>Actual Gas Flow</v>
          </cell>
        </row>
        <row r="26">
          <cell r="C26" t="str">
            <v>Actual Volume Flow</v>
          </cell>
        </row>
        <row r="27">
          <cell r="C27" t="str">
            <v>Compressibility</v>
          </cell>
        </row>
        <row r="28">
          <cell r="C28" t="str">
            <v>Cp/Cv (Gamma)</v>
          </cell>
        </row>
        <row r="29">
          <cell r="C29" t="str">
            <v>Heat Flow</v>
          </cell>
        </row>
        <row r="30">
          <cell r="C30" t="str">
            <v>Kinematic Viscosity</v>
          </cell>
        </row>
        <row r="31">
          <cell r="C31" t="str">
            <v>Mass Density</v>
          </cell>
        </row>
        <row r="32">
          <cell r="C32" t="str">
            <v>Mass Enthalpy</v>
          </cell>
        </row>
        <row r="33">
          <cell r="C33" t="str">
            <v>Mass Entropy</v>
          </cell>
        </row>
        <row r="34">
          <cell r="C34" t="str">
            <v>Mass Flow</v>
          </cell>
        </row>
        <row r="35">
          <cell r="C35" t="str">
            <v>Mass Heat Capacity</v>
          </cell>
        </row>
        <row r="36">
          <cell r="C36" t="str">
            <v>Molar Density</v>
          </cell>
        </row>
        <row r="37">
          <cell r="C37" t="str">
            <v>Molar Enthalpy</v>
          </cell>
        </row>
        <row r="38">
          <cell r="C38" t="str">
            <v>Molar Entropy</v>
          </cell>
        </row>
        <row r="39">
          <cell r="C39" t="str">
            <v>Molar Flow</v>
          </cell>
        </row>
        <row r="40">
          <cell r="C40" t="str">
            <v>Molar Heat Capacity</v>
          </cell>
        </row>
        <row r="41">
          <cell r="C41" t="str">
            <v>Molar Volume</v>
          </cell>
        </row>
        <row r="42">
          <cell r="C42" t="str">
            <v>Molecular Weight</v>
          </cell>
        </row>
        <row r="43">
          <cell r="C43" t="str">
            <v>Pseudo Critical Pressure</v>
          </cell>
        </row>
        <row r="44">
          <cell r="C44" t="str">
            <v>Pseudo Critical Temperature</v>
          </cell>
        </row>
        <row r="45">
          <cell r="C45" t="str">
            <v>Pseudo Critical Volume</v>
          </cell>
        </row>
        <row r="46">
          <cell r="C46" t="str">
            <v>Pressure</v>
          </cell>
        </row>
        <row r="47">
          <cell r="C47" t="str">
            <v>SG Air</v>
          </cell>
        </row>
        <row r="48">
          <cell r="C48" t="str">
            <v>Std Gas Flow</v>
          </cell>
        </row>
        <row r="49">
          <cell r="C49" t="str">
            <v>Std Liquid Mass Density</v>
          </cell>
        </row>
        <row r="50">
          <cell r="C50" t="str">
            <v>Std Liquid Vol Flow</v>
          </cell>
        </row>
        <row r="51">
          <cell r="C51" t="str">
            <v>Surface Tension</v>
          </cell>
        </row>
        <row r="52">
          <cell r="C52" t="str">
            <v>Temperature</v>
          </cell>
        </row>
        <row r="53">
          <cell r="C53" t="str">
            <v>Thermal Conductivity</v>
          </cell>
        </row>
        <row r="54">
          <cell r="C54" t="str">
            <v>Viscosity</v>
          </cell>
        </row>
        <row r="55">
          <cell r="C55" t="str">
            <v>Watson K</v>
          </cell>
        </row>
        <row r="56">
          <cell r="C56" t="str">
            <v>Component Ideal Liquid Volume Flow</v>
          </cell>
        </row>
        <row r="57">
          <cell r="C57" t="str">
            <v>Component Ideal Liquid Volume Fraction</v>
          </cell>
        </row>
        <row r="58">
          <cell r="C58" t="str">
            <v>Component Mass Flow</v>
          </cell>
        </row>
        <row r="59">
          <cell r="C59" t="str">
            <v>Component Mass Fraction</v>
          </cell>
        </row>
        <row r="60">
          <cell r="C60" t="str">
            <v>Component Molar Flow</v>
          </cell>
        </row>
        <row r="61">
          <cell r="C61" t="str">
            <v>Component Molar Fraction</v>
          </cell>
        </row>
        <row r="62">
          <cell r="C62" t="str">
            <v>Name</v>
          </cell>
        </row>
        <row r="63">
          <cell r="C63" t="str">
            <v>Unique ID</v>
          </cell>
        </row>
        <row r="64">
          <cell r="C64" t="str">
            <v>Tagged Name</v>
          </cell>
        </row>
        <row r="65">
          <cell r="C65" t="str">
            <v>Type Name</v>
          </cell>
        </row>
        <row r="66">
          <cell r="C66" t="str">
            <v>Visible Type Name</v>
          </cell>
        </row>
        <row r="67">
          <cell r="C67" t="str">
            <v>Is Valid</v>
          </cell>
        </row>
        <row r="68">
          <cell r="C68" t="str">
            <v>Is At Equilibrium</v>
          </cell>
        </row>
      </sheetData>
      <sheetData sheetId="5"/>
      <sheetData sheetId="6"/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Tables"/>
      <sheetName val="Summary"/>
      <sheetName val="PList by Contractors"/>
      <sheetName val="Overall Families"/>
      <sheetName val="CLEARING STATUS"/>
      <sheetName val="REM. AREA BY GROUPS"/>
      <sheetName val="BUILDING"/>
      <sheetName val="PTJ"/>
      <sheetName val="UEC"/>
      <sheetName val="CGE"/>
      <sheetName val="EME"/>
      <sheetName val="090_Punch List Item"/>
      <sheetName val="MCWD"/>
      <sheetName val="Sheet1"/>
      <sheetName val="VARIABLES"/>
    </sheetNames>
    <sheetDataSet>
      <sheetData sheetId="0">
        <row r="28">
          <cell r="A28" t="str">
            <v>EMPTY</v>
          </cell>
        </row>
        <row r="32">
          <cell r="A32" t="str">
            <v>EMPTY</v>
          </cell>
        </row>
        <row r="33">
          <cell r="A33" t="str">
            <v>ActuatedValve</v>
          </cell>
        </row>
        <row r="34">
          <cell r="A34" t="str">
            <v>Arch</v>
          </cell>
        </row>
        <row r="35">
          <cell r="A35" t="str">
            <v>AtexSubItems</v>
          </cell>
        </row>
        <row r="36">
          <cell r="A36" t="str">
            <v>CableRoutes</v>
          </cell>
        </row>
        <row r="37">
          <cell r="A37" t="str">
            <v>Cables</v>
          </cell>
        </row>
        <row r="38">
          <cell r="A38" t="str">
            <v>Civil</v>
          </cell>
        </row>
        <row r="39">
          <cell r="A39" t="str">
            <v>Coat&amp;Paint</v>
          </cell>
        </row>
        <row r="40">
          <cell r="A40" t="str">
            <v>ElecLoads</v>
          </cell>
        </row>
        <row r="41">
          <cell r="A41" t="str">
            <v>Equip</v>
          </cell>
        </row>
        <row r="42">
          <cell r="A42" t="str">
            <v>FireAndGas</v>
          </cell>
        </row>
        <row r="43">
          <cell r="A43" t="str">
            <v>HandValve</v>
          </cell>
        </row>
        <row r="44">
          <cell r="A44" t="str">
            <v>HvacDuct</v>
          </cell>
        </row>
        <row r="45">
          <cell r="A45" t="str">
            <v>Instr</v>
          </cell>
        </row>
        <row r="46">
          <cell r="A46" t="str">
            <v>Joints</v>
          </cell>
        </row>
        <row r="47">
          <cell r="A47" t="str">
            <v>LineAccessories</v>
          </cell>
        </row>
        <row r="48">
          <cell r="A48" t="str">
            <v>Loops</v>
          </cell>
        </row>
        <row r="49">
          <cell r="A49" t="str">
            <v>Pipelines</v>
          </cell>
        </row>
        <row r="50">
          <cell r="A50" t="str">
            <v>PipingLines</v>
          </cell>
        </row>
        <row r="51">
          <cell r="A51" t="str">
            <v>PipingSupports</v>
          </cell>
        </row>
        <row r="52">
          <cell r="A52" t="str">
            <v>Struct</v>
          </cell>
        </row>
        <row r="53">
          <cell r="A53" t="str">
            <v>SwitchPanelBox</v>
          </cell>
        </row>
        <row r="54">
          <cell r="A54" t="str">
            <v>Telecom</v>
          </cell>
        </row>
        <row r="55">
          <cell r="A55" t="str">
            <v>TelecomCables</v>
          </cell>
        </row>
        <row r="56">
          <cell r="A56" t="str">
            <v>TelecSubSys</v>
          </cell>
        </row>
        <row r="57">
          <cell r="A57" t="str">
            <v>TestPacks</v>
          </cell>
        </row>
        <row r="58">
          <cell r="A58" t="str">
            <v>Valves</v>
          </cell>
        </row>
        <row r="62">
          <cell r="A62" t="str">
            <v>EMPTY</v>
          </cell>
        </row>
        <row r="63">
          <cell r="A63" t="str">
            <v>A</v>
          </cell>
        </row>
        <row r="64">
          <cell r="A64" t="str">
            <v>B</v>
          </cell>
        </row>
        <row r="65">
          <cell r="A65" t="str">
            <v>C</v>
          </cell>
        </row>
        <row r="69">
          <cell r="A69" t="str">
            <v>EMPTY</v>
          </cell>
        </row>
        <row r="70">
          <cell r="A70" t="str">
            <v>CGV</v>
          </cell>
        </row>
        <row r="71">
          <cell r="A71" t="str">
            <v>EGT</v>
          </cell>
        </row>
        <row r="72">
          <cell r="A72" t="str">
            <v>ELC</v>
          </cell>
        </row>
        <row r="73">
          <cell r="A73" t="str">
            <v>EME</v>
          </cell>
        </row>
        <row r="74">
          <cell r="A74" t="str">
            <v>ICAT</v>
          </cell>
        </row>
        <row r="75">
          <cell r="A75" t="str">
            <v>MAT</v>
          </cell>
        </row>
        <row r="76">
          <cell r="A76" t="str">
            <v>PSUP</v>
          </cell>
        </row>
        <row r="77">
          <cell r="A77" t="str">
            <v>PTJ</v>
          </cell>
        </row>
        <row r="78">
          <cell r="A78" t="str">
            <v>QAQC</v>
          </cell>
        </row>
        <row r="79">
          <cell r="A79" t="str">
            <v>SEE</v>
          </cell>
        </row>
        <row r="80">
          <cell r="A80" t="str">
            <v>UEC</v>
          </cell>
        </row>
        <row r="84">
          <cell r="A84" t="str">
            <v>EMPTY</v>
          </cell>
        </row>
        <row r="85">
          <cell r="A85" t="str">
            <v>CCWD</v>
          </cell>
        </row>
        <row r="86">
          <cell r="A86" t="str">
            <v>CON</v>
          </cell>
        </row>
        <row r="87">
          <cell r="A87" t="str">
            <v>ENG</v>
          </cell>
        </row>
        <row r="88">
          <cell r="A88" t="str">
            <v>FAT</v>
          </cell>
        </row>
        <row r="89">
          <cell r="A89" t="str">
            <v>ICAT</v>
          </cell>
        </row>
        <row r="90">
          <cell r="A90" t="str">
            <v>MAT</v>
          </cell>
        </row>
        <row r="91">
          <cell r="A91" t="str">
            <v>MC</v>
          </cell>
        </row>
        <row r="92">
          <cell r="A92" t="str">
            <v>MCWD</v>
          </cell>
        </row>
        <row r="93">
          <cell r="A93" t="str">
            <v>QAQC</v>
          </cell>
        </row>
        <row r="97">
          <cell r="A97" t="str">
            <v>EMPTY</v>
          </cell>
        </row>
        <row r="98">
          <cell r="A98" t="str">
            <v>N</v>
          </cell>
        </row>
        <row r="99">
          <cell r="A99" t="str">
            <v>Y</v>
          </cell>
        </row>
        <row r="103">
          <cell r="A103" t="str">
            <v>EMPTY</v>
          </cell>
        </row>
        <row r="104">
          <cell r="A104" t="str">
            <v>YARD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C5" t="str">
            <v>26/03/2018</v>
          </cell>
        </row>
        <row r="8">
          <cell r="C8" t="str">
            <v>25/03/2018</v>
          </cell>
        </row>
        <row r="9">
          <cell r="C9" t="str">
            <v>26/03/2018</v>
          </cell>
        </row>
        <row r="10">
          <cell r="C10" t="str">
            <v>27/03/2018</v>
          </cell>
        </row>
        <row r="11">
          <cell r="C11" t="str">
            <v>28/03/2018</v>
          </cell>
        </row>
        <row r="12">
          <cell r="C12" t="str">
            <v>29/03/2018</v>
          </cell>
        </row>
        <row r="13">
          <cell r="C13" t="str">
            <v>30/03/2018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 LIST Cover"/>
      <sheetName val="ITEM LIST  SH 2"/>
      <sheetName val="ITEM LIST  SH 3"/>
      <sheetName val="ITEM LIST  SH 4"/>
      <sheetName val="ITEM LIST  SH 5"/>
      <sheetName val="ITEM_LIST_Cover"/>
      <sheetName val="ITEM_LIST__SH_2"/>
      <sheetName val="ITEM_LIST__SH_3"/>
      <sheetName val="ITEM_LIST__SH_4"/>
      <sheetName val="ITEM_LIST__SH_5"/>
      <sheetName val="#REF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SRU &amp; TGTU - SOR CASE"/>
      <sheetName val="Settings"/>
      <sheetName val="PropSets"/>
      <sheetName val="Output Template"/>
      <sheetName val="Comparison Output Template"/>
    </sheetNames>
    <sheetDataSet>
      <sheetData sheetId="0" refreshError="1"/>
      <sheetData sheetId="1" refreshError="1"/>
      <sheetData sheetId="2">
        <row r="24">
          <cell r="A24" t="str">
            <v>(Ideal) Liquid Volume Flow</v>
          </cell>
          <cell r="B24" t="str">
            <v>(Ideal) Liquid Volume Flow</v>
          </cell>
        </row>
        <row r="25">
          <cell r="A25" t="str">
            <v>Actual Gas Flow</v>
          </cell>
          <cell r="B25" t="str">
            <v>Actual Gas Flow</v>
          </cell>
        </row>
        <row r="26">
          <cell r="A26" t="str">
            <v>Actual Liquid Flow</v>
          </cell>
          <cell r="B26" t="str">
            <v>Actual Volume Flow</v>
          </cell>
        </row>
        <row r="27">
          <cell r="A27" t="str">
            <v>Actual Volume Flow</v>
          </cell>
          <cell r="B27" t="str">
            <v>Compressibility</v>
          </cell>
        </row>
        <row r="28">
          <cell r="A28" t="str">
            <v>Avg Liq Density</v>
          </cell>
          <cell r="B28" t="str">
            <v>Cp/Cv (Gamma)</v>
          </cell>
        </row>
        <row r="29">
          <cell r="A29" t="str">
            <v>Compressibility</v>
          </cell>
          <cell r="B29" t="str">
            <v>Heat Flow</v>
          </cell>
        </row>
        <row r="30">
          <cell r="A30" t="str">
            <v>Cp/Cv (Gamma)</v>
          </cell>
          <cell r="B30" t="str">
            <v>Kinematic Viscosity</v>
          </cell>
        </row>
        <row r="31">
          <cell r="A31" t="str">
            <v>Heat Flow</v>
          </cell>
          <cell r="B31" t="str">
            <v>Mass Density</v>
          </cell>
        </row>
        <row r="32">
          <cell r="A32" t="str">
            <v>Heat Of Vapourisation</v>
          </cell>
          <cell r="B32" t="str">
            <v>Mass Enthalpy</v>
          </cell>
        </row>
        <row r="33">
          <cell r="A33" t="str">
            <v>Heavy Liquid Fraction</v>
          </cell>
          <cell r="B33" t="str">
            <v>Mass Entropy</v>
          </cell>
        </row>
        <row r="34">
          <cell r="A34" t="str">
            <v>Kinematic Viscosity</v>
          </cell>
          <cell r="B34" t="str">
            <v>Mass Flow</v>
          </cell>
        </row>
        <row r="35">
          <cell r="A35" t="str">
            <v>Light Liquid Fraction</v>
          </cell>
          <cell r="B35" t="str">
            <v>Mass Heat Capacity</v>
          </cell>
        </row>
        <row r="36">
          <cell r="A36" t="str">
            <v>Liquid Fraction</v>
          </cell>
          <cell r="B36" t="str">
            <v>Molar Density</v>
          </cell>
        </row>
        <row r="37">
          <cell r="A37" t="str">
            <v>Lower Heat Value</v>
          </cell>
          <cell r="B37" t="str">
            <v>Molar Enthalpy</v>
          </cell>
        </row>
        <row r="38">
          <cell r="A38" t="str">
            <v>Mass Density</v>
          </cell>
          <cell r="B38" t="str">
            <v>Molar Entropy</v>
          </cell>
        </row>
        <row r="39">
          <cell r="A39" t="str">
            <v>Mass Enthalpy</v>
          </cell>
          <cell r="B39" t="str">
            <v>Molar Flow</v>
          </cell>
        </row>
        <row r="40">
          <cell r="A40" t="str">
            <v>Mass Entropy</v>
          </cell>
          <cell r="B40" t="str">
            <v>Molar Heat Capacity</v>
          </cell>
        </row>
        <row r="41">
          <cell r="A41" t="str">
            <v>Mass Flow</v>
          </cell>
          <cell r="B41" t="str">
            <v>Molar Volume</v>
          </cell>
        </row>
        <row r="42">
          <cell r="A42" t="str">
            <v>Mass Heat Capacity</v>
          </cell>
          <cell r="B42" t="str">
            <v>Molecular Weight</v>
          </cell>
        </row>
        <row r="43">
          <cell r="A43" t="str">
            <v>Mass Heat Of Vapourisation</v>
          </cell>
          <cell r="B43" t="str">
            <v>Pseudo Critical Pressure</v>
          </cell>
        </row>
        <row r="44">
          <cell r="A44" t="str">
            <v>Mass Lower Heating Value</v>
          </cell>
          <cell r="B44" t="str">
            <v>Pseudo Critical Temperature</v>
          </cell>
        </row>
        <row r="45">
          <cell r="A45" t="str">
            <v>Molar Density</v>
          </cell>
          <cell r="B45" t="str">
            <v>Pseudo Critical Volume</v>
          </cell>
        </row>
        <row r="46">
          <cell r="A46" t="str">
            <v>Molar Enthalpy</v>
          </cell>
          <cell r="B46" t="str">
            <v>Pressure</v>
          </cell>
        </row>
        <row r="47">
          <cell r="A47" t="str">
            <v>Molar Entropy</v>
          </cell>
          <cell r="B47" t="str">
            <v>SG Air</v>
          </cell>
        </row>
        <row r="48">
          <cell r="A48" t="str">
            <v>Molar Flow</v>
          </cell>
          <cell r="B48" t="str">
            <v>Std Gas Flow</v>
          </cell>
        </row>
        <row r="49">
          <cell r="A49" t="str">
            <v>Molar Heat Capacity</v>
          </cell>
          <cell r="B49" t="str">
            <v>Std Liquid Mass Density</v>
          </cell>
        </row>
        <row r="50">
          <cell r="A50" t="str">
            <v>Molar Volume</v>
          </cell>
          <cell r="B50" t="str">
            <v>Std Liquid Vol Flow</v>
          </cell>
        </row>
        <row r="51">
          <cell r="A51" t="str">
            <v>Molecular Weight</v>
          </cell>
          <cell r="B51" t="str">
            <v>Temperature</v>
          </cell>
        </row>
        <row r="52">
          <cell r="A52" t="str">
            <v>Pseudo Critical Pressure</v>
          </cell>
          <cell r="B52" t="str">
            <v>Thermal Conductivity</v>
          </cell>
        </row>
        <row r="53">
          <cell r="A53" t="str">
            <v>Pseudo Critical Temperature</v>
          </cell>
          <cell r="B53" t="str">
            <v>Viscosity</v>
          </cell>
        </row>
        <row r="54">
          <cell r="A54" t="str">
            <v>Pseudo Critical Volume</v>
          </cell>
          <cell r="B54" t="str">
            <v>Watson K</v>
          </cell>
        </row>
        <row r="55">
          <cell r="A55" t="str">
            <v>Power</v>
          </cell>
          <cell r="B55" t="str">
            <v>Component Ideal Liquid Volume Flow</v>
          </cell>
        </row>
        <row r="56">
          <cell r="A56" t="str">
            <v>Pressure</v>
          </cell>
          <cell r="B56" t="str">
            <v>Component Ideal Liquid Volume Fraction</v>
          </cell>
        </row>
        <row r="57">
          <cell r="A57" t="str">
            <v>Pressure CO2</v>
          </cell>
          <cell r="B57" t="str">
            <v>Component Mass Flow</v>
          </cell>
        </row>
        <row r="58">
          <cell r="A58" t="str">
            <v>SG Air</v>
          </cell>
          <cell r="B58" t="str">
            <v>Component Mass Fraction</v>
          </cell>
        </row>
        <row r="59">
          <cell r="A59" t="str">
            <v>Std Gas Flow</v>
          </cell>
          <cell r="B59" t="str">
            <v>Component Molar Flow</v>
          </cell>
        </row>
        <row r="60">
          <cell r="A60" t="str">
            <v>Std Liquid Mass Density</v>
          </cell>
          <cell r="B60" t="str">
            <v>Component Molar Fraction</v>
          </cell>
        </row>
        <row r="61">
          <cell r="A61" t="str">
            <v>Std Liquid Vol Flow</v>
          </cell>
          <cell r="B61" t="str">
            <v>Name</v>
          </cell>
        </row>
        <row r="62">
          <cell r="A62" t="str">
            <v>Surface Tension</v>
          </cell>
          <cell r="B62" t="str">
            <v>Unique ID</v>
          </cell>
        </row>
        <row r="63">
          <cell r="A63" t="str">
            <v>Temperature</v>
          </cell>
          <cell r="B63" t="str">
            <v>Tagged Name</v>
          </cell>
        </row>
        <row r="64">
          <cell r="A64" t="str">
            <v>Thermal Conductivity</v>
          </cell>
          <cell r="B64" t="str">
            <v>Type Name</v>
          </cell>
        </row>
        <row r="65">
          <cell r="A65" t="str">
            <v>Vapour Fraction</v>
          </cell>
          <cell r="B65" t="str">
            <v>Visible Type Name</v>
          </cell>
        </row>
        <row r="66">
          <cell r="A66" t="str">
            <v>Viscosity</v>
          </cell>
          <cell r="B66" t="str">
            <v>Is Valid</v>
          </cell>
        </row>
        <row r="67">
          <cell r="A67" t="str">
            <v>Watson K</v>
          </cell>
          <cell r="B67" t="str">
            <v>Is At Equilibrium</v>
          </cell>
        </row>
        <row r="68">
          <cell r="A68" t="str">
            <v>Component Mass Flow</v>
          </cell>
        </row>
        <row r="69">
          <cell r="A69" t="str">
            <v>Component Mass Fraction</v>
          </cell>
        </row>
        <row r="70">
          <cell r="A70" t="str">
            <v>Component Molar Flow</v>
          </cell>
        </row>
        <row r="71">
          <cell r="A71" t="str">
            <v>Component Molar Fraction</v>
          </cell>
        </row>
        <row r="72">
          <cell r="A72" t="str">
            <v>Component Volume Flow</v>
          </cell>
        </row>
        <row r="73">
          <cell r="A73" t="str">
            <v>Component Volume Fraction</v>
          </cell>
        </row>
        <row r="74">
          <cell r="A74" t="str">
            <v>Name</v>
          </cell>
        </row>
        <row r="75">
          <cell r="A75" t="str">
            <v>Unique ID</v>
          </cell>
        </row>
        <row r="76">
          <cell r="A76" t="str">
            <v>Tagged Name</v>
          </cell>
        </row>
        <row r="77">
          <cell r="A77" t="str">
            <v>Type Name</v>
          </cell>
        </row>
        <row r="78">
          <cell r="A78" t="str">
            <v>Visible Type Name</v>
          </cell>
        </row>
        <row r="79">
          <cell r="A79" t="str">
            <v>Is Valid</v>
          </cell>
        </row>
        <row r="80">
          <cell r="A80" t="str">
            <v>Is Energy Stream</v>
          </cell>
        </row>
      </sheetData>
      <sheetData sheetId="3"/>
      <sheetData sheetId="4" refreshError="1"/>
      <sheetData sheetId="5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0"/>
    </sheetNames>
    <sheetDataSet>
      <sheetData sheetId="0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PS"/>
      <sheetName val="Detailed status Leak Tests"/>
      <sheetName val="Construction Readiness P55 S21"/>
      <sheetName val="search"/>
      <sheetName val="Construction Readiness P75"/>
      <sheetName val="Construction Readiness P02"/>
      <sheetName val="Construction Readiness p70"/>
      <sheetName val="Construction Readiness t7 tot"/>
      <sheetName val="Sheet3"/>
      <sheetName val="Construction Readiness t5"/>
      <sheetName val="Construction Readiness t6"/>
      <sheetName val="Construction Readiness Opp"/>
      <sheetName val="Sheet2"/>
    </sheetNames>
    <sheetDataSet>
      <sheetData sheetId="0">
        <row r="3">
          <cell r="R3">
            <v>9</v>
          </cell>
        </row>
      </sheetData>
      <sheetData sheetId="1"/>
      <sheetData sheetId="2"/>
      <sheetData sheetId="3"/>
      <sheetData sheetId="4">
        <row r="7">
          <cell r="AB7">
            <v>8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Sheet"/>
      <sheetName val="Revisions Sheet A4"/>
      <sheetName val="Datasheet"/>
    </sheetNames>
    <sheetDataSet>
      <sheetData sheetId="0"/>
      <sheetData sheetId="1"/>
      <sheetData sheetId="2">
        <row r="1">
          <cell r="A1" t="str">
            <v xml:space="preserve"> </v>
          </cell>
        </row>
        <row r="2">
          <cell r="M2" t="str">
            <v>Diesel filter/coalescers</v>
          </cell>
        </row>
        <row r="25">
          <cell r="E25" t="str">
            <v>DESIGN DATA</v>
          </cell>
        </row>
        <row r="26">
          <cell r="E26" t="str">
            <v>Code</v>
          </cell>
          <cell r="L26" t="str">
            <v>ASME VIII</v>
          </cell>
        </row>
        <row r="27">
          <cell r="E27" t="str">
            <v>Code Stamp</v>
          </cell>
          <cell r="L27" t="str">
            <v>Yes</v>
          </cell>
          <cell r="R27" t="str">
            <v>No</v>
          </cell>
        </row>
        <row r="28">
          <cell r="E28" t="str">
            <v>Oper Pressure (Int)</v>
          </cell>
          <cell r="K28">
            <v>3.6</v>
          </cell>
          <cell r="M28" t="str">
            <v>bar g @</v>
          </cell>
          <cell r="P28">
            <v>50</v>
          </cell>
          <cell r="S28" t="str">
            <v>°C</v>
          </cell>
        </row>
        <row r="29">
          <cell r="E29" t="str">
            <v>Steam Out Conditions</v>
          </cell>
          <cell r="K29" t="str">
            <v>NA</v>
          </cell>
          <cell r="M29" t="str">
            <v>bar g @</v>
          </cell>
          <cell r="P29" t="str">
            <v>NA</v>
          </cell>
          <cell r="S29" t="str">
            <v>°C</v>
          </cell>
        </row>
        <row r="30">
          <cell r="E30" t="str">
            <v>Des. Pressure  (Int)</v>
          </cell>
          <cell r="K30">
            <v>4.5</v>
          </cell>
          <cell r="M30" t="str">
            <v>bar g @</v>
          </cell>
          <cell r="P30">
            <v>100</v>
          </cell>
          <cell r="S30" t="str">
            <v>°C</v>
          </cell>
        </row>
        <row r="31">
          <cell r="E31" t="str">
            <v>Des. Pressure  (Ext)</v>
          </cell>
          <cell r="M31" t="str">
            <v>bar g @</v>
          </cell>
          <cell r="S31" t="str">
            <v>°C</v>
          </cell>
        </row>
        <row r="32">
          <cell r="E32" t="str">
            <v>Minimum Des. Temp</v>
          </cell>
          <cell r="K32">
            <v>-40</v>
          </cell>
          <cell r="M32" t="str">
            <v>°C @</v>
          </cell>
          <cell r="P32" t="str">
            <v>FV</v>
          </cell>
          <cell r="S32" t="str">
            <v>bar g</v>
          </cell>
        </row>
        <row r="33">
          <cell r="E33" t="str">
            <v>Fluids:</v>
          </cell>
          <cell r="H33" t="str">
            <v>Gas Flow</v>
          </cell>
          <cell r="K33" t="str">
            <v>NA</v>
          </cell>
          <cell r="M33" t="str">
            <v>kg/hr</v>
          </cell>
          <cell r="O33" t="str">
            <v>Density @ Cond.</v>
          </cell>
          <cell r="S33" t="str">
            <v>kg/m3</v>
          </cell>
        </row>
        <row r="34">
          <cell r="H34" t="str">
            <v>Liq Flow</v>
          </cell>
          <cell r="K34">
            <v>6800</v>
          </cell>
          <cell r="M34" t="str">
            <v>kg/hr</v>
          </cell>
          <cell r="O34" t="str">
            <v>Density @ Cond.</v>
          </cell>
          <cell r="R34">
            <v>850</v>
          </cell>
          <cell r="S34" t="str">
            <v>kg/m3</v>
          </cell>
        </row>
        <row r="35">
          <cell r="H35" t="str">
            <v>Water Flow</v>
          </cell>
          <cell r="K35">
            <v>10</v>
          </cell>
          <cell r="M35" t="str">
            <v>kg/hr</v>
          </cell>
          <cell r="O35" t="str">
            <v>Density @ Cond.</v>
          </cell>
          <cell r="R35">
            <v>998</v>
          </cell>
          <cell r="S35" t="str">
            <v>kg/m3</v>
          </cell>
        </row>
        <row r="36">
          <cell r="E36" t="str">
            <v>Stress Relieve</v>
          </cell>
          <cell r="L36" t="str">
            <v>Yes</v>
          </cell>
          <cell r="R36" t="str">
            <v>No</v>
          </cell>
          <cell r="S36" t="str">
            <v>&lt;</v>
          </cell>
        </row>
        <row r="37">
          <cell r="E37" t="str">
            <v>Corrosive Service</v>
          </cell>
          <cell r="L37" t="str">
            <v>Yes</v>
          </cell>
          <cell r="R37" t="str">
            <v>No</v>
          </cell>
          <cell r="S37" t="str">
            <v>&lt;</v>
          </cell>
        </row>
        <row r="38">
          <cell r="E38" t="str">
            <v>NACE MR-01-75</v>
          </cell>
          <cell r="L38" t="str">
            <v>Yes</v>
          </cell>
          <cell r="R38" t="str">
            <v>No</v>
          </cell>
        </row>
        <row r="39">
          <cell r="E39" t="str">
            <v>Corros'n Allow./Lining</v>
          </cell>
          <cell r="R39">
            <v>1.5</v>
          </cell>
          <cell r="S39" t="str">
            <v>mm</v>
          </cell>
        </row>
        <row r="40">
          <cell r="E40" t="str">
            <v>Insulation</v>
          </cell>
          <cell r="L40" t="str">
            <v>Yes</v>
          </cell>
          <cell r="R40" t="str">
            <v>No</v>
          </cell>
        </row>
        <row r="41">
          <cell r="E41" t="str">
            <v>Insulation Thickness</v>
          </cell>
          <cell r="S41" t="str">
            <v>mm</v>
          </cell>
        </row>
        <row r="42">
          <cell r="E42" t="str">
            <v>Fireproofing(Shell)</v>
          </cell>
          <cell r="L42" t="str">
            <v>Yes</v>
          </cell>
          <cell r="R42" t="str">
            <v>No</v>
          </cell>
        </row>
        <row r="43">
          <cell r="H43" t="str">
            <v>Shell</v>
          </cell>
          <cell r="K43" t="str">
            <v>LTCS</v>
          </cell>
        </row>
        <row r="44">
          <cell r="H44" t="str">
            <v>Heads</v>
          </cell>
          <cell r="K44" t="str">
            <v>LTCS</v>
          </cell>
        </row>
        <row r="45">
          <cell r="H45" t="str">
            <v>Internals</v>
          </cell>
          <cell r="K45" t="str">
            <v>LTCS</v>
          </cell>
        </row>
        <row r="46">
          <cell r="H46" t="str">
            <v>Trays</v>
          </cell>
          <cell r="K46" t="str">
            <v>NA</v>
          </cell>
        </row>
        <row r="47">
          <cell r="H47" t="str">
            <v>Distributors</v>
          </cell>
          <cell r="K47" t="str">
            <v>LTCS</v>
          </cell>
        </row>
        <row r="48">
          <cell r="H48" t="str">
            <v>Baffles</v>
          </cell>
          <cell r="K48" t="str">
            <v>NA</v>
          </cell>
        </row>
        <row r="49">
          <cell r="H49" t="str">
            <v>Mesh Pad</v>
          </cell>
          <cell r="K49" t="str">
            <v>NA</v>
          </cell>
        </row>
        <row r="50">
          <cell r="H50" t="str">
            <v>Other</v>
          </cell>
        </row>
        <row r="51">
          <cell r="E51" t="str">
            <v>Notes:</v>
          </cell>
        </row>
        <row r="52">
          <cell r="F52" t="str">
            <v>1. Materials to be confirmed at next revision.</v>
          </cell>
        </row>
        <row r="53">
          <cell r="F53" t="str">
            <v>2. Pressure drop across the coalescer is 0.3 bar for clean service and 0.7 bar for dirty service</v>
          </cell>
        </row>
        <row r="54">
          <cell r="F54" t="str">
            <v>3. Filter/coalescer to remove all solid and liquid particles &gt;10 microns</v>
          </cell>
        </row>
        <row r="55">
          <cell r="F55" t="str">
            <v>4. Filter/coalescer required to provide &lt; 50ppm free water in outlet.</v>
          </cell>
        </row>
        <row r="56">
          <cell r="F56" t="str">
            <v>5. Reference Diesel fuel filter coalescer process specification for further information.</v>
          </cell>
        </row>
        <row r="57">
          <cell r="G57" t="str">
            <v>KE01.A1.430.KD.R.SP.0007.000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-Ground MC Dates"/>
      <sheetName val="On-Ground MC Skyline"/>
      <sheetName val="Integration MC Dates"/>
      <sheetName val="Integration MC Skyline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Tables"/>
      <sheetName val="TAGS &amp; PERIORITY"/>
      <sheetName val="summary"/>
    </sheetNames>
    <sheetDataSet>
      <sheetData sheetId="0">
        <row r="14260">
          <cell r="A14260" t="str">
            <v>EMPTY</v>
          </cell>
        </row>
        <row r="14261">
          <cell r="A14261" t="str">
            <v>A</v>
          </cell>
        </row>
        <row r="14262">
          <cell r="A14262" t="str">
            <v>B</v>
          </cell>
        </row>
        <row r="14263">
          <cell r="A14263" t="str">
            <v>C</v>
          </cell>
        </row>
        <row r="14264">
          <cell r="A14264" t="str">
            <v>D</v>
          </cell>
        </row>
        <row r="14265">
          <cell r="A14265" t="str">
            <v>E</v>
          </cell>
        </row>
        <row r="14266">
          <cell r="A14266" t="str">
            <v>F</v>
          </cell>
        </row>
        <row r="14267">
          <cell r="A14267" t="str">
            <v>G</v>
          </cell>
        </row>
        <row r="14268">
          <cell r="A14268" t="str">
            <v>H</v>
          </cell>
        </row>
        <row r="14269">
          <cell r="A14269" t="str">
            <v>I</v>
          </cell>
        </row>
        <row r="14270">
          <cell r="A14270" t="str">
            <v>J</v>
          </cell>
        </row>
        <row r="14271">
          <cell r="A14271" t="str">
            <v>K</v>
          </cell>
        </row>
        <row r="14272">
          <cell r="A14272" t="str">
            <v>L</v>
          </cell>
        </row>
        <row r="14273">
          <cell r="A14273" t="str">
            <v>M</v>
          </cell>
        </row>
        <row r="14274">
          <cell r="A14274" t="str">
            <v>N</v>
          </cell>
        </row>
        <row r="14275">
          <cell r="A14275" t="str">
            <v>O</v>
          </cell>
        </row>
        <row r="14276">
          <cell r="A14276" t="str">
            <v>P</v>
          </cell>
        </row>
        <row r="14277">
          <cell r="A14277" t="str">
            <v>Q</v>
          </cell>
        </row>
        <row r="14278">
          <cell r="A14278" t="str">
            <v>R</v>
          </cell>
        </row>
        <row r="14279">
          <cell r="A14279" t="str">
            <v>S</v>
          </cell>
        </row>
        <row r="14280">
          <cell r="A14280" t="str">
            <v>T</v>
          </cell>
        </row>
        <row r="14281">
          <cell r="A14281" t="str">
            <v>U</v>
          </cell>
        </row>
        <row r="14282">
          <cell r="A14282" t="str">
            <v>V</v>
          </cell>
        </row>
        <row r="14283">
          <cell r="A14283" t="str">
            <v>W</v>
          </cell>
        </row>
        <row r="14284">
          <cell r="A14284" t="str">
            <v>X</v>
          </cell>
        </row>
        <row r="14285">
          <cell r="A14285" t="str">
            <v>Y</v>
          </cell>
        </row>
        <row r="14286">
          <cell r="A14286" t="str">
            <v>Z</v>
          </cell>
        </row>
        <row r="16217">
          <cell r="A16217" t="str">
            <v>EMPTY</v>
          </cell>
        </row>
        <row r="16218">
          <cell r="A16218" t="str">
            <v>H</v>
          </cell>
        </row>
        <row r="16219">
          <cell r="A16219" t="str">
            <v>S</v>
          </cell>
        </row>
        <row r="16220">
          <cell r="A16220" t="str">
            <v>V</v>
          </cell>
        </row>
        <row r="141437">
          <cell r="A141437" t="str">
            <v>EMPTY</v>
          </cell>
        </row>
        <row r="141438">
          <cell r="A141438" t="str">
            <v>190</v>
          </cell>
        </row>
        <row r="141439">
          <cell r="A141439" t="str">
            <v>195</v>
          </cell>
        </row>
        <row r="141440">
          <cell r="A141440" t="str">
            <v>199</v>
          </cell>
        </row>
        <row r="141441">
          <cell r="A141441" t="str">
            <v>200</v>
          </cell>
        </row>
        <row r="141442">
          <cell r="A141442" t="str">
            <v>210</v>
          </cell>
        </row>
        <row r="141443">
          <cell r="A141443" t="str">
            <v>230</v>
          </cell>
        </row>
        <row r="141444">
          <cell r="A141444" t="str">
            <v>330</v>
          </cell>
        </row>
        <row r="141445">
          <cell r="A141445" t="str">
            <v>331</v>
          </cell>
        </row>
        <row r="141446">
          <cell r="A141446" t="str">
            <v>332</v>
          </cell>
        </row>
        <row r="141447">
          <cell r="A141447" t="str">
            <v>333</v>
          </cell>
        </row>
        <row r="141448">
          <cell r="A141448" t="str">
            <v>334</v>
          </cell>
        </row>
        <row r="141449">
          <cell r="A141449" t="str">
            <v>340</v>
          </cell>
        </row>
        <row r="141450">
          <cell r="A141450" t="str">
            <v>360</v>
          </cell>
        </row>
        <row r="141451">
          <cell r="A141451" t="str">
            <v>390</v>
          </cell>
        </row>
        <row r="141452">
          <cell r="A141452" t="str">
            <v>410</v>
          </cell>
        </row>
        <row r="141453">
          <cell r="A141453" t="str">
            <v>420</v>
          </cell>
        </row>
        <row r="141454">
          <cell r="A141454" t="str">
            <v>430</v>
          </cell>
        </row>
        <row r="141455">
          <cell r="A141455" t="str">
            <v>460</v>
          </cell>
        </row>
        <row r="141456">
          <cell r="A141456" t="str">
            <v>470</v>
          </cell>
        </row>
        <row r="141457">
          <cell r="A141457" t="str">
            <v>480</v>
          </cell>
        </row>
        <row r="141458">
          <cell r="A141458" t="str">
            <v>500</v>
          </cell>
        </row>
        <row r="141459">
          <cell r="A141459" t="str">
            <v>520</v>
          </cell>
        </row>
        <row r="141460">
          <cell r="A141460" t="str">
            <v>522</v>
          </cell>
        </row>
        <row r="141461">
          <cell r="A141461" t="str">
            <v>525</v>
          </cell>
        </row>
        <row r="141462">
          <cell r="A141462" t="str">
            <v>530</v>
          </cell>
        </row>
        <row r="141463">
          <cell r="A141463" t="str">
            <v>540</v>
          </cell>
        </row>
        <row r="141464">
          <cell r="A141464" t="str">
            <v>550</v>
          </cell>
        </row>
        <row r="141465">
          <cell r="A141465" t="str">
            <v>556</v>
          </cell>
        </row>
        <row r="141466">
          <cell r="A141466" t="str">
            <v>565</v>
          </cell>
        </row>
        <row r="141467">
          <cell r="A141467" t="str">
            <v>570</v>
          </cell>
        </row>
        <row r="141468">
          <cell r="A141468" t="str">
            <v>600</v>
          </cell>
        </row>
        <row r="141469">
          <cell r="A141469" t="str">
            <v>630</v>
          </cell>
        </row>
        <row r="141470">
          <cell r="A141470" t="str">
            <v>647</v>
          </cell>
        </row>
        <row r="141471">
          <cell r="A141471" t="str">
            <v>660</v>
          </cell>
        </row>
        <row r="141472">
          <cell r="A141472" t="str">
            <v>675</v>
          </cell>
        </row>
        <row r="141473">
          <cell r="A141473" t="str">
            <v>680</v>
          </cell>
        </row>
        <row r="141474">
          <cell r="A141474" t="str">
            <v>690</v>
          </cell>
        </row>
        <row r="141475">
          <cell r="A141475" t="str">
            <v>699</v>
          </cell>
        </row>
        <row r="141476">
          <cell r="A141476" t="str">
            <v>700</v>
          </cell>
        </row>
        <row r="141477">
          <cell r="A141477" t="str">
            <v>710</v>
          </cell>
        </row>
        <row r="141478">
          <cell r="A141478" t="str">
            <v>730</v>
          </cell>
        </row>
        <row r="141479">
          <cell r="A141479" t="str">
            <v>740</v>
          </cell>
        </row>
        <row r="141480">
          <cell r="A141480" t="str">
            <v>760</v>
          </cell>
        </row>
        <row r="141481">
          <cell r="A141481" t="str">
            <v>900</v>
          </cell>
        </row>
        <row r="141482">
          <cell r="A141482" t="str">
            <v>907</v>
          </cell>
        </row>
        <row r="141483">
          <cell r="A141483" t="str">
            <v>910</v>
          </cell>
        </row>
        <row r="141484">
          <cell r="A141484" t="str">
            <v>915</v>
          </cell>
        </row>
        <row r="141485">
          <cell r="A141485" t="str">
            <v>920</v>
          </cell>
        </row>
        <row r="141486">
          <cell r="A141486" t="str">
            <v>930</v>
          </cell>
        </row>
        <row r="141487">
          <cell r="A141487" t="str">
            <v>940</v>
          </cell>
        </row>
        <row r="141488">
          <cell r="A141488" t="str">
            <v>945</v>
          </cell>
        </row>
        <row r="141489">
          <cell r="A141489" t="str">
            <v>960</v>
          </cell>
        </row>
        <row r="141490">
          <cell r="A141490" t="str">
            <v>970</v>
          </cell>
        </row>
        <row r="141491">
          <cell r="A141491" t="str">
            <v>980</v>
          </cell>
        </row>
        <row r="141564">
          <cell r="A141564" t="str">
            <v>EMPTY</v>
          </cell>
        </row>
        <row r="141565">
          <cell r="A141565" t="str">
            <v>10</v>
          </cell>
        </row>
        <row r="141566">
          <cell r="A141566" t="str">
            <v>11</v>
          </cell>
        </row>
        <row r="141567">
          <cell r="A141567" t="str">
            <v>1A</v>
          </cell>
        </row>
        <row r="141568">
          <cell r="A141568" t="str">
            <v>1ADD</v>
          </cell>
        </row>
        <row r="141569">
          <cell r="A141569" t="str">
            <v>1B</v>
          </cell>
        </row>
        <row r="141570">
          <cell r="A141570" t="str">
            <v>2</v>
          </cell>
        </row>
        <row r="141571">
          <cell r="A141571" t="str">
            <v>2ADD</v>
          </cell>
        </row>
        <row r="141572">
          <cell r="A141572" t="str">
            <v>3</v>
          </cell>
        </row>
        <row r="141573">
          <cell r="A141573" t="str">
            <v>3ADD</v>
          </cell>
        </row>
        <row r="141574">
          <cell r="A141574" t="str">
            <v>4</v>
          </cell>
        </row>
        <row r="141575">
          <cell r="A141575" t="str">
            <v>5</v>
          </cell>
        </row>
        <row r="141576">
          <cell r="A141576" t="str">
            <v>5ADD</v>
          </cell>
        </row>
        <row r="141577">
          <cell r="A141577" t="str">
            <v>6</v>
          </cell>
        </row>
        <row r="141578">
          <cell r="A141578" t="str">
            <v>6ADD</v>
          </cell>
        </row>
        <row r="141579">
          <cell r="A141579" t="str">
            <v>7</v>
          </cell>
        </row>
        <row r="141580">
          <cell r="A141580" t="str">
            <v>7ADD</v>
          </cell>
        </row>
        <row r="141581">
          <cell r="A141581" t="str">
            <v>8</v>
          </cell>
        </row>
        <row r="141582">
          <cell r="A141582" t="str">
            <v>8ADD</v>
          </cell>
        </row>
        <row r="141583">
          <cell r="A141583" t="str">
            <v>9</v>
          </cell>
        </row>
        <row r="141584">
          <cell r="A141584" t="str">
            <v>BWORK-123</v>
          </cell>
        </row>
        <row r="141585">
          <cell r="A141585" t="str">
            <v>BWORK-131</v>
          </cell>
        </row>
        <row r="141586">
          <cell r="A141586" t="str">
            <v>BWWORK-122</v>
          </cell>
        </row>
        <row r="141587">
          <cell r="A141587" t="str">
            <v>DCN 1111</v>
          </cell>
        </row>
        <row r="141588">
          <cell r="A141588" t="str">
            <v>DCN-02</v>
          </cell>
        </row>
        <row r="141589">
          <cell r="A141589" t="str">
            <v>DCN-03</v>
          </cell>
        </row>
        <row r="141590">
          <cell r="A141590" t="str">
            <v>DCN-04</v>
          </cell>
        </row>
        <row r="141591">
          <cell r="A141591" t="str">
            <v>DCN-05</v>
          </cell>
        </row>
        <row r="141592">
          <cell r="A141592" t="str">
            <v>DCN-06</v>
          </cell>
        </row>
        <row r="141593">
          <cell r="A141593" t="str">
            <v>DCN-07</v>
          </cell>
        </row>
        <row r="141594">
          <cell r="A141594" t="str">
            <v>DCN-08</v>
          </cell>
        </row>
        <row r="141595">
          <cell r="A141595" t="str">
            <v>DCN-10</v>
          </cell>
        </row>
        <row r="141596">
          <cell r="A141596" t="str">
            <v>DCN-100</v>
          </cell>
        </row>
        <row r="141597">
          <cell r="A141597" t="str">
            <v>DCN-101</v>
          </cell>
        </row>
        <row r="141598">
          <cell r="A141598" t="str">
            <v>DCN-102</v>
          </cell>
        </row>
        <row r="141599">
          <cell r="A141599" t="str">
            <v>DCN-103</v>
          </cell>
        </row>
        <row r="141600">
          <cell r="A141600" t="str">
            <v>DCN-104</v>
          </cell>
        </row>
        <row r="141601">
          <cell r="A141601" t="str">
            <v>DCN-107</v>
          </cell>
        </row>
        <row r="141602">
          <cell r="A141602" t="str">
            <v>DCN-109</v>
          </cell>
        </row>
        <row r="141603">
          <cell r="A141603" t="str">
            <v>DCN-11</v>
          </cell>
        </row>
        <row r="141604">
          <cell r="A141604" t="str">
            <v>DCN-110</v>
          </cell>
        </row>
        <row r="141605">
          <cell r="A141605" t="str">
            <v>DCN-111</v>
          </cell>
        </row>
        <row r="141606">
          <cell r="A141606" t="str">
            <v>DCN-112</v>
          </cell>
        </row>
        <row r="141607">
          <cell r="A141607" t="str">
            <v>DCN-114</v>
          </cell>
        </row>
        <row r="141608">
          <cell r="A141608" t="str">
            <v>DCN-116</v>
          </cell>
        </row>
        <row r="141609">
          <cell r="A141609" t="str">
            <v>DCN-117</v>
          </cell>
        </row>
        <row r="141610">
          <cell r="A141610" t="str">
            <v>DCN-118</v>
          </cell>
        </row>
        <row r="141611">
          <cell r="A141611" t="str">
            <v>DCN-119</v>
          </cell>
        </row>
        <row r="141612">
          <cell r="A141612" t="str">
            <v>DCN-12</v>
          </cell>
        </row>
        <row r="141613">
          <cell r="A141613" t="str">
            <v>DCN-120</v>
          </cell>
        </row>
        <row r="141614">
          <cell r="A141614" t="str">
            <v>DCN-121</v>
          </cell>
        </row>
        <row r="141615">
          <cell r="A141615" t="str">
            <v>DCN-124</v>
          </cell>
        </row>
        <row r="141616">
          <cell r="A141616" t="str">
            <v>DCN-125</v>
          </cell>
        </row>
        <row r="141617">
          <cell r="A141617" t="str">
            <v>DCN-126</v>
          </cell>
        </row>
        <row r="141618">
          <cell r="A141618" t="str">
            <v>DCN-127</v>
          </cell>
        </row>
        <row r="141619">
          <cell r="A141619" t="str">
            <v>DCN-128</v>
          </cell>
        </row>
        <row r="141620">
          <cell r="A141620" t="str">
            <v>DCN-129</v>
          </cell>
        </row>
        <row r="141621">
          <cell r="A141621" t="str">
            <v>DCN-130</v>
          </cell>
        </row>
        <row r="141622">
          <cell r="A141622" t="str">
            <v>DCN-131</v>
          </cell>
        </row>
        <row r="141623">
          <cell r="A141623" t="str">
            <v>DCN-133</v>
          </cell>
        </row>
        <row r="141624">
          <cell r="A141624" t="str">
            <v>DCN-134</v>
          </cell>
        </row>
        <row r="141625">
          <cell r="A141625" t="str">
            <v>DCN-136</v>
          </cell>
        </row>
        <row r="141626">
          <cell r="A141626" t="str">
            <v>DCN-138</v>
          </cell>
        </row>
        <row r="141627">
          <cell r="A141627" t="str">
            <v>DCN-139</v>
          </cell>
        </row>
        <row r="141628">
          <cell r="A141628" t="str">
            <v>DCN-14</v>
          </cell>
        </row>
        <row r="141629">
          <cell r="A141629" t="str">
            <v>DCN-140</v>
          </cell>
        </row>
        <row r="141630">
          <cell r="A141630" t="str">
            <v>DCN-141</v>
          </cell>
        </row>
        <row r="141631">
          <cell r="A141631" t="str">
            <v>DCN-142</v>
          </cell>
        </row>
        <row r="141632">
          <cell r="A141632" t="str">
            <v>DCN-143</v>
          </cell>
        </row>
        <row r="141633">
          <cell r="A141633" t="str">
            <v>DCN-144</v>
          </cell>
        </row>
        <row r="141634">
          <cell r="A141634" t="str">
            <v>DCN-145</v>
          </cell>
        </row>
        <row r="141635">
          <cell r="A141635" t="str">
            <v>DCN-148</v>
          </cell>
        </row>
        <row r="141636">
          <cell r="A141636" t="str">
            <v>DCN-149</v>
          </cell>
        </row>
        <row r="141637">
          <cell r="A141637" t="str">
            <v>DCN-149-Temp</v>
          </cell>
        </row>
        <row r="141638">
          <cell r="A141638" t="str">
            <v>DCN-152</v>
          </cell>
        </row>
        <row r="141639">
          <cell r="A141639" t="str">
            <v>DCN-158</v>
          </cell>
        </row>
        <row r="141640">
          <cell r="A141640" t="str">
            <v>DCN-16</v>
          </cell>
        </row>
        <row r="141641">
          <cell r="A141641" t="str">
            <v>DCN-160</v>
          </cell>
        </row>
        <row r="141642">
          <cell r="A141642" t="str">
            <v>DCN-17</v>
          </cell>
        </row>
        <row r="141643">
          <cell r="A141643" t="str">
            <v>DCN-19</v>
          </cell>
        </row>
        <row r="141644">
          <cell r="A141644" t="str">
            <v>DCN-20</v>
          </cell>
        </row>
        <row r="141645">
          <cell r="A141645" t="str">
            <v>DCN-23</v>
          </cell>
        </row>
        <row r="141646">
          <cell r="A141646" t="str">
            <v>DCN-24</v>
          </cell>
        </row>
        <row r="141647">
          <cell r="A141647" t="str">
            <v>DCN-26</v>
          </cell>
        </row>
        <row r="141648">
          <cell r="A141648" t="str">
            <v>DCN-28</v>
          </cell>
        </row>
        <row r="141649">
          <cell r="A141649" t="str">
            <v>DCN-29</v>
          </cell>
        </row>
        <row r="141650">
          <cell r="A141650" t="str">
            <v>DCN-31</v>
          </cell>
        </row>
        <row r="141651">
          <cell r="A141651" t="str">
            <v>DCN-32</v>
          </cell>
        </row>
        <row r="141652">
          <cell r="A141652" t="str">
            <v>DCN-34</v>
          </cell>
        </row>
        <row r="141653">
          <cell r="A141653" t="str">
            <v>DCN-35</v>
          </cell>
        </row>
        <row r="141654">
          <cell r="A141654" t="str">
            <v>DCN-36</v>
          </cell>
        </row>
        <row r="141655">
          <cell r="A141655" t="str">
            <v>DCN-38</v>
          </cell>
        </row>
        <row r="141656">
          <cell r="A141656" t="str">
            <v>DCN-39</v>
          </cell>
        </row>
        <row r="141657">
          <cell r="A141657" t="str">
            <v>DCN-40</v>
          </cell>
        </row>
        <row r="141658">
          <cell r="A141658" t="str">
            <v>DCN-41</v>
          </cell>
        </row>
        <row r="141659">
          <cell r="A141659" t="str">
            <v>DCN-42</v>
          </cell>
        </row>
        <row r="141660">
          <cell r="A141660" t="str">
            <v>DCN-44</v>
          </cell>
        </row>
        <row r="141661">
          <cell r="A141661" t="str">
            <v>DCN-45</v>
          </cell>
        </row>
        <row r="141662">
          <cell r="A141662" t="str">
            <v>DCN-47</v>
          </cell>
        </row>
        <row r="141663">
          <cell r="A141663" t="str">
            <v>DCN-48</v>
          </cell>
        </row>
        <row r="141664">
          <cell r="A141664" t="str">
            <v>DCN-49</v>
          </cell>
        </row>
        <row r="141665">
          <cell r="A141665" t="str">
            <v>DCN-51</v>
          </cell>
        </row>
        <row r="141666">
          <cell r="A141666" t="str">
            <v>DCN-52</v>
          </cell>
        </row>
        <row r="141667">
          <cell r="A141667" t="str">
            <v>DCN-55</v>
          </cell>
        </row>
        <row r="141668">
          <cell r="A141668" t="str">
            <v>DCN-56</v>
          </cell>
        </row>
        <row r="141669">
          <cell r="A141669" t="str">
            <v>DCN-57</v>
          </cell>
        </row>
        <row r="141670">
          <cell r="A141670" t="str">
            <v>DCN-58</v>
          </cell>
        </row>
        <row r="141671">
          <cell r="A141671" t="str">
            <v>DCN-59</v>
          </cell>
        </row>
        <row r="141672">
          <cell r="A141672" t="str">
            <v>DCN-60</v>
          </cell>
        </row>
        <row r="141673">
          <cell r="A141673" t="str">
            <v>DCN-62</v>
          </cell>
        </row>
        <row r="141674">
          <cell r="A141674" t="str">
            <v>DCN-64</v>
          </cell>
        </row>
        <row r="141675">
          <cell r="A141675" t="str">
            <v>DCN-65</v>
          </cell>
        </row>
        <row r="141676">
          <cell r="A141676" t="str">
            <v>DCN-66</v>
          </cell>
        </row>
        <row r="141677">
          <cell r="A141677" t="str">
            <v>DCN-67</v>
          </cell>
        </row>
        <row r="141678">
          <cell r="A141678" t="str">
            <v>DCN-68</v>
          </cell>
        </row>
        <row r="141679">
          <cell r="A141679" t="str">
            <v>DCN-69</v>
          </cell>
        </row>
        <row r="141680">
          <cell r="A141680" t="str">
            <v>DCN-70</v>
          </cell>
        </row>
        <row r="141681">
          <cell r="A141681" t="str">
            <v>DCN-71</v>
          </cell>
        </row>
        <row r="141682">
          <cell r="A141682" t="str">
            <v>DCN-72</v>
          </cell>
        </row>
        <row r="141683">
          <cell r="A141683" t="str">
            <v>DCN-73</v>
          </cell>
        </row>
        <row r="141684">
          <cell r="A141684" t="str">
            <v>DCN-75</v>
          </cell>
        </row>
        <row r="141685">
          <cell r="A141685" t="str">
            <v>DCN-80</v>
          </cell>
        </row>
        <row r="141686">
          <cell r="A141686" t="str">
            <v>DCN-81</v>
          </cell>
        </row>
        <row r="141687">
          <cell r="A141687" t="str">
            <v>DCN-82</v>
          </cell>
        </row>
        <row r="141688">
          <cell r="A141688" t="str">
            <v>DCN-83</v>
          </cell>
        </row>
        <row r="141689">
          <cell r="A141689" t="str">
            <v>DCN-84</v>
          </cell>
        </row>
        <row r="141690">
          <cell r="A141690" t="str">
            <v>DCN-86</v>
          </cell>
        </row>
        <row r="141691">
          <cell r="A141691" t="str">
            <v>DCN-87</v>
          </cell>
        </row>
        <row r="141692">
          <cell r="A141692" t="str">
            <v>DCN-88</v>
          </cell>
        </row>
        <row r="141693">
          <cell r="A141693" t="str">
            <v>DCN-89</v>
          </cell>
        </row>
        <row r="141694">
          <cell r="A141694" t="str">
            <v>DCN-90</v>
          </cell>
        </row>
        <row r="141695">
          <cell r="A141695" t="str">
            <v>DCN-91</v>
          </cell>
        </row>
        <row r="141696">
          <cell r="A141696" t="str">
            <v>DCN-93</v>
          </cell>
        </row>
        <row r="141697">
          <cell r="A141697" t="str">
            <v>DCN-94</v>
          </cell>
        </row>
        <row r="141698">
          <cell r="A141698" t="str">
            <v>DCN-95</v>
          </cell>
        </row>
        <row r="141699">
          <cell r="A141699" t="str">
            <v>DCN-96</v>
          </cell>
        </row>
        <row r="141700">
          <cell r="A141700" t="str">
            <v>DCN-98</v>
          </cell>
        </row>
        <row r="141701">
          <cell r="A141701" t="str">
            <v>DCN-99</v>
          </cell>
        </row>
        <row r="141702">
          <cell r="A141702" t="str">
            <v>DCN-OPS-018</v>
          </cell>
        </row>
        <row r="141703">
          <cell r="A141703" t="str">
            <v>DCN-TEST</v>
          </cell>
        </row>
        <row r="141704">
          <cell r="A141704" t="str">
            <v>EW-334</v>
          </cell>
        </row>
        <row r="141705">
          <cell r="A141705" t="str">
            <v>EW-349</v>
          </cell>
        </row>
        <row r="141706">
          <cell r="A141706" t="str">
            <v>EXWORK-149</v>
          </cell>
        </row>
        <row r="141707">
          <cell r="A141707" t="str">
            <v>EXWORK-285</v>
          </cell>
        </row>
        <row r="141708">
          <cell r="A141708" t="str">
            <v>EXWORK-308</v>
          </cell>
        </row>
        <row r="141709">
          <cell r="A141709" t="str">
            <v>EXWORK-320</v>
          </cell>
        </row>
        <row r="141710">
          <cell r="A141710" t="str">
            <v>MOC #34</v>
          </cell>
        </row>
        <row r="141711">
          <cell r="A141711" t="str">
            <v>MOC#053</v>
          </cell>
        </row>
        <row r="141712">
          <cell r="A141712" t="str">
            <v>MOC#058</v>
          </cell>
        </row>
        <row r="141713">
          <cell r="A141713" t="str">
            <v>MOC#069</v>
          </cell>
        </row>
        <row r="141714">
          <cell r="A141714" t="str">
            <v>MOC#074</v>
          </cell>
        </row>
        <row r="141715">
          <cell r="A141715" t="str">
            <v>MOC#084</v>
          </cell>
        </row>
        <row r="141716">
          <cell r="A141716" t="str">
            <v>OPS-DC-0013</v>
          </cell>
        </row>
        <row r="141717">
          <cell r="A141717" t="str">
            <v>OPS-DC-0057</v>
          </cell>
        </row>
        <row r="141718">
          <cell r="A141718" t="str">
            <v>OPS-DC-0066</v>
          </cell>
        </row>
        <row r="141719">
          <cell r="A141719" t="str">
            <v>OPS-DC-0074</v>
          </cell>
        </row>
        <row r="141720">
          <cell r="A141720" t="str">
            <v>OPS-DC-0077</v>
          </cell>
        </row>
        <row r="141721">
          <cell r="A141721" t="str">
            <v>OPS-DC-0083</v>
          </cell>
        </row>
        <row r="141722">
          <cell r="A141722" t="str">
            <v>OPS-DC-0085</v>
          </cell>
        </row>
        <row r="141723">
          <cell r="A141723" t="str">
            <v>OPS-DC-0086</v>
          </cell>
        </row>
        <row r="141724">
          <cell r="A141724" t="str">
            <v>OPS-DC-0099</v>
          </cell>
        </row>
        <row r="141725">
          <cell r="A141725" t="str">
            <v>OPS-DC-0100</v>
          </cell>
        </row>
        <row r="141726">
          <cell r="A141726" t="str">
            <v>OPS-DC-0110</v>
          </cell>
        </row>
        <row r="141727">
          <cell r="A141727" t="str">
            <v>OPS-DC-0130</v>
          </cell>
        </row>
        <row r="141728">
          <cell r="A141728" t="str">
            <v>OPS-DC-049</v>
          </cell>
        </row>
        <row r="141729">
          <cell r="A141729" t="str">
            <v>OPS-DC-069</v>
          </cell>
        </row>
        <row r="141730">
          <cell r="A141730" t="str">
            <v>OPS-DC-097</v>
          </cell>
        </row>
        <row r="141731">
          <cell r="A141731" t="str">
            <v>OPS-DC-111</v>
          </cell>
        </row>
        <row r="141741">
          <cell r="A141741" t="str">
            <v>EMPTY</v>
          </cell>
        </row>
        <row r="141742">
          <cell r="A141742" t="str">
            <v>A00</v>
          </cell>
        </row>
        <row r="141743">
          <cell r="A141743" t="str">
            <v>A01</v>
          </cell>
        </row>
        <row r="141744">
          <cell r="A141744" t="str">
            <v>A02</v>
          </cell>
        </row>
        <row r="141745">
          <cell r="A141745" t="str">
            <v>B00</v>
          </cell>
        </row>
        <row r="141746">
          <cell r="A141746" t="str">
            <v>B00ADMIN</v>
          </cell>
        </row>
        <row r="141747">
          <cell r="A141747" t="str">
            <v>B00FSFA</v>
          </cell>
        </row>
        <row r="141748">
          <cell r="A141748" t="str">
            <v>B00LAB</v>
          </cell>
        </row>
        <row r="141749">
          <cell r="A141749" t="str">
            <v>B00MGS</v>
          </cell>
        </row>
        <row r="141750">
          <cell r="A141750" t="str">
            <v>B00MOSQ</v>
          </cell>
        </row>
        <row r="141751">
          <cell r="A141751" t="str">
            <v>B00PG</v>
          </cell>
        </row>
        <row r="141752">
          <cell r="A141752" t="str">
            <v>B00SSHA</v>
          </cell>
        </row>
        <row r="141753">
          <cell r="A141753" t="str">
            <v>B00SSHW</v>
          </cell>
        </row>
        <row r="141754">
          <cell r="A141754" t="str">
            <v>B00WORK</v>
          </cell>
        </row>
        <row r="141755">
          <cell r="A141755" t="str">
            <v>B01</v>
          </cell>
        </row>
        <row r="141756">
          <cell r="A141756" t="str">
            <v>B01ARCHIVE</v>
          </cell>
        </row>
        <row r="141757">
          <cell r="A141757" t="str">
            <v>B01CHSH</v>
          </cell>
        </row>
        <row r="141758">
          <cell r="A141758" t="str">
            <v>B01SSHW</v>
          </cell>
        </row>
        <row r="141759">
          <cell r="A141759" t="str">
            <v>B01WARE</v>
          </cell>
        </row>
        <row r="141760">
          <cell r="A141760" t="str">
            <v>B01WORK</v>
          </cell>
        </row>
        <row r="141761">
          <cell r="A141761" t="str">
            <v>B02</v>
          </cell>
        </row>
        <row r="141762">
          <cell r="A141762" t="str">
            <v>B02SS100</v>
          </cell>
        </row>
        <row r="141763">
          <cell r="A141763" t="str">
            <v>B03</v>
          </cell>
        </row>
        <row r="141764">
          <cell r="A141764" t="str">
            <v>B03LER4</v>
          </cell>
        </row>
        <row r="141765">
          <cell r="A141765" t="str">
            <v>B03SS400</v>
          </cell>
        </row>
        <row r="141766">
          <cell r="A141766" t="str">
            <v>B04</v>
          </cell>
        </row>
        <row r="141767">
          <cell r="A141767" t="str">
            <v>B04LER1</v>
          </cell>
        </row>
        <row r="141768">
          <cell r="A141768" t="str">
            <v>B04SS600</v>
          </cell>
        </row>
        <row r="141769">
          <cell r="A141769" t="str">
            <v>B10</v>
          </cell>
        </row>
        <row r="141770">
          <cell r="A141770" t="str">
            <v>B10LER2</v>
          </cell>
        </row>
        <row r="141771">
          <cell r="A141771" t="str">
            <v>B10SS200</v>
          </cell>
        </row>
        <row r="141772">
          <cell r="A141772" t="str">
            <v>B22</v>
          </cell>
        </row>
        <row r="141773">
          <cell r="A141773" t="str">
            <v>B22SS100B</v>
          </cell>
        </row>
        <row r="141774">
          <cell r="A141774" t="str">
            <v>B23</v>
          </cell>
        </row>
        <row r="141775">
          <cell r="A141775" t="str">
            <v>B23LER5</v>
          </cell>
        </row>
        <row r="141776">
          <cell r="A141776" t="str">
            <v>B23SS500</v>
          </cell>
        </row>
        <row r="141777">
          <cell r="A141777" t="str">
            <v>B30</v>
          </cell>
        </row>
        <row r="141778">
          <cell r="A141778" t="str">
            <v>B30LER3</v>
          </cell>
        </row>
        <row r="141779">
          <cell r="A141779" t="str">
            <v>B30SS300</v>
          </cell>
        </row>
        <row r="141780">
          <cell r="A141780" t="str">
            <v>B50</v>
          </cell>
        </row>
        <row r="141781">
          <cell r="A141781" t="str">
            <v>B50LER6</v>
          </cell>
        </row>
        <row r="141782">
          <cell r="A141782" t="str">
            <v>B50SS700</v>
          </cell>
        </row>
        <row r="141783">
          <cell r="A141783" t="str">
            <v>B70</v>
          </cell>
        </row>
        <row r="141784">
          <cell r="A141784" t="str">
            <v>B70LER7</v>
          </cell>
        </row>
        <row r="141785">
          <cell r="A141785" t="str">
            <v>B70SS800</v>
          </cell>
        </row>
        <row r="141786">
          <cell r="A141786" t="str">
            <v>C00</v>
          </cell>
        </row>
        <row r="141787">
          <cell r="A141787" t="str">
            <v>C00CCR</v>
          </cell>
        </row>
        <row r="141788">
          <cell r="A141788" t="str">
            <v>EGP</v>
          </cell>
        </row>
        <row r="141789">
          <cell r="A141789" t="str">
            <v>F01</v>
          </cell>
        </row>
        <row r="141790">
          <cell r="A141790" t="str">
            <v>F02</v>
          </cell>
        </row>
        <row r="141791">
          <cell r="A141791" t="str">
            <v>F03</v>
          </cell>
        </row>
        <row r="141792">
          <cell r="A141792" t="str">
            <v>F21</v>
          </cell>
        </row>
        <row r="141793">
          <cell r="A141793" t="str">
            <v>F22</v>
          </cell>
        </row>
        <row r="141794">
          <cell r="A141794" t="str">
            <v>I01</v>
          </cell>
        </row>
        <row r="141795">
          <cell r="A141795" t="str">
            <v>I02</v>
          </cell>
        </row>
        <row r="141796">
          <cell r="A141796" t="str">
            <v>J01</v>
          </cell>
        </row>
        <row r="141797">
          <cell r="A141797" t="str">
            <v>P01</v>
          </cell>
        </row>
        <row r="141798">
          <cell r="A141798" t="str">
            <v>P02</v>
          </cell>
        </row>
        <row r="141799">
          <cell r="A141799" t="str">
            <v>P10</v>
          </cell>
        </row>
        <row r="141800">
          <cell r="A141800" t="str">
            <v>P15</v>
          </cell>
        </row>
        <row r="141801">
          <cell r="A141801" t="str">
            <v>P20</v>
          </cell>
        </row>
        <row r="141802">
          <cell r="A141802" t="str">
            <v>P21</v>
          </cell>
        </row>
        <row r="141803">
          <cell r="A141803" t="str">
            <v>P30</v>
          </cell>
        </row>
        <row r="141804">
          <cell r="A141804" t="str">
            <v>P35</v>
          </cell>
        </row>
        <row r="141805">
          <cell r="A141805" t="str">
            <v>P40</v>
          </cell>
        </row>
        <row r="141806">
          <cell r="A141806" t="str">
            <v>P50</v>
          </cell>
        </row>
        <row r="141807">
          <cell r="A141807" t="str">
            <v>P55</v>
          </cell>
        </row>
        <row r="141808">
          <cell r="A141808" t="str">
            <v>P60</v>
          </cell>
        </row>
        <row r="141809">
          <cell r="A141809" t="str">
            <v>P70</v>
          </cell>
        </row>
        <row r="141810">
          <cell r="A141810" t="str">
            <v>P75</v>
          </cell>
        </row>
        <row r="141811">
          <cell r="A141811" t="str">
            <v>P90</v>
          </cell>
        </row>
        <row r="141812">
          <cell r="A141812" t="str">
            <v>R01</v>
          </cell>
        </row>
        <row r="141813">
          <cell r="A141813" t="str">
            <v>R02</v>
          </cell>
        </row>
        <row r="141814">
          <cell r="A141814" t="str">
            <v>R03</v>
          </cell>
        </row>
        <row r="141815">
          <cell r="A141815" t="str">
            <v>R04</v>
          </cell>
        </row>
        <row r="141816">
          <cell r="A141816" t="str">
            <v>R05</v>
          </cell>
        </row>
        <row r="141817">
          <cell r="A141817" t="str">
            <v>R06</v>
          </cell>
        </row>
        <row r="141818">
          <cell r="A141818" t="str">
            <v>R07</v>
          </cell>
        </row>
        <row r="141819">
          <cell r="A141819" t="str">
            <v>R08</v>
          </cell>
        </row>
        <row r="141820">
          <cell r="A141820" t="str">
            <v>R21</v>
          </cell>
        </row>
        <row r="141821">
          <cell r="A141821" t="str">
            <v>R22</v>
          </cell>
        </row>
        <row r="141822">
          <cell r="A141822" t="str">
            <v>R23</v>
          </cell>
        </row>
        <row r="141823">
          <cell r="A141823" t="str">
            <v>R24</v>
          </cell>
        </row>
        <row r="141824">
          <cell r="A141824" t="str">
            <v>R25</v>
          </cell>
        </row>
        <row r="141825">
          <cell r="A141825" t="str">
            <v>S01</v>
          </cell>
        </row>
        <row r="141826">
          <cell r="A141826" t="str">
            <v>S21</v>
          </cell>
        </row>
        <row r="141827">
          <cell r="A141827" t="str">
            <v>T01</v>
          </cell>
        </row>
        <row r="141828">
          <cell r="A141828" t="str">
            <v>TBA</v>
          </cell>
        </row>
        <row r="141829">
          <cell r="A141829" t="str">
            <v>U01</v>
          </cell>
        </row>
        <row r="141830">
          <cell r="A141830" t="str">
            <v>U02</v>
          </cell>
        </row>
        <row r="141831">
          <cell r="A141831" t="str">
            <v>U04</v>
          </cell>
        </row>
        <row r="141832">
          <cell r="A141832" t="str">
            <v>U06</v>
          </cell>
        </row>
        <row r="141833">
          <cell r="A141833" t="str">
            <v>U07</v>
          </cell>
        </row>
        <row r="141834">
          <cell r="A141834" t="str">
            <v>U07DSPSHELTER</v>
          </cell>
        </row>
        <row r="141835">
          <cell r="A141835" t="str">
            <v>U07GATE</v>
          </cell>
        </row>
        <row r="141836">
          <cell r="A141836" t="str">
            <v>U08</v>
          </cell>
        </row>
        <row r="141837">
          <cell r="A141837" t="str">
            <v>U08LER9</v>
          </cell>
        </row>
        <row r="141838">
          <cell r="A141838" t="str">
            <v>U21</v>
          </cell>
        </row>
        <row r="141839">
          <cell r="A141839" t="str">
            <v>U22</v>
          </cell>
        </row>
        <row r="141840">
          <cell r="A141840" t="str">
            <v>U24</v>
          </cell>
        </row>
        <row r="141841">
          <cell r="A141841" t="str">
            <v>U26</v>
          </cell>
        </row>
        <row r="141845">
          <cell r="A141845" t="str">
            <v>EMPTY</v>
          </cell>
        </row>
        <row r="141846">
          <cell r="A141846" t="str">
            <v>AARV</v>
          </cell>
        </row>
        <row r="141847">
          <cell r="A141847" t="str">
            <v>AC</v>
          </cell>
        </row>
        <row r="141848">
          <cell r="A141848" t="str">
            <v>ACC</v>
          </cell>
        </row>
        <row r="141849">
          <cell r="A141849" t="str">
            <v>ACCESS _CONTROL_JB</v>
          </cell>
        </row>
        <row r="141850">
          <cell r="A141850" t="str">
            <v>Access_Control_Badge_Station</v>
          </cell>
        </row>
        <row r="141851">
          <cell r="A141851" t="str">
            <v>Access_Control_Card_Reader</v>
          </cell>
        </row>
        <row r="141852">
          <cell r="A141852" t="str">
            <v>Access_Control_Door_Furniture</v>
          </cell>
        </row>
        <row r="141853">
          <cell r="A141853" t="str">
            <v>Access_Control_System_Rack</v>
          </cell>
        </row>
        <row r="141854">
          <cell r="A141854" t="str">
            <v>ACCU</v>
          </cell>
        </row>
        <row r="141855">
          <cell r="A141855" t="str">
            <v>ACTUATED_ON/OFF_VALVE_(ELE/PNEUM.)</v>
          </cell>
        </row>
        <row r="141856">
          <cell r="A141856" t="str">
            <v>ACTUATED_VALVE_(ESD,BDV,SDV,XV)</v>
          </cell>
        </row>
        <row r="141857">
          <cell r="A141857" t="str">
            <v>AHU</v>
          </cell>
        </row>
        <row r="141858">
          <cell r="A141858" t="str">
            <v>AI</v>
          </cell>
        </row>
        <row r="141859">
          <cell r="A141859" t="str">
            <v>AIR COOLERS</v>
          </cell>
        </row>
        <row r="141860">
          <cell r="A141860" t="str">
            <v>AIR_COMPRESSOR</v>
          </cell>
        </row>
        <row r="141861">
          <cell r="A141861" t="str">
            <v>AIR_COOLED_CONDENSER</v>
          </cell>
        </row>
        <row r="141862">
          <cell r="A141862" t="str">
            <v>AIR_DISTR_MANIFOLD</v>
          </cell>
        </row>
        <row r="141863">
          <cell r="A141863" t="str">
            <v>AIR_DRIER</v>
          </cell>
        </row>
        <row r="141864">
          <cell r="A141864" t="str">
            <v>AIR_HANDLING_UNIT</v>
          </cell>
        </row>
        <row r="141865">
          <cell r="A141865" t="str">
            <v>AIR_SCRUBBER</v>
          </cell>
        </row>
        <row r="141866">
          <cell r="A141866" t="str">
            <v>ALC</v>
          </cell>
        </row>
        <row r="141867">
          <cell r="A141867" t="str">
            <v>ALG1</v>
          </cell>
        </row>
        <row r="141868">
          <cell r="A141868" t="str">
            <v>ANALYSIS_TRANSMITTER</v>
          </cell>
        </row>
        <row r="141869">
          <cell r="A141869" t="str">
            <v>ARCHITECTURAL_OUTFITTING</v>
          </cell>
        </row>
        <row r="141870">
          <cell r="A141870" t="str">
            <v>ASPHALT_ROAD</v>
          </cell>
        </row>
        <row r="141871">
          <cell r="A141871" t="str">
            <v>AT</v>
          </cell>
        </row>
        <row r="141872">
          <cell r="A141872" t="str">
            <v>ATEX_Telephone</v>
          </cell>
        </row>
        <row r="141873">
          <cell r="A141873" t="str">
            <v>AUDIABLE_ALARM_CALLPOINT</v>
          </cell>
        </row>
        <row r="141874">
          <cell r="A141874" t="str">
            <v>AUX</v>
          </cell>
        </row>
        <row r="141875">
          <cell r="A141875" t="str">
            <v>AV</v>
          </cell>
        </row>
        <row r="141876">
          <cell r="A141876" t="str">
            <v>BAT1</v>
          </cell>
        </row>
        <row r="141877">
          <cell r="A141877" t="str">
            <v>BAT2</v>
          </cell>
        </row>
        <row r="141878">
          <cell r="A141878" t="str">
            <v>BATTERY</v>
          </cell>
        </row>
        <row r="141879">
          <cell r="A141879" t="str">
            <v>BD</v>
          </cell>
        </row>
        <row r="141880">
          <cell r="A141880" t="str">
            <v>BDI</v>
          </cell>
        </row>
        <row r="141881">
          <cell r="A141881" t="str">
            <v>BDJ</v>
          </cell>
        </row>
        <row r="141882">
          <cell r="A141882" t="str">
            <v>BDV</v>
          </cell>
        </row>
        <row r="141883">
          <cell r="A141883" t="str">
            <v>BDV1</v>
          </cell>
        </row>
        <row r="141884">
          <cell r="A141884" t="str">
            <v>BELLOWS</v>
          </cell>
        </row>
        <row r="141885">
          <cell r="A141885" t="str">
            <v>BELT_CONVEYOR</v>
          </cell>
        </row>
        <row r="141886">
          <cell r="A141886" t="str">
            <v>BITUMINOUS_COATING</v>
          </cell>
        </row>
        <row r="141887">
          <cell r="A141887" t="str">
            <v>BOILER</v>
          </cell>
        </row>
        <row r="141888">
          <cell r="A141888" t="str">
            <v>BONDED_GRE_PIPE</v>
          </cell>
        </row>
        <row r="141889">
          <cell r="A141889" t="str">
            <v>BSD</v>
          </cell>
        </row>
        <row r="141890">
          <cell r="A141890" t="str">
            <v>BTC1</v>
          </cell>
        </row>
        <row r="141891">
          <cell r="A141891" t="str">
            <v>BUILD_MISC_EQUIPMENT</v>
          </cell>
        </row>
        <row r="141892">
          <cell r="A141892" t="str">
            <v>BUSDUCT</v>
          </cell>
        </row>
        <row r="141893">
          <cell r="A141893" t="str">
            <v>CABIN</v>
          </cell>
        </row>
        <row r="141894">
          <cell r="A141894" t="str">
            <v>CABINET ESISTENTE</v>
          </cell>
        </row>
        <row r="141895">
          <cell r="A141895" t="str">
            <v>CABLE_DRUM</v>
          </cell>
        </row>
        <row r="141896">
          <cell r="A141896" t="str">
            <v>CABLE_RACKING</v>
          </cell>
        </row>
        <row r="141897">
          <cell r="A141897" t="str">
            <v>CABLE_ROUTE_TRAY</v>
          </cell>
        </row>
        <row r="141898">
          <cell r="A141898" t="str">
            <v>CABLE_TRAY</v>
          </cell>
        </row>
        <row r="141899">
          <cell r="A141899" t="str">
            <v>CABLE_TRENCH</v>
          </cell>
        </row>
        <row r="141900">
          <cell r="A141900" t="str">
            <v>CAM</v>
          </cell>
        </row>
        <row r="141901">
          <cell r="A141901" t="str">
            <v>CATH1</v>
          </cell>
        </row>
        <row r="141902">
          <cell r="A141902" t="str">
            <v>CATHODIC_PROTECTION</v>
          </cell>
        </row>
        <row r="141903">
          <cell r="A141903" t="str">
            <v>Cavo Ethernet</v>
          </cell>
        </row>
        <row r="141904">
          <cell r="A141904" t="str">
            <v>Cavo Fibra Ottica</v>
          </cell>
        </row>
        <row r="141905">
          <cell r="A141905" t="str">
            <v>Cavo Preformato</v>
          </cell>
        </row>
        <row r="141906">
          <cell r="A141906" t="str">
            <v>CBL1</v>
          </cell>
        </row>
        <row r="141907">
          <cell r="A141907" t="str">
            <v>CCTV_Camera</v>
          </cell>
        </row>
        <row r="141908">
          <cell r="A141908" t="str">
            <v>CCTV_Camera_JB</v>
          </cell>
        </row>
        <row r="141909">
          <cell r="A141909" t="str">
            <v>CCTV_Monitor</v>
          </cell>
        </row>
        <row r="141910">
          <cell r="A141910" t="str">
            <v>CCTV_System_Rack</v>
          </cell>
        </row>
        <row r="141911">
          <cell r="A141911" t="str">
            <v>CCTV_Workstation</v>
          </cell>
        </row>
        <row r="141912">
          <cell r="A141912" t="str">
            <v>CENTRIFUGAL_COMPRESSOR</v>
          </cell>
        </row>
        <row r="141913">
          <cell r="A141913" t="str">
            <v>CENTRIFUGAL_PUMPS</v>
          </cell>
        </row>
        <row r="141914">
          <cell r="A141914" t="str">
            <v>CENTRIFUGE</v>
          </cell>
        </row>
        <row r="141915">
          <cell r="A141915" t="str">
            <v>CF</v>
          </cell>
        </row>
        <row r="141916">
          <cell r="A141916" t="str">
            <v>CH</v>
          </cell>
        </row>
        <row r="141917">
          <cell r="A141917" t="str">
            <v>CIVIL_WORKS</v>
          </cell>
        </row>
        <row r="141918">
          <cell r="A141918" t="str">
            <v>CL</v>
          </cell>
        </row>
        <row r="141919">
          <cell r="A141919" t="str">
            <v>CL_B</v>
          </cell>
        </row>
        <row r="141920">
          <cell r="A141920" t="str">
            <v>CLOCK_UNIT</v>
          </cell>
        </row>
        <row r="141921">
          <cell r="A141921" t="str">
            <v>CO2_DELUGE_SYSTEM</v>
          </cell>
        </row>
        <row r="141922">
          <cell r="A141922" t="str">
            <v>CO2_FOAM</v>
          </cell>
        </row>
        <row r="141923">
          <cell r="A141923" t="str">
            <v>COALESCER_FILTER</v>
          </cell>
        </row>
        <row r="141924">
          <cell r="A141924" t="str">
            <v>COAXIAL_CABLE</v>
          </cell>
        </row>
        <row r="141925">
          <cell r="A141925" t="str">
            <v>COLONNE</v>
          </cell>
        </row>
        <row r="141926">
          <cell r="A141926" t="str">
            <v>COLTROL_VALVES_(MODULATING)</v>
          </cell>
        </row>
        <row r="141927">
          <cell r="A141927" t="str">
            <v>COMPRESSORI</v>
          </cell>
        </row>
        <row r="141928">
          <cell r="A141928" t="str">
            <v>CONCRETE</v>
          </cell>
        </row>
        <row r="141929">
          <cell r="A141929" t="str">
            <v>CONST_VOL_THERMAL_UNIT</v>
          </cell>
        </row>
        <row r="141930">
          <cell r="A141930" t="str">
            <v>CONTR_PAN&amp;STAT</v>
          </cell>
        </row>
        <row r="141931">
          <cell r="A141931" t="str">
            <v>CONTROL_VALVE_(PNEUM/HYDRAULIC/ELECTR.)</v>
          </cell>
        </row>
        <row r="141932">
          <cell r="A141932" t="str">
            <v>COOLERS</v>
          </cell>
        </row>
        <row r="141933">
          <cell r="A141933" t="str">
            <v>CORROSION_PROBE</v>
          </cell>
        </row>
        <row r="141934">
          <cell r="A141934" t="str">
            <v>CP</v>
          </cell>
        </row>
        <row r="141935">
          <cell r="A141935" t="str">
            <v>CRANE_RUNWAY</v>
          </cell>
        </row>
        <row r="141936">
          <cell r="A141936" t="str">
            <v>CRE1</v>
          </cell>
        </row>
        <row r="141937">
          <cell r="A141937" t="str">
            <v>CRE2</v>
          </cell>
        </row>
        <row r="141938">
          <cell r="A141938" t="str">
            <v>CRITICAL_JOINT</v>
          </cell>
        </row>
        <row r="141939">
          <cell r="A141939" t="str">
            <v>CRT1</v>
          </cell>
        </row>
        <row r="141940">
          <cell r="A141940" t="str">
            <v>CRT2</v>
          </cell>
        </row>
        <row r="141941">
          <cell r="A141941" t="str">
            <v>CRT3</v>
          </cell>
        </row>
        <row r="141942">
          <cell r="A141942" t="str">
            <v>CRT4</v>
          </cell>
        </row>
        <row r="141943">
          <cell r="A141943" t="str">
            <v>CTLR</v>
          </cell>
        </row>
        <row r="141944">
          <cell r="A141944" t="str">
            <v>CTS</v>
          </cell>
        </row>
        <row r="141945">
          <cell r="A141945" t="str">
            <v>CURRENT_TRANSF</v>
          </cell>
        </row>
        <row r="141946">
          <cell r="A141946" t="str">
            <v>Data_Outlet_Socket</v>
          </cell>
        </row>
        <row r="141947">
          <cell r="A141947" t="str">
            <v>Data_System_Rack</v>
          </cell>
        </row>
        <row r="141948">
          <cell r="A141948" t="str">
            <v>DC_MOTORS</v>
          </cell>
        </row>
        <row r="141949">
          <cell r="A141949" t="str">
            <v>DCN</v>
          </cell>
        </row>
        <row r="141950">
          <cell r="A141950" t="str">
            <v>DCT1</v>
          </cell>
        </row>
        <row r="141951">
          <cell r="A141951" t="str">
            <v>DCT2</v>
          </cell>
        </row>
        <row r="141952">
          <cell r="A141952" t="str">
            <v>DELUGE_SPRINKLER_SYSTEM</v>
          </cell>
        </row>
        <row r="141953">
          <cell r="A141953" t="str">
            <v>DENSITOMETER</v>
          </cell>
        </row>
        <row r="141954">
          <cell r="A141954" t="str">
            <v>DIESEL_ENGINE</v>
          </cell>
        </row>
        <row r="141955">
          <cell r="A141955" t="str">
            <v>DINING_ROOM</v>
          </cell>
        </row>
        <row r="141956">
          <cell r="A141956" t="str">
            <v>DRAINAGE_&amp;_SEWERAGE</v>
          </cell>
        </row>
        <row r="141957">
          <cell r="A141957" t="str">
            <v>DT</v>
          </cell>
        </row>
        <row r="141958">
          <cell r="A141958" t="str">
            <v>DTB1</v>
          </cell>
        </row>
        <row r="141959">
          <cell r="A141959" t="str">
            <v>DTB2</v>
          </cell>
        </row>
        <row r="141960">
          <cell r="A141960" t="str">
            <v>DUCT</v>
          </cell>
        </row>
        <row r="141961">
          <cell r="A141961" t="str">
            <v>DW</v>
          </cell>
        </row>
        <row r="141962">
          <cell r="A141962" t="str">
            <v>DX</v>
          </cell>
        </row>
        <row r="141963">
          <cell r="A141963" t="str">
            <v>DX_COOLING_COIL</v>
          </cell>
        </row>
        <row r="141964">
          <cell r="A141964" t="str">
            <v>EARTHING_LIGHTNING</v>
          </cell>
        </row>
        <row r="141965">
          <cell r="A141965" t="str">
            <v>EARTHING_SYSTEM</v>
          </cell>
        </row>
        <row r="141966">
          <cell r="A141966" t="str">
            <v>EB</v>
          </cell>
        </row>
        <row r="141967">
          <cell r="A141967" t="str">
            <v>EC</v>
          </cell>
        </row>
        <row r="141968">
          <cell r="A141968" t="str">
            <v>ED</v>
          </cell>
        </row>
        <row r="141969">
          <cell r="A141969" t="str">
            <v>EDH</v>
          </cell>
        </row>
        <row r="141970">
          <cell r="A141970" t="str">
            <v>EF</v>
          </cell>
        </row>
        <row r="141971">
          <cell r="A141971" t="str">
            <v>EH</v>
          </cell>
        </row>
        <row r="141972">
          <cell r="A141972" t="str">
            <v>EH_PK</v>
          </cell>
        </row>
        <row r="141973">
          <cell r="A141973" t="str">
            <v>EHC</v>
          </cell>
        </row>
        <row r="141974">
          <cell r="A141974" t="str">
            <v>EHT</v>
          </cell>
        </row>
        <row r="141975">
          <cell r="A141975" t="str">
            <v>EI</v>
          </cell>
        </row>
        <row r="141976">
          <cell r="A141976" t="str">
            <v>EJ</v>
          </cell>
        </row>
        <row r="141977">
          <cell r="A141977" t="str">
            <v>EJE</v>
          </cell>
        </row>
        <row r="141978">
          <cell r="A141978" t="str">
            <v>EK</v>
          </cell>
        </row>
        <row r="141979">
          <cell r="A141979" t="str">
            <v>EL</v>
          </cell>
        </row>
        <row r="141980">
          <cell r="A141980" t="str">
            <v>ELECTRICAL_HEAT_TRACING</v>
          </cell>
        </row>
        <row r="141981">
          <cell r="A141981" t="str">
            <v>ELECTRICAL_HEATER</v>
          </cell>
        </row>
        <row r="141982">
          <cell r="A141982" t="str">
            <v>ELS</v>
          </cell>
        </row>
        <row r="141983">
          <cell r="A141983" t="str">
            <v>ELSH</v>
          </cell>
        </row>
        <row r="141984">
          <cell r="A141984" t="str">
            <v>EM</v>
          </cell>
        </row>
        <row r="141985">
          <cell r="A141985" t="str">
            <v>ENTERTAINMENTS_SCREEN/PROJECTOR</v>
          </cell>
        </row>
        <row r="141986">
          <cell r="A141986" t="str">
            <v>Entertainments_System_Antenna</v>
          </cell>
        </row>
        <row r="141987">
          <cell r="A141987" t="str">
            <v>Entertainments_System_Loudspeaker</v>
          </cell>
        </row>
        <row r="141988">
          <cell r="A141988" t="str">
            <v>Entertainments_System_Rack</v>
          </cell>
        </row>
        <row r="141989">
          <cell r="A141989" t="str">
            <v>ENTERTAINMENTS_SYSTEM_SPLITTER/TAP</v>
          </cell>
        </row>
        <row r="141990">
          <cell r="A141990" t="str">
            <v>EO</v>
          </cell>
        </row>
        <row r="141991">
          <cell r="A141991" t="str">
            <v>ERT</v>
          </cell>
        </row>
        <row r="141992">
          <cell r="A141992" t="str">
            <v>ESCAPE_ROUTE</v>
          </cell>
        </row>
        <row r="141993">
          <cell r="A141993" t="str">
            <v>ESDV</v>
          </cell>
        </row>
        <row r="141994">
          <cell r="A141994" t="str">
            <v>ESDV1</v>
          </cell>
        </row>
        <row r="141995">
          <cell r="A141995" t="str">
            <v>ET</v>
          </cell>
        </row>
        <row r="141996">
          <cell r="A141996" t="str">
            <v>EVS</v>
          </cell>
        </row>
        <row r="141997">
          <cell r="A141997" t="str">
            <v>EXCHANGERSL</v>
          </cell>
        </row>
        <row r="141998">
          <cell r="A141998" t="str">
            <v>EXI</v>
          </cell>
        </row>
        <row r="141999">
          <cell r="A141999" t="str">
            <v>FABRICATION</v>
          </cell>
        </row>
        <row r="142000">
          <cell r="A142000" t="str">
            <v>FACP</v>
          </cell>
        </row>
        <row r="142001">
          <cell r="A142001" t="str">
            <v>FAHU</v>
          </cell>
        </row>
        <row r="142002">
          <cell r="A142002" t="str">
            <v>FALSE_CEILING</v>
          </cell>
        </row>
        <row r="142003">
          <cell r="A142003" t="str">
            <v>FAN</v>
          </cell>
        </row>
        <row r="142004">
          <cell r="A142004" t="str">
            <v>FAN_BLOWERS</v>
          </cell>
        </row>
        <row r="142005">
          <cell r="A142005" t="str">
            <v>FAN_COIL_UNIT_CHILLED_W_REFRIG</v>
          </cell>
        </row>
        <row r="142006">
          <cell r="A142006" t="str">
            <v>FCU</v>
          </cell>
        </row>
        <row r="142007">
          <cell r="A142007" t="str">
            <v>FCUCOM</v>
          </cell>
        </row>
        <row r="142008">
          <cell r="A142008" t="str">
            <v>FD</v>
          </cell>
        </row>
        <row r="142009">
          <cell r="A142009" t="str">
            <v>FE</v>
          </cell>
        </row>
        <row r="142010">
          <cell r="A142010" t="str">
            <v>FFE1</v>
          </cell>
        </row>
        <row r="142011">
          <cell r="A142011" t="str">
            <v>FG</v>
          </cell>
        </row>
        <row r="142012">
          <cell r="A142012" t="str">
            <v>FGC&amp;E</v>
          </cell>
        </row>
        <row r="142013">
          <cell r="A142013" t="str">
            <v>FGL</v>
          </cell>
        </row>
        <row r="142014">
          <cell r="A142014" t="str">
            <v>FGLAD</v>
          </cell>
        </row>
        <row r="142015">
          <cell r="A142015" t="str">
            <v>FGLAN</v>
          </cell>
        </row>
        <row r="142016">
          <cell r="A142016" t="str">
            <v>FH</v>
          </cell>
        </row>
        <row r="142017">
          <cell r="A142017" t="str">
            <v>FI</v>
          </cell>
        </row>
        <row r="142018">
          <cell r="A142018" t="str">
            <v>FI_PK</v>
          </cell>
        </row>
        <row r="142019">
          <cell r="A142019" t="str">
            <v>FIBRE_OPTIC_CABLE</v>
          </cell>
        </row>
        <row r="142020">
          <cell r="A142020" t="str">
            <v>Fibre_Optic_System_Rack</v>
          </cell>
        </row>
        <row r="142021">
          <cell r="A142021" t="str">
            <v>FILTRO</v>
          </cell>
        </row>
        <row r="142022">
          <cell r="A142022" t="str">
            <v>FIRE_DOOR</v>
          </cell>
        </row>
        <row r="142023">
          <cell r="A142023" t="str">
            <v>FIRE_PROOFING</v>
          </cell>
        </row>
        <row r="142024">
          <cell r="A142024" t="str">
            <v>FIRE_PROTECTION</v>
          </cell>
        </row>
        <row r="142025">
          <cell r="A142025" t="str">
            <v>FIRE_WATER_FOAM_MONITOR</v>
          </cell>
        </row>
        <row r="142026">
          <cell r="A142026" t="str">
            <v>FIRED_HEATERS</v>
          </cell>
        </row>
        <row r="142027">
          <cell r="A142027" t="str">
            <v>FIRST_AID_EQUIPMENT</v>
          </cell>
        </row>
        <row r="142028">
          <cell r="A142028" t="str">
            <v>FIXING__SUPPORTS</v>
          </cell>
        </row>
        <row r="142029">
          <cell r="A142029" t="str">
            <v>FLAME_ARRESTER</v>
          </cell>
        </row>
        <row r="142030">
          <cell r="A142030" t="str">
            <v>FLAME_DETECTOR</v>
          </cell>
        </row>
        <row r="142031">
          <cell r="A142031" t="str">
            <v>FLARE_SYSTEM</v>
          </cell>
        </row>
        <row r="142032">
          <cell r="A142032" t="str">
            <v>FLOORING_(RESIN_OR_PVC_FLOOR)</v>
          </cell>
        </row>
        <row r="142033">
          <cell r="A142033" t="str">
            <v>FLOW_INDICATOR</v>
          </cell>
        </row>
        <row r="142034">
          <cell r="A142034" t="str">
            <v>FLOW_METER</v>
          </cell>
        </row>
        <row r="142035">
          <cell r="A142035" t="str">
            <v>FLOW_SWITCH</v>
          </cell>
        </row>
        <row r="142036">
          <cell r="A142036" t="str">
            <v>FLOW_TRANSMITTER</v>
          </cell>
        </row>
        <row r="142037">
          <cell r="A142037" t="str">
            <v>FLT1</v>
          </cell>
        </row>
        <row r="142038">
          <cell r="A142038" t="str">
            <v>FLT2</v>
          </cell>
        </row>
        <row r="142039">
          <cell r="A142039" t="str">
            <v>FO</v>
          </cell>
        </row>
        <row r="142040">
          <cell r="A142040" t="str">
            <v>FO_PK</v>
          </cell>
        </row>
        <row r="142041">
          <cell r="A142041" t="str">
            <v>FOC</v>
          </cell>
        </row>
        <row r="142042">
          <cell r="A142042" t="str">
            <v>FOC1</v>
          </cell>
        </row>
        <row r="142043">
          <cell r="A142043" t="str">
            <v>FORNI</v>
          </cell>
        </row>
        <row r="142044">
          <cell r="A142044" t="str">
            <v>FOUND_ACCEPTANCE_FOR_EQUIP</v>
          </cell>
        </row>
        <row r="142045">
          <cell r="A142045" t="str">
            <v>FOUND_GROUTING</v>
          </cell>
        </row>
        <row r="142046">
          <cell r="A142046" t="str">
            <v>FOUNDATIONS</v>
          </cell>
        </row>
        <row r="142047">
          <cell r="A142047" t="str">
            <v>FRANGIBLE_BULB__PNEUMATIC_DETECTION__DELUGE</v>
          </cell>
        </row>
        <row r="142048">
          <cell r="A142048" t="str">
            <v>FSL</v>
          </cell>
        </row>
        <row r="142049">
          <cell r="A142049" t="str">
            <v>FT</v>
          </cell>
        </row>
        <row r="142050">
          <cell r="A142050" t="str">
            <v>FT_PK</v>
          </cell>
        </row>
        <row r="142051">
          <cell r="A142051" t="str">
            <v>FV</v>
          </cell>
        </row>
        <row r="142052">
          <cell r="A142052" t="str">
            <v>GALLEY</v>
          </cell>
        </row>
        <row r="142053">
          <cell r="A142053" t="str">
            <v>GALLEY_HOOD</v>
          </cell>
        </row>
        <row r="142054">
          <cell r="A142054" t="str">
            <v>GAS_TURBINE</v>
          </cell>
        </row>
        <row r="142055">
          <cell r="A142055" t="str">
            <v>GAS_TURBINE_DRIVER</v>
          </cell>
        </row>
        <row r="142056">
          <cell r="A142056" t="str">
            <v>GDE</v>
          </cell>
        </row>
        <row r="142057">
          <cell r="A142057" t="str">
            <v>GDH</v>
          </cell>
        </row>
        <row r="142058">
          <cell r="A142058" t="str">
            <v>GDK</v>
          </cell>
        </row>
        <row r="142059">
          <cell r="A142059" t="str">
            <v>GDO</v>
          </cell>
        </row>
        <row r="142060">
          <cell r="A142060" t="str">
            <v>GDS</v>
          </cell>
        </row>
        <row r="142061">
          <cell r="A142061" t="str">
            <v>GDY</v>
          </cell>
        </row>
        <row r="142062">
          <cell r="A142062" t="str">
            <v>GDZ</v>
          </cell>
        </row>
        <row r="142063">
          <cell r="A142063" t="str">
            <v>GEARBOX</v>
          </cell>
        </row>
        <row r="142064">
          <cell r="A142064" t="str">
            <v>GED1</v>
          </cell>
        </row>
        <row r="142065">
          <cell r="A142065" t="str">
            <v>GEN</v>
          </cell>
        </row>
        <row r="142066">
          <cell r="A142066" t="str">
            <v>GEN1</v>
          </cell>
        </row>
        <row r="142067">
          <cell r="A142067" t="str">
            <v>General_Telecoms_Equipment</v>
          </cell>
        </row>
        <row r="142068">
          <cell r="A142068" t="str">
            <v>GENERATORS</v>
          </cell>
        </row>
        <row r="142069">
          <cell r="A142069" t="str">
            <v>GUARDIE IDRAULICHE</v>
          </cell>
        </row>
        <row r="142070">
          <cell r="A142070" t="str">
            <v>GYM</v>
          </cell>
        </row>
        <row r="142071">
          <cell r="A142071" t="str">
            <v>H2S_GAS_DETECTOR</v>
          </cell>
        </row>
        <row r="142072">
          <cell r="A142072" t="str">
            <v>HA</v>
          </cell>
        </row>
        <row r="142073">
          <cell r="A142073" t="str">
            <v>HB</v>
          </cell>
        </row>
        <row r="142074">
          <cell r="A142074" t="str">
            <v>HC</v>
          </cell>
        </row>
        <row r="142075">
          <cell r="A142075" t="str">
            <v>HC_PK</v>
          </cell>
        </row>
        <row r="142076">
          <cell r="A142076" t="str">
            <v>HD</v>
          </cell>
        </row>
        <row r="142077">
          <cell r="A142077" t="str">
            <v>HDUCT</v>
          </cell>
        </row>
        <row r="142078">
          <cell r="A142078" t="str">
            <v>HEAT_DETECTOR</v>
          </cell>
        </row>
        <row r="142079">
          <cell r="A142079" t="str">
            <v>HEATING_COIL_ELECTRIC</v>
          </cell>
        </row>
        <row r="142080">
          <cell r="A142080" t="str">
            <v>HEATING_COIL_WATER</v>
          </cell>
        </row>
        <row r="142081">
          <cell r="A142081" t="str">
            <v>HF</v>
          </cell>
        </row>
        <row r="142082">
          <cell r="A142082" t="str">
            <v>HH</v>
          </cell>
        </row>
        <row r="142083">
          <cell r="A142083" t="str">
            <v>HJ</v>
          </cell>
        </row>
        <row r="142084">
          <cell r="A142084" t="str">
            <v>HK</v>
          </cell>
        </row>
        <row r="142085">
          <cell r="A142085" t="str">
            <v>HM</v>
          </cell>
        </row>
        <row r="142086">
          <cell r="A142086" t="str">
            <v>HN</v>
          </cell>
        </row>
        <row r="142087">
          <cell r="A142087" t="str">
            <v>HN1</v>
          </cell>
        </row>
        <row r="142088">
          <cell r="A142088" t="str">
            <v>HN1_B</v>
          </cell>
        </row>
        <row r="142089">
          <cell r="A142089" t="str">
            <v>HS</v>
          </cell>
        </row>
        <row r="142090">
          <cell r="A142090" t="str">
            <v>HSA</v>
          </cell>
        </row>
        <row r="142091">
          <cell r="A142091" t="str">
            <v>HSP</v>
          </cell>
        </row>
        <row r="142092">
          <cell r="A142092" t="str">
            <v>HSR</v>
          </cell>
        </row>
        <row r="142093">
          <cell r="A142093" t="str">
            <v>HTC</v>
          </cell>
        </row>
        <row r="142094">
          <cell r="A142094" t="str">
            <v>HTR1</v>
          </cell>
        </row>
        <row r="142095">
          <cell r="A142095" t="str">
            <v>HUMIDIFIER</v>
          </cell>
        </row>
        <row r="142096">
          <cell r="A142096" t="str">
            <v>HV</v>
          </cell>
        </row>
        <row r="142097">
          <cell r="A142097" t="str">
            <v>HV/LV_CIRCUIT_BREAKER</v>
          </cell>
        </row>
        <row r="142098">
          <cell r="A142098" t="str">
            <v>HV_CABLE</v>
          </cell>
        </row>
        <row r="142099">
          <cell r="A142099" t="str">
            <v>HV_CABLE_JOINT</v>
          </cell>
        </row>
        <row r="142100">
          <cell r="A142100" t="str">
            <v>HV_LV_CABLE</v>
          </cell>
        </row>
        <row r="142101">
          <cell r="A142101" t="str">
            <v>HV_LV_SWITCHBOARD_CUBICLE</v>
          </cell>
        </row>
        <row r="142102">
          <cell r="A142102" t="str">
            <v>HV_SWITCHBOARD</v>
          </cell>
        </row>
        <row r="142103">
          <cell r="A142103" t="str">
            <v>HVAC_COMPRESSOR</v>
          </cell>
        </row>
        <row r="142104">
          <cell r="A142104" t="str">
            <v>HVAC_DUMPER_FIRE_DUMPER</v>
          </cell>
        </row>
        <row r="142105">
          <cell r="A142105" t="str">
            <v>HVAC_PACKAGED_ROOM_A/C_UNIT</v>
          </cell>
        </row>
        <row r="142106">
          <cell r="A142106" t="str">
            <v>HVAC_SYST_DUCTWORK</v>
          </cell>
        </row>
        <row r="142107">
          <cell r="A142107" t="str">
            <v>HVAC_SYSTEM_TEST</v>
          </cell>
        </row>
        <row r="142108">
          <cell r="A142108" t="str">
            <v>HVAC_System_Test_Water</v>
          </cell>
        </row>
        <row r="142109">
          <cell r="A142109" t="str">
            <v>HVAC1</v>
          </cell>
        </row>
        <row r="142110">
          <cell r="A142110" t="str">
            <v>HVC</v>
          </cell>
        </row>
        <row r="142111">
          <cell r="A142111" t="str">
            <v>HVCB</v>
          </cell>
        </row>
        <row r="142112">
          <cell r="A142112" t="str">
            <v>HVM</v>
          </cell>
        </row>
        <row r="142113">
          <cell r="A142113" t="str">
            <v>HVS</v>
          </cell>
        </row>
        <row r="142114">
          <cell r="A142114" t="str">
            <v>HVS1</v>
          </cell>
        </row>
        <row r="142115">
          <cell r="A142115" t="str">
            <v>HWSYS</v>
          </cell>
        </row>
        <row r="142116">
          <cell r="A142116" t="str">
            <v>HX</v>
          </cell>
        </row>
        <row r="142117">
          <cell r="A142117" t="str">
            <v>HY</v>
          </cell>
        </row>
        <row r="142118">
          <cell r="A142118" t="str">
            <v>HYDRANTS_CABINETS_EQUIPMENT</v>
          </cell>
        </row>
        <row r="142119">
          <cell r="A142119" t="str">
            <v>HYDRANTS_HOSEREELS</v>
          </cell>
        </row>
        <row r="142120">
          <cell r="A142120" t="str">
            <v>HYDRAULIC_COUPLING</v>
          </cell>
        </row>
        <row r="142121">
          <cell r="A142121" t="str">
            <v>HYDRAULIC_SYSTEM</v>
          </cell>
        </row>
        <row r="142122">
          <cell r="A142122" t="str">
            <v>HYDROCARBON_GAS_DETECTOR</v>
          </cell>
        </row>
        <row r="142123">
          <cell r="A142123" t="str">
            <v>HYDROCYCLONE</v>
          </cell>
        </row>
        <row r="142124">
          <cell r="A142124" t="str">
            <v>HYDROTEST_PACK</v>
          </cell>
        </row>
        <row r="142125">
          <cell r="A142125" t="str">
            <v>IAB</v>
          </cell>
        </row>
        <row r="142126">
          <cell r="A142126" t="str">
            <v>IAP</v>
          </cell>
        </row>
        <row r="142127">
          <cell r="A142127" t="str">
            <v>IL</v>
          </cell>
        </row>
        <row r="142128">
          <cell r="A142128" t="str">
            <v>ILA</v>
          </cell>
        </row>
        <row r="142129">
          <cell r="A142129" t="str">
            <v>ILC</v>
          </cell>
        </row>
        <row r="142130">
          <cell r="A142130" t="str">
            <v>ILD</v>
          </cell>
        </row>
        <row r="142131">
          <cell r="A142131" t="str">
            <v>ILS</v>
          </cell>
        </row>
        <row r="142132">
          <cell r="A142132" t="str">
            <v>INERT_GAS_GENERATOR</v>
          </cell>
        </row>
        <row r="142133">
          <cell r="A142133" t="str">
            <v>INJC-XTREE</v>
          </cell>
        </row>
        <row r="142134">
          <cell r="A142134" t="str">
            <v>INLINE_STRAINER</v>
          </cell>
        </row>
        <row r="142135">
          <cell r="A142135" t="str">
            <v>INS1</v>
          </cell>
        </row>
        <row r="142136">
          <cell r="A142136" t="str">
            <v>INS2</v>
          </cell>
        </row>
        <row r="142137">
          <cell r="A142137" t="str">
            <v>INS3</v>
          </cell>
        </row>
        <row r="142138">
          <cell r="A142138" t="str">
            <v>INS4</v>
          </cell>
        </row>
        <row r="142139">
          <cell r="A142139" t="str">
            <v>INST_CATHODIC_PROTECTION</v>
          </cell>
        </row>
        <row r="142140">
          <cell r="A142140" t="str">
            <v>INSTR_COAXIAL_CABLE</v>
          </cell>
        </row>
        <row r="142141">
          <cell r="A142141" t="str">
            <v>INSULATION</v>
          </cell>
        </row>
        <row r="142142">
          <cell r="A142142" t="str">
            <v>INT</v>
          </cell>
        </row>
        <row r="142143">
          <cell r="A142143" t="str">
            <v>Intercom_Unit</v>
          </cell>
        </row>
        <row r="142144">
          <cell r="A142144" t="str">
            <v>INTERNAL_DOOR</v>
          </cell>
        </row>
        <row r="142145">
          <cell r="A142145" t="str">
            <v>INVETER</v>
          </cell>
        </row>
        <row r="142146">
          <cell r="A142146" t="str">
            <v>IP_CONVERTER</v>
          </cell>
        </row>
        <row r="142147">
          <cell r="A142147" t="str">
            <v>IS</v>
          </cell>
        </row>
        <row r="142148">
          <cell r="A142148" t="str">
            <v>ITC</v>
          </cell>
        </row>
        <row r="142149">
          <cell r="A142149" t="str">
            <v>JBX1</v>
          </cell>
        </row>
        <row r="142150">
          <cell r="A142150" t="str">
            <v>JD</v>
          </cell>
        </row>
        <row r="142151">
          <cell r="A142151" t="str">
            <v>JE</v>
          </cell>
        </row>
        <row r="142152">
          <cell r="A142152" t="str">
            <v>JF</v>
          </cell>
        </row>
        <row r="142153">
          <cell r="A142153" t="str">
            <v>JG</v>
          </cell>
        </row>
        <row r="142154">
          <cell r="A142154" t="str">
            <v>JJ</v>
          </cell>
        </row>
        <row r="142155">
          <cell r="A142155" t="str">
            <v>JM</v>
          </cell>
        </row>
        <row r="142156">
          <cell r="A142156" t="str">
            <v>JMP</v>
          </cell>
        </row>
        <row r="142157">
          <cell r="A142157" t="str">
            <v>JN</v>
          </cell>
        </row>
        <row r="142158">
          <cell r="A142158" t="str">
            <v>JS</v>
          </cell>
        </row>
        <row r="142159">
          <cell r="A142159" t="str">
            <v>JT</v>
          </cell>
        </row>
        <row r="142160">
          <cell r="A142160" t="str">
            <v>JUNCTION_BOX__CONTROL_STATION</v>
          </cell>
        </row>
        <row r="142161">
          <cell r="A142161" t="str">
            <v>KA</v>
          </cell>
        </row>
        <row r="142162">
          <cell r="A142162" t="str">
            <v>KB</v>
          </cell>
        </row>
        <row r="142163">
          <cell r="A142163" t="str">
            <v>KC</v>
          </cell>
        </row>
        <row r="142164">
          <cell r="A142164" t="str">
            <v>KD</v>
          </cell>
        </row>
        <row r="142165">
          <cell r="A142165" t="str">
            <v>KE</v>
          </cell>
        </row>
        <row r="142166">
          <cell r="A142166" t="str">
            <v>KG</v>
          </cell>
        </row>
        <row r="142167">
          <cell r="A142167" t="str">
            <v>KL</v>
          </cell>
        </row>
        <row r="142168">
          <cell r="A142168" t="str">
            <v>KN</v>
          </cell>
        </row>
        <row r="142169">
          <cell r="A142169" t="str">
            <v>KO DRUM</v>
          </cell>
        </row>
        <row r="142170">
          <cell r="A142170" t="str">
            <v>KP</v>
          </cell>
        </row>
        <row r="142171">
          <cell r="A142171" t="str">
            <v>KV</v>
          </cell>
        </row>
        <row r="142172">
          <cell r="A142172" t="str">
            <v>KZ</v>
          </cell>
        </row>
        <row r="142173">
          <cell r="A142173" t="str">
            <v>LAUNDRY_ROOM</v>
          </cell>
        </row>
        <row r="142174">
          <cell r="A142174" t="str">
            <v>LCC</v>
          </cell>
        </row>
        <row r="142175">
          <cell r="A142175" t="str">
            <v>LCP</v>
          </cell>
        </row>
        <row r="142176">
          <cell r="A142176" t="str">
            <v>LCS</v>
          </cell>
        </row>
        <row r="142177">
          <cell r="A142177" t="str">
            <v>Leak</v>
          </cell>
        </row>
        <row r="142178">
          <cell r="A142178" t="str">
            <v>LEAK_TEST_PACK</v>
          </cell>
        </row>
        <row r="142179">
          <cell r="A142179" t="str">
            <v>LEQP</v>
          </cell>
        </row>
        <row r="142180">
          <cell r="A142180" t="str">
            <v>LEVEL_INDICATOR_-_SIGHT_GLASS</v>
          </cell>
        </row>
        <row r="142181">
          <cell r="A142181" t="str">
            <v>LEVEL_TRANSMITTER</v>
          </cell>
        </row>
        <row r="142182">
          <cell r="A142182" t="str">
            <v>LG</v>
          </cell>
        </row>
        <row r="142183">
          <cell r="A142183" t="str">
            <v>LG_PK</v>
          </cell>
        </row>
        <row r="142184">
          <cell r="A142184" t="str">
            <v>LGC</v>
          </cell>
        </row>
        <row r="142185">
          <cell r="A142185" t="str">
            <v>LH</v>
          </cell>
        </row>
        <row r="142186">
          <cell r="A142186" t="str">
            <v>LI</v>
          </cell>
        </row>
        <row r="142187">
          <cell r="A142187" t="str">
            <v>LIFEBOAT_AND_CRADLE</v>
          </cell>
        </row>
        <row r="142188">
          <cell r="A142188" t="str">
            <v>LIFERAFT_AND_SCRAMBLE_NET</v>
          </cell>
        </row>
        <row r="142189">
          <cell r="A142189" t="str">
            <v>LIFTING_EQUIPMENT</v>
          </cell>
        </row>
        <row r="142190">
          <cell r="A142190" t="str">
            <v>LIGHTING</v>
          </cell>
        </row>
        <row r="142191">
          <cell r="A142191" t="str">
            <v>LIMIT_SWITCH</v>
          </cell>
        </row>
        <row r="142192">
          <cell r="A142192" t="str">
            <v>LINEAR_HEAT_DETECTION_CABLE</v>
          </cell>
        </row>
        <row r="142193">
          <cell r="A142193" t="str">
            <v>LINEE PED</v>
          </cell>
        </row>
        <row r="142194">
          <cell r="A142194" t="str">
            <v>LINES</v>
          </cell>
        </row>
        <row r="142195">
          <cell r="A142195" t="str">
            <v>LINING_PANEL</v>
          </cell>
        </row>
        <row r="142196">
          <cell r="A142196" t="str">
            <v>LOADED_PIPE</v>
          </cell>
        </row>
        <row r="142197">
          <cell r="A142197" t="str">
            <v>LOR</v>
          </cell>
        </row>
        <row r="142198">
          <cell r="A142198" t="str">
            <v>LOU</v>
          </cell>
        </row>
        <row r="142199">
          <cell r="A142199" t="str">
            <v>LOUVRES__GRILLES</v>
          </cell>
        </row>
        <row r="142200">
          <cell r="A142200" t="str">
            <v>LS</v>
          </cell>
        </row>
        <row r="142201">
          <cell r="A142201" t="str">
            <v>LSW</v>
          </cell>
        </row>
        <row r="142202">
          <cell r="A142202" t="str">
            <v>LT</v>
          </cell>
        </row>
        <row r="142203">
          <cell r="A142203" t="str">
            <v>LT_PK</v>
          </cell>
        </row>
        <row r="142204">
          <cell r="A142204" t="str">
            <v>LUBE_OIL_PACKAGE</v>
          </cell>
        </row>
        <row r="142205">
          <cell r="A142205" t="str">
            <v>LV</v>
          </cell>
        </row>
        <row r="142206">
          <cell r="A142206" t="str">
            <v>LV_CABLE</v>
          </cell>
        </row>
        <row r="142207">
          <cell r="A142207" t="str">
            <v>LV_CIRCUIT_BREAKER</v>
          </cell>
        </row>
        <row r="142208">
          <cell r="A142208" t="str">
            <v>LV_DISTR_PANEL</v>
          </cell>
        </row>
        <row r="142209">
          <cell r="A142209" t="str">
            <v>LV_HV_MOTORS</v>
          </cell>
        </row>
        <row r="142210">
          <cell r="A142210" t="str">
            <v>LV_SWITCHBOARD</v>
          </cell>
        </row>
        <row r="142211">
          <cell r="A142211" t="str">
            <v>LV1</v>
          </cell>
        </row>
        <row r="142212">
          <cell r="A142212" t="str">
            <v>LVC</v>
          </cell>
        </row>
        <row r="142213">
          <cell r="A142213" t="str">
            <v>LVCB</v>
          </cell>
        </row>
        <row r="142214">
          <cell r="A142214" t="str">
            <v>LVCE</v>
          </cell>
        </row>
        <row r="142215">
          <cell r="A142215" t="str">
            <v>LVD</v>
          </cell>
        </row>
        <row r="142216">
          <cell r="A142216" t="str">
            <v>LVM</v>
          </cell>
        </row>
        <row r="142217">
          <cell r="A142217" t="str">
            <v>LVM_PK</v>
          </cell>
        </row>
        <row r="142218">
          <cell r="A142218" t="str">
            <v>LVS</v>
          </cell>
        </row>
        <row r="142219">
          <cell r="A142219" t="str">
            <v>LVS1</v>
          </cell>
        </row>
        <row r="142220">
          <cell r="A142220" t="str">
            <v>LVS2</v>
          </cell>
        </row>
        <row r="142221">
          <cell r="A142221" t="str">
            <v>LVS3</v>
          </cell>
        </row>
        <row r="142222">
          <cell r="A142222" t="str">
            <v>LX</v>
          </cell>
        </row>
        <row r="142223">
          <cell r="A142223" t="str">
            <v>MAC1</v>
          </cell>
        </row>
        <row r="142224">
          <cell r="A142224" t="str">
            <v>MCP</v>
          </cell>
        </row>
        <row r="142225">
          <cell r="A142225" t="str">
            <v>MCT_CABLING</v>
          </cell>
        </row>
        <row r="142226">
          <cell r="A142226" t="str">
            <v>MD</v>
          </cell>
        </row>
        <row r="142227">
          <cell r="A142227" t="str">
            <v>MDF/IDF_CABINET</v>
          </cell>
        </row>
        <row r="142228">
          <cell r="A142228" t="str">
            <v>MECHANICAL_GRE-JOINT</v>
          </cell>
        </row>
        <row r="142229">
          <cell r="A142229" t="str">
            <v>MECHANICAL_VALVES</v>
          </cell>
        </row>
        <row r="142230">
          <cell r="A142230" t="str">
            <v>METROLOGICAL_SENSOR</v>
          </cell>
        </row>
        <row r="142231">
          <cell r="A142231" t="str">
            <v>MFSD</v>
          </cell>
        </row>
        <row r="142232">
          <cell r="A142232" t="str">
            <v>MHE</v>
          </cell>
        </row>
        <row r="142233">
          <cell r="A142233" t="str">
            <v>MISCCELLANEUOS_INSTRUMENT</v>
          </cell>
        </row>
        <row r="142234">
          <cell r="A142234" t="str">
            <v>MISCELLANEOUS</v>
          </cell>
        </row>
        <row r="142235">
          <cell r="A142235" t="str">
            <v>MISCELLANEOUS_ARCH_EQUIPMENT</v>
          </cell>
        </row>
        <row r="142236">
          <cell r="A142236" t="str">
            <v>MISCELLANEOUS_EQUIPMENT</v>
          </cell>
        </row>
        <row r="142237">
          <cell r="A142237" t="str">
            <v>Miscellaneous_System_Rack</v>
          </cell>
        </row>
        <row r="142238">
          <cell r="A142238" t="str">
            <v>Miscellaneous_Telecoms_Equipment</v>
          </cell>
        </row>
        <row r="142239">
          <cell r="A142239" t="str">
            <v>MME</v>
          </cell>
        </row>
        <row r="142240">
          <cell r="A142240" t="str">
            <v>MOC</v>
          </cell>
        </row>
        <row r="142241">
          <cell r="A142241" t="str">
            <v>MOTOR_VALVE</v>
          </cell>
        </row>
        <row r="142242">
          <cell r="A142242" t="str">
            <v>MOV</v>
          </cell>
        </row>
        <row r="142243">
          <cell r="A142243" t="str">
            <v>MOV1</v>
          </cell>
        </row>
        <row r="142244">
          <cell r="A142244" t="str">
            <v>MR</v>
          </cell>
        </row>
        <row r="142245">
          <cell r="A142245" t="str">
            <v>MSL1</v>
          </cell>
        </row>
        <row r="142246">
          <cell r="A142246" t="str">
            <v>MSL2</v>
          </cell>
        </row>
        <row r="142247">
          <cell r="A142247" t="str">
            <v>MSL3</v>
          </cell>
        </row>
        <row r="142248">
          <cell r="A142248" t="str">
            <v>MSL4</v>
          </cell>
        </row>
        <row r="142249">
          <cell r="A142249" t="str">
            <v>MTR1</v>
          </cell>
        </row>
        <row r="142250">
          <cell r="A142250" t="str">
            <v>MTR2</v>
          </cell>
        </row>
        <row r="142251">
          <cell r="A142251" t="str">
            <v>MVD</v>
          </cell>
        </row>
        <row r="142252">
          <cell r="A142252" t="str">
            <v>MVS1</v>
          </cell>
        </row>
        <row r="142253">
          <cell r="A142253" t="str">
            <v>MZ</v>
          </cell>
        </row>
        <row r="142254">
          <cell r="A142254" t="str">
            <v>MZ_PK</v>
          </cell>
        </row>
        <row r="142255">
          <cell r="A142255" t="str">
            <v>NAIDS</v>
          </cell>
        </row>
        <row r="142256">
          <cell r="A142256" t="str">
            <v>NAV1</v>
          </cell>
        </row>
        <row r="142257">
          <cell r="A142257" t="str">
            <v>NER</v>
          </cell>
        </row>
        <row r="142258">
          <cell r="A142258" t="str">
            <v>NETWORK_CABLE</v>
          </cell>
        </row>
        <row r="142259">
          <cell r="A142259" t="str">
            <v>NEUTRAL_EARTH_RESISTOR</v>
          </cell>
        </row>
        <row r="142260">
          <cell r="A142260" t="str">
            <v>OFFICE</v>
          </cell>
        </row>
        <row r="142261">
          <cell r="A142261" t="str">
            <v>ORIFICE_PLATE</v>
          </cell>
        </row>
        <row r="142262">
          <cell r="A142262" t="str">
            <v>OVERHEAD_LINE</v>
          </cell>
        </row>
        <row r="142263">
          <cell r="A142263" t="str">
            <v>PA</v>
          </cell>
        </row>
        <row r="142264">
          <cell r="A142264" t="str">
            <v>PA/GA_ACCESS_PANEL</v>
          </cell>
        </row>
        <row r="142265">
          <cell r="A142265" t="str">
            <v>PA/GA_ALARM_BEACON</v>
          </cell>
        </row>
        <row r="142266">
          <cell r="A142266" t="str">
            <v>PA/GA_EQUIPMENT_RACK</v>
          </cell>
        </row>
        <row r="142267">
          <cell r="A142267" t="str">
            <v>PA/GA_JB</v>
          </cell>
        </row>
        <row r="142268">
          <cell r="A142268" t="str">
            <v>PA/GA_LOUDSPEAKER</v>
          </cell>
        </row>
        <row r="142269">
          <cell r="A142269" t="str">
            <v>PA/GA_MARSHALLING_BOX</v>
          </cell>
        </row>
        <row r="142270">
          <cell r="A142270" t="str">
            <v>PA_GA_Marshalling_Box</v>
          </cell>
        </row>
        <row r="142271">
          <cell r="A142271" t="str">
            <v>PACKAGED_SKID</v>
          </cell>
        </row>
        <row r="142272">
          <cell r="A142272" t="str">
            <v>PAINTING_OF_STEEL_SURF</v>
          </cell>
        </row>
        <row r="142273">
          <cell r="A142273" t="str">
            <v>PASYS</v>
          </cell>
        </row>
        <row r="142274">
          <cell r="A142274" t="str">
            <v>PB</v>
          </cell>
        </row>
        <row r="142275">
          <cell r="A142275" t="str">
            <v>PC</v>
          </cell>
        </row>
        <row r="142276">
          <cell r="A142276" t="str">
            <v>PCK1</v>
          </cell>
        </row>
        <row r="142277">
          <cell r="A142277" t="str">
            <v>PCV</v>
          </cell>
        </row>
        <row r="142278">
          <cell r="A142278" t="str">
            <v>PCV1</v>
          </cell>
        </row>
        <row r="142279">
          <cell r="A142279" t="str">
            <v>PD</v>
          </cell>
        </row>
        <row r="142280">
          <cell r="A142280" t="str">
            <v>PDG</v>
          </cell>
        </row>
        <row r="142281">
          <cell r="A142281" t="str">
            <v>PDI</v>
          </cell>
        </row>
        <row r="142282">
          <cell r="A142282" t="str">
            <v>PDI_PK</v>
          </cell>
        </row>
        <row r="142283">
          <cell r="A142283" t="str">
            <v>PDR1</v>
          </cell>
        </row>
        <row r="142284">
          <cell r="A142284" t="str">
            <v>PDT</v>
          </cell>
        </row>
        <row r="142285">
          <cell r="A142285" t="str">
            <v>PDT_PK</v>
          </cell>
        </row>
        <row r="142286">
          <cell r="A142286" t="str">
            <v>PE</v>
          </cell>
        </row>
        <row r="142287">
          <cell r="A142287" t="str">
            <v>PEDESTRAL_CRANE</v>
          </cell>
        </row>
        <row r="142288">
          <cell r="A142288" t="str">
            <v>PF</v>
          </cell>
        </row>
        <row r="142289">
          <cell r="A142289" t="str">
            <v>PG</v>
          </cell>
        </row>
        <row r="142290">
          <cell r="A142290" t="str">
            <v>PH</v>
          </cell>
        </row>
        <row r="142291">
          <cell r="A142291" t="str">
            <v>PI</v>
          </cell>
        </row>
        <row r="142292">
          <cell r="A142292" t="str">
            <v>PI_PK</v>
          </cell>
        </row>
        <row r="142293">
          <cell r="A142293" t="str">
            <v>PIG_LAUNCHER</v>
          </cell>
        </row>
        <row r="142294">
          <cell r="A142294" t="str">
            <v>Piping</v>
          </cell>
        </row>
        <row r="142295">
          <cell r="A142295" t="str">
            <v>PIPING_FABRICATION</v>
          </cell>
        </row>
        <row r="142296">
          <cell r="A142296" t="str">
            <v>PIPING_TEST_PACK</v>
          </cell>
        </row>
        <row r="142297">
          <cell r="A142297" t="str">
            <v>PJ</v>
          </cell>
        </row>
        <row r="142298">
          <cell r="A142298" t="str">
            <v>PK</v>
          </cell>
        </row>
        <row r="142299">
          <cell r="A142299" t="str">
            <v>PL</v>
          </cell>
        </row>
        <row r="142300">
          <cell r="A142300" t="str">
            <v>PLET</v>
          </cell>
        </row>
        <row r="142301">
          <cell r="A142301" t="str">
            <v>PM</v>
          </cell>
        </row>
        <row r="142302">
          <cell r="A142302" t="str">
            <v>PMP1</v>
          </cell>
        </row>
        <row r="142303">
          <cell r="A142303" t="str">
            <v>PMP2</v>
          </cell>
        </row>
        <row r="142304">
          <cell r="A142304" t="str">
            <v>PMP3</v>
          </cell>
        </row>
        <row r="142305">
          <cell r="A142305" t="str">
            <v>PMP4</v>
          </cell>
        </row>
        <row r="142306">
          <cell r="A142306" t="str">
            <v>PMP5</v>
          </cell>
        </row>
        <row r="142307">
          <cell r="A142307" t="str">
            <v>PMP6</v>
          </cell>
        </row>
        <row r="142308">
          <cell r="A142308" t="str">
            <v>PMP7</v>
          </cell>
        </row>
        <row r="142309">
          <cell r="A142309" t="str">
            <v>PMP8</v>
          </cell>
        </row>
        <row r="142310">
          <cell r="A142310" t="str">
            <v>PN</v>
          </cell>
        </row>
        <row r="142311">
          <cell r="A142311" t="str">
            <v>PNL1</v>
          </cell>
        </row>
        <row r="142312">
          <cell r="A142312" t="str">
            <v>PNL2</v>
          </cell>
        </row>
        <row r="142313">
          <cell r="A142313" t="str">
            <v>PNL3</v>
          </cell>
        </row>
        <row r="142314">
          <cell r="A142314" t="str">
            <v>PNL4</v>
          </cell>
        </row>
        <row r="142315">
          <cell r="A142315" t="str">
            <v>PNL5</v>
          </cell>
        </row>
        <row r="142316">
          <cell r="A142316" t="str">
            <v>PNL6</v>
          </cell>
        </row>
        <row r="142317">
          <cell r="A142317" t="str">
            <v>PNL7</v>
          </cell>
        </row>
        <row r="142318">
          <cell r="A142318" t="str">
            <v>POMPE</v>
          </cell>
        </row>
        <row r="142319">
          <cell r="A142319" t="str">
            <v>PORTABLE_FIRE_FIGHTING_EQUIPMENT</v>
          </cell>
        </row>
        <row r="142320">
          <cell r="A142320" t="str">
            <v>POS</v>
          </cell>
        </row>
        <row r="142321">
          <cell r="A142321" t="str">
            <v>POSITIVE_DISPLACEMENT_PUMPS</v>
          </cell>
        </row>
        <row r="142322">
          <cell r="A142322" t="str">
            <v>POWER_TRASFORMER</v>
          </cell>
        </row>
        <row r="142323">
          <cell r="A142323" t="str">
            <v>PP</v>
          </cell>
        </row>
        <row r="142324">
          <cell r="A142324" t="str">
            <v>PQ</v>
          </cell>
        </row>
        <row r="142325">
          <cell r="A142325" t="str">
            <v>PR</v>
          </cell>
        </row>
        <row r="142326">
          <cell r="A142326" t="str">
            <v>PRECAST_PILE_&amp;_PILE_INST</v>
          </cell>
        </row>
        <row r="142327">
          <cell r="A142327" t="str">
            <v>PRESSURE_GAUGE</v>
          </cell>
        </row>
        <row r="142328">
          <cell r="A142328" t="str">
            <v>PRESSURE_SWITCH</v>
          </cell>
        </row>
        <row r="142329">
          <cell r="A142329" t="str">
            <v>PRESSURE_TRANSMITTER</v>
          </cell>
        </row>
        <row r="142330">
          <cell r="A142330" t="str">
            <v>PRK</v>
          </cell>
        </row>
        <row r="142331">
          <cell r="A142331" t="str">
            <v>PROD_XTREE</v>
          </cell>
        </row>
        <row r="142332">
          <cell r="A142332" t="str">
            <v>PRV</v>
          </cell>
        </row>
        <row r="142333">
          <cell r="A142333" t="str">
            <v>PS</v>
          </cell>
        </row>
        <row r="142334">
          <cell r="A142334" t="str">
            <v>PSE</v>
          </cell>
        </row>
        <row r="142335">
          <cell r="A142335" t="str">
            <v>PSH</v>
          </cell>
        </row>
        <row r="142336">
          <cell r="A142336" t="str">
            <v>PSL</v>
          </cell>
        </row>
        <row r="142337">
          <cell r="A142337" t="str">
            <v>PSV</v>
          </cell>
        </row>
        <row r="142338">
          <cell r="A142338" t="str">
            <v>PSV VENDOR</v>
          </cell>
        </row>
        <row r="142339">
          <cell r="A142339" t="str">
            <v>PSV1</v>
          </cell>
        </row>
        <row r="142340">
          <cell r="A142340" t="str">
            <v>PT</v>
          </cell>
        </row>
        <row r="142341">
          <cell r="A142341" t="str">
            <v>PT_PK</v>
          </cell>
        </row>
        <row r="142342">
          <cell r="A142342" t="str">
            <v>PU</v>
          </cell>
        </row>
        <row r="142343">
          <cell r="A142343" t="str">
            <v>PV</v>
          </cell>
        </row>
        <row r="142344">
          <cell r="A142344" t="str">
            <v>PVSV</v>
          </cell>
        </row>
        <row r="142345">
          <cell r="A142345" t="str">
            <v>PW</v>
          </cell>
        </row>
        <row r="142346">
          <cell r="A142346" t="str">
            <v>PX</v>
          </cell>
        </row>
        <row r="142347">
          <cell r="A142347" t="str">
            <v>QC</v>
          </cell>
        </row>
        <row r="142348">
          <cell r="A142348" t="str">
            <v>QM</v>
          </cell>
        </row>
        <row r="142349">
          <cell r="A142349" t="str">
            <v>QN</v>
          </cell>
        </row>
        <row r="142350">
          <cell r="A142350" t="str">
            <v>QP</v>
          </cell>
        </row>
        <row r="142351">
          <cell r="A142351" t="str">
            <v>QQ</v>
          </cell>
        </row>
        <row r="142352">
          <cell r="A142352" t="str">
            <v>QU</v>
          </cell>
        </row>
        <row r="142353">
          <cell r="A142353" t="str">
            <v>QW</v>
          </cell>
        </row>
        <row r="142354">
          <cell r="A142354" t="str">
            <v>QZ</v>
          </cell>
        </row>
        <row r="142355">
          <cell r="A142355" t="str">
            <v>Radio_Antenna</v>
          </cell>
        </row>
        <row r="142356">
          <cell r="A142356" t="str">
            <v>Radio_Equipment_Rack</v>
          </cell>
        </row>
        <row r="142357">
          <cell r="A142357" t="str">
            <v>Radio_Transceiver</v>
          </cell>
        </row>
        <row r="142358">
          <cell r="A142358" t="str">
            <v>RAISED_FLOOR</v>
          </cell>
        </row>
        <row r="142359">
          <cell r="A142359" t="str">
            <v>RAL1</v>
          </cell>
        </row>
        <row r="142360">
          <cell r="A142360" t="str">
            <v>RAL2</v>
          </cell>
        </row>
        <row r="142361">
          <cell r="A142361" t="str">
            <v>RCT</v>
          </cell>
        </row>
        <row r="142362">
          <cell r="A142362" t="str">
            <v>REATTORI</v>
          </cell>
        </row>
        <row r="142363">
          <cell r="A142363" t="str">
            <v>RECEPTION__SAFETY_OFFICE</v>
          </cell>
        </row>
        <row r="142364">
          <cell r="A142364" t="str">
            <v>RECIPROCATING_COMPRESSOR</v>
          </cell>
        </row>
        <row r="142365">
          <cell r="A142365" t="str">
            <v>RECIPROCATING_PUMP</v>
          </cell>
        </row>
        <row r="142366">
          <cell r="A142366" t="str">
            <v>REFRIGERATION_SYSTEM</v>
          </cell>
        </row>
        <row r="142367">
          <cell r="A142367" t="str">
            <v>RELIEF_VALVE</v>
          </cell>
        </row>
        <row r="142368">
          <cell r="A142368" t="str">
            <v>REST_ROOM</v>
          </cell>
        </row>
        <row r="142369">
          <cell r="A142369" t="str">
            <v>RESTRICTION_ORIFICE</v>
          </cell>
        </row>
        <row r="142370">
          <cell r="A142370" t="str">
            <v>RJ_45_CABLING</v>
          </cell>
        </row>
        <row r="142371">
          <cell r="A142371" t="str">
            <v>RRCT</v>
          </cell>
        </row>
        <row r="142372">
          <cell r="A142372" t="str">
            <v>RUPTURE_DISK</v>
          </cell>
        </row>
        <row r="142373">
          <cell r="A142373" t="str">
            <v>SA</v>
          </cell>
        </row>
        <row r="142374">
          <cell r="A142374" t="str">
            <v>SAFETY_SIGN</v>
          </cell>
        </row>
        <row r="142375">
          <cell r="A142375" t="str">
            <v>SC</v>
          </cell>
        </row>
        <row r="142376">
          <cell r="A142376" t="str">
            <v>SCAMBIATORI</v>
          </cell>
        </row>
        <row r="142377">
          <cell r="A142377" t="str">
            <v>SCATOLE</v>
          </cell>
        </row>
        <row r="142378">
          <cell r="A142378" t="str">
            <v>SDH_System_Rack</v>
          </cell>
        </row>
        <row r="142379">
          <cell r="A142379" t="str">
            <v>SDO</v>
          </cell>
        </row>
        <row r="142380">
          <cell r="A142380" t="str">
            <v>SDR</v>
          </cell>
        </row>
        <row r="142381">
          <cell r="A142381" t="str">
            <v>SDT</v>
          </cell>
        </row>
        <row r="142382">
          <cell r="A142382" t="str">
            <v>SDV</v>
          </cell>
        </row>
        <row r="142383">
          <cell r="A142383" t="str">
            <v>SDV1</v>
          </cell>
        </row>
        <row r="142384">
          <cell r="A142384" t="str">
            <v>SDY</v>
          </cell>
        </row>
        <row r="142385">
          <cell r="A142385" t="str">
            <v>SECONDARY_VENTILATION</v>
          </cell>
        </row>
        <row r="142386">
          <cell r="A142386" t="str">
            <v>SERIAL_INTERFACE_TEST</v>
          </cell>
        </row>
        <row r="142387">
          <cell r="A142387" t="str">
            <v>SF</v>
          </cell>
        </row>
        <row r="142388">
          <cell r="A142388" t="str">
            <v>SGPR</v>
          </cell>
        </row>
        <row r="142389">
          <cell r="A142389" t="str">
            <v>SHT</v>
          </cell>
        </row>
        <row r="142390">
          <cell r="A142390" t="str">
            <v>SISTEM_TEST</v>
          </cell>
        </row>
        <row r="142391">
          <cell r="A142391" t="str">
            <v>SITE_POWER-ON</v>
          </cell>
        </row>
        <row r="142392">
          <cell r="A142392" t="str">
            <v>SLG1</v>
          </cell>
        </row>
        <row r="142393">
          <cell r="A142393" t="str">
            <v>SLP</v>
          </cell>
        </row>
        <row r="142394">
          <cell r="A142394" t="str">
            <v>SMALL_POWER_CIRCUIT</v>
          </cell>
        </row>
        <row r="142395">
          <cell r="A142395" t="str">
            <v>SMOKE_DETECTOR</v>
          </cell>
        </row>
        <row r="142396">
          <cell r="A142396" t="str">
            <v>SOLAR_POWER_GENERATION</v>
          </cell>
        </row>
        <row r="142397">
          <cell r="A142397" t="str">
            <v>SOLENOID_VALVE</v>
          </cell>
        </row>
        <row r="142398">
          <cell r="A142398" t="str">
            <v>SOUND_ATTENUATOR</v>
          </cell>
        </row>
        <row r="142399">
          <cell r="A142399" t="str">
            <v>SPC</v>
          </cell>
        </row>
        <row r="142400">
          <cell r="A142400" t="str">
            <v>SPRAY_WASHER</v>
          </cell>
        </row>
        <row r="142401">
          <cell r="A142401" t="str">
            <v>SPS</v>
          </cell>
        </row>
        <row r="142402">
          <cell r="A142402" t="str">
            <v>SQ</v>
          </cell>
        </row>
        <row r="142403">
          <cell r="A142403" t="str">
            <v>SR</v>
          </cell>
        </row>
        <row r="142404">
          <cell r="A142404" t="str">
            <v>SS</v>
          </cell>
        </row>
        <row r="142405">
          <cell r="A142405" t="str">
            <v>SSTR</v>
          </cell>
        </row>
        <row r="142406">
          <cell r="A142406" t="str">
            <v>ST</v>
          </cell>
        </row>
        <row r="142407">
          <cell r="A142407" t="str">
            <v>STAIRS</v>
          </cell>
        </row>
        <row r="142408">
          <cell r="A142408" t="str">
            <v>STEAM_TURBINE</v>
          </cell>
        </row>
        <row r="142409">
          <cell r="A142409" t="str">
            <v>STORE</v>
          </cell>
        </row>
        <row r="142410">
          <cell r="A142410" t="str">
            <v>SUBMERGED_PUMPS</v>
          </cell>
        </row>
        <row r="142411">
          <cell r="A142411" t="str">
            <v>SUPPLY_EXHAUST_AIR</v>
          </cell>
        </row>
        <row r="142412">
          <cell r="A142412" t="str">
            <v>SURVIVAL_EQUIPMENT</v>
          </cell>
        </row>
        <row r="142413">
          <cell r="A142413" t="str">
            <v>SV</v>
          </cell>
        </row>
        <row r="142414">
          <cell r="A142414" t="str">
            <v>SXY</v>
          </cell>
        </row>
        <row r="142415">
          <cell r="A142415" t="str">
            <v>TA</v>
          </cell>
        </row>
        <row r="142416">
          <cell r="A142416" t="str">
            <v>TANK</v>
          </cell>
        </row>
        <row r="142417">
          <cell r="A142417" t="str">
            <v>TANKS</v>
          </cell>
        </row>
        <row r="142418">
          <cell r="A142418" t="str">
            <v>TB</v>
          </cell>
        </row>
        <row r="142419">
          <cell r="A142419" t="str">
            <v>TC</v>
          </cell>
        </row>
        <row r="142420">
          <cell r="A142420" t="str">
            <v>TCP</v>
          </cell>
        </row>
        <row r="142421">
          <cell r="A142421" t="str">
            <v>TD</v>
          </cell>
        </row>
        <row r="142422">
          <cell r="A142422" t="str">
            <v>TDL</v>
          </cell>
        </row>
        <row r="142423">
          <cell r="A142423" t="str">
            <v>TDT</v>
          </cell>
        </row>
        <row r="142424">
          <cell r="A142424" t="str">
            <v>TE</v>
          </cell>
        </row>
        <row r="142425">
          <cell r="A142425" t="str">
            <v>TE_PK</v>
          </cell>
        </row>
        <row r="142426">
          <cell r="A142426" t="str">
            <v>TELECOM_EQUIPMENT_ROOM</v>
          </cell>
        </row>
        <row r="142427">
          <cell r="A142427" t="str">
            <v>TELECOM_TOWER</v>
          </cell>
        </row>
        <row r="142428">
          <cell r="A142428" t="str">
            <v>Telecoms_Beacon_Loop</v>
          </cell>
        </row>
        <row r="142429">
          <cell r="A142429" t="str">
            <v>Telecoms_Loop</v>
          </cell>
        </row>
        <row r="142430">
          <cell r="A142430" t="str">
            <v>Telephone_JB</v>
          </cell>
        </row>
        <row r="142431">
          <cell r="A142431" t="str">
            <v>Telephone_Outlet_Socket</v>
          </cell>
        </row>
        <row r="142432">
          <cell r="A142432" t="str">
            <v>Telephone_System_Rack</v>
          </cell>
        </row>
        <row r="142433">
          <cell r="A142433" t="str">
            <v>TEMEPERATURE_SWITCH</v>
          </cell>
        </row>
        <row r="142434">
          <cell r="A142434" t="str">
            <v>TEMEPERATURE_TRANSMITTER</v>
          </cell>
        </row>
        <row r="142435">
          <cell r="A142435" t="str">
            <v>TEMPERATURE_ELEMENT</v>
          </cell>
        </row>
        <row r="142436">
          <cell r="A142436" t="str">
            <v>TEMPERATURE_GAUGE</v>
          </cell>
        </row>
        <row r="142437">
          <cell r="A142437" t="str">
            <v>TEST</v>
          </cell>
        </row>
        <row r="142438">
          <cell r="A142438" t="str">
            <v>TF</v>
          </cell>
        </row>
        <row r="142439">
          <cell r="A142439" t="str">
            <v>TG</v>
          </cell>
        </row>
        <row r="142440">
          <cell r="A142440" t="str">
            <v>TH</v>
          </cell>
        </row>
        <row r="142441">
          <cell r="A142441" t="str">
            <v>TH_RTD</v>
          </cell>
        </row>
        <row r="142442">
          <cell r="A142442" t="str">
            <v>THERMOWELL</v>
          </cell>
        </row>
        <row r="142443">
          <cell r="A142443" t="str">
            <v>TI</v>
          </cell>
        </row>
        <row r="142444">
          <cell r="A142444" t="str">
            <v>TI_PK</v>
          </cell>
        </row>
        <row r="142445">
          <cell r="A142445" t="str">
            <v>TIE-IN</v>
          </cell>
        </row>
        <row r="142446">
          <cell r="A142446" t="str">
            <v>TL1</v>
          </cell>
        </row>
        <row r="142447">
          <cell r="A142447" t="str">
            <v>TL2</v>
          </cell>
        </row>
        <row r="142448">
          <cell r="A142448" t="str">
            <v>TL3</v>
          </cell>
        </row>
        <row r="142449">
          <cell r="A142449" t="str">
            <v>TL4</v>
          </cell>
        </row>
        <row r="142450">
          <cell r="A142450" t="str">
            <v>TL5</v>
          </cell>
        </row>
        <row r="142451">
          <cell r="A142451" t="str">
            <v>TL6</v>
          </cell>
        </row>
        <row r="142452">
          <cell r="A142452" t="str">
            <v>TM</v>
          </cell>
        </row>
        <row r="142453">
          <cell r="A142453" t="str">
            <v>TNK1</v>
          </cell>
        </row>
        <row r="142454">
          <cell r="A142454" t="str">
            <v>TNK2</v>
          </cell>
        </row>
        <row r="142455">
          <cell r="A142455" t="str">
            <v>TP</v>
          </cell>
        </row>
        <row r="142456">
          <cell r="A142456" t="str">
            <v>TRA1</v>
          </cell>
        </row>
        <row r="142457">
          <cell r="A142457" t="str">
            <v>TRA2</v>
          </cell>
        </row>
        <row r="142458">
          <cell r="A142458" t="str">
            <v>TRS1</v>
          </cell>
        </row>
        <row r="142459">
          <cell r="A142459" t="str">
            <v>TRS2</v>
          </cell>
        </row>
        <row r="142460">
          <cell r="A142460" t="str">
            <v>TRS3</v>
          </cell>
        </row>
        <row r="142461">
          <cell r="A142461" t="str">
            <v>TRS4</v>
          </cell>
        </row>
        <row r="142462">
          <cell r="A142462" t="str">
            <v>TS</v>
          </cell>
        </row>
        <row r="142463">
          <cell r="A142463" t="str">
            <v>TSV</v>
          </cell>
        </row>
        <row r="142464">
          <cell r="A142464" t="str">
            <v>TSW</v>
          </cell>
        </row>
        <row r="142465">
          <cell r="A142465" t="str">
            <v>TT</v>
          </cell>
        </row>
        <row r="142466">
          <cell r="A142466" t="str">
            <v>TT_PK</v>
          </cell>
        </row>
        <row r="142467">
          <cell r="A142467" t="str">
            <v>TU</v>
          </cell>
        </row>
        <row r="142468">
          <cell r="A142468" t="str">
            <v>TUBING_TEST</v>
          </cell>
        </row>
        <row r="142469">
          <cell r="A142469" t="str">
            <v>TV</v>
          </cell>
        </row>
        <row r="142470">
          <cell r="A142470" t="str">
            <v>TV_Outlet_Socket</v>
          </cell>
        </row>
        <row r="142471">
          <cell r="A142471" t="str">
            <v>TW</v>
          </cell>
        </row>
        <row r="142472">
          <cell r="A142472" t="str">
            <v>TW_PK</v>
          </cell>
        </row>
        <row r="142473">
          <cell r="A142473" t="str">
            <v>TX</v>
          </cell>
        </row>
        <row r="142474">
          <cell r="A142474" t="str">
            <v>TZ</v>
          </cell>
        </row>
        <row r="142475">
          <cell r="A142475" t="str">
            <v>UL</v>
          </cell>
        </row>
        <row r="142476">
          <cell r="A142476" t="str">
            <v>UMB</v>
          </cell>
        </row>
        <row r="142477">
          <cell r="A142477" t="str">
            <v>UPS1</v>
          </cell>
        </row>
        <row r="142478">
          <cell r="A142478" t="str">
            <v>UV</v>
          </cell>
        </row>
        <row r="142479">
          <cell r="A142479" t="str">
            <v>VA</v>
          </cell>
        </row>
        <row r="142480">
          <cell r="A142480" t="str">
            <v>VA_B</v>
          </cell>
        </row>
        <row r="142481">
          <cell r="A142481" t="str">
            <v>VAL1</v>
          </cell>
        </row>
        <row r="142482">
          <cell r="A142482" t="str">
            <v>VAL2</v>
          </cell>
        </row>
        <row r="142483">
          <cell r="A142483" t="str">
            <v>VALVE_INTERLOCK_SYSTEM</v>
          </cell>
        </row>
        <row r="142484">
          <cell r="A142484" t="str">
            <v>VALVOLE</v>
          </cell>
        </row>
        <row r="142485">
          <cell r="A142485" t="str">
            <v>VB</v>
          </cell>
        </row>
        <row r="142486">
          <cell r="A142486" t="str">
            <v>VB_B</v>
          </cell>
        </row>
        <row r="142487">
          <cell r="A142487" t="str">
            <v>VC</v>
          </cell>
        </row>
        <row r="142488">
          <cell r="A142488" t="str">
            <v>VD</v>
          </cell>
        </row>
        <row r="142489">
          <cell r="A142489" t="str">
            <v>VE</v>
          </cell>
        </row>
        <row r="142490">
          <cell r="A142490" t="str">
            <v>VENDOR</v>
          </cell>
        </row>
        <row r="142491">
          <cell r="A142491" t="str">
            <v>VESSEL</v>
          </cell>
        </row>
        <row r="142492">
          <cell r="A142492" t="str">
            <v>VF</v>
          </cell>
        </row>
        <row r="142493">
          <cell r="A142493" t="str">
            <v>VG</v>
          </cell>
        </row>
        <row r="142494">
          <cell r="A142494" t="str">
            <v>VH</v>
          </cell>
        </row>
        <row r="142495">
          <cell r="A142495" t="str">
            <v>VI</v>
          </cell>
        </row>
        <row r="142496">
          <cell r="A142496" t="str">
            <v>VIBRATION_PROBE</v>
          </cell>
        </row>
        <row r="142497">
          <cell r="A142497" t="str">
            <v>VIBRATION_SWITCH</v>
          </cell>
        </row>
        <row r="142498">
          <cell r="A142498" t="str">
            <v>VIBRATION_TRASMITTER</v>
          </cell>
        </row>
        <row r="142499">
          <cell r="A142499" t="str">
            <v>VIS</v>
          </cell>
        </row>
        <row r="142500">
          <cell r="A142500" t="str">
            <v>VJ</v>
          </cell>
        </row>
        <row r="142501">
          <cell r="A142501" t="str">
            <v>VK</v>
          </cell>
        </row>
        <row r="142502">
          <cell r="A142502" t="str">
            <v>VL</v>
          </cell>
        </row>
        <row r="142503">
          <cell r="A142503" t="str">
            <v>VM</v>
          </cell>
        </row>
        <row r="142504">
          <cell r="A142504" t="str">
            <v>VN</v>
          </cell>
        </row>
        <row r="142505">
          <cell r="A142505" t="str">
            <v>VN_PK</v>
          </cell>
        </row>
        <row r="142506">
          <cell r="A142506" t="str">
            <v>VO</v>
          </cell>
        </row>
        <row r="142507">
          <cell r="A142507" t="str">
            <v>VOLTAGE_TRANSF</v>
          </cell>
        </row>
        <row r="142508">
          <cell r="A142508" t="str">
            <v>VP</v>
          </cell>
        </row>
        <row r="142509">
          <cell r="A142509" t="str">
            <v>VQ</v>
          </cell>
        </row>
        <row r="142510">
          <cell r="A142510" t="str">
            <v>VR</v>
          </cell>
        </row>
        <row r="142511">
          <cell r="A142511" t="str">
            <v>VS</v>
          </cell>
        </row>
        <row r="142512">
          <cell r="A142512" t="str">
            <v>VSD</v>
          </cell>
        </row>
        <row r="142513">
          <cell r="A142513" t="str">
            <v>VSL1</v>
          </cell>
        </row>
        <row r="142514">
          <cell r="A142514" t="str">
            <v>VSL2</v>
          </cell>
        </row>
        <row r="142515">
          <cell r="A142515" t="str">
            <v>VSV</v>
          </cell>
        </row>
        <row r="142516">
          <cell r="A142516" t="str">
            <v>VT</v>
          </cell>
        </row>
        <row r="142517">
          <cell r="A142517" t="str">
            <v>VT_PK</v>
          </cell>
        </row>
        <row r="142518">
          <cell r="A142518" t="str">
            <v>VTT</v>
          </cell>
        </row>
        <row r="142519">
          <cell r="A142519" t="str">
            <v>VU</v>
          </cell>
        </row>
        <row r="142520">
          <cell r="A142520" t="str">
            <v>VV</v>
          </cell>
        </row>
        <row r="142521">
          <cell r="A142521" t="str">
            <v>VW</v>
          </cell>
        </row>
        <row r="142522">
          <cell r="A142522" t="str">
            <v>VX</v>
          </cell>
        </row>
        <row r="142523">
          <cell r="A142523" t="str">
            <v>VY</v>
          </cell>
        </row>
        <row r="142524">
          <cell r="A142524" t="str">
            <v>VZ</v>
          </cell>
        </row>
        <row r="142525">
          <cell r="A142525" t="str">
            <v>WALL__ROOF_STRUCTURE</v>
          </cell>
        </row>
        <row r="142526">
          <cell r="A142526" t="str">
            <v>WATER_COOLING_COIL</v>
          </cell>
        </row>
        <row r="142527">
          <cell r="A142527" t="str">
            <v>WATER_DELUGE_SYSTEM</v>
          </cell>
        </row>
        <row r="142528">
          <cell r="A142528" t="str">
            <v>WATER_MAKER</v>
          </cell>
        </row>
        <row r="142529">
          <cell r="A142529" t="str">
            <v>WEATHER_LOVRES</v>
          </cell>
        </row>
        <row r="142530">
          <cell r="A142530" t="str">
            <v>WEL</v>
          </cell>
        </row>
        <row r="142531">
          <cell r="A142531" t="str">
            <v>WINDOWS</v>
          </cell>
        </row>
        <row r="142532">
          <cell r="A142532" t="str">
            <v>WL</v>
          </cell>
        </row>
        <row r="142533">
          <cell r="A142533" t="str">
            <v>WORKSTATION</v>
          </cell>
        </row>
        <row r="142534">
          <cell r="A142534" t="str">
            <v>WS</v>
          </cell>
        </row>
        <row r="142535">
          <cell r="A142535" t="str">
            <v>XA</v>
          </cell>
        </row>
        <row r="142536">
          <cell r="A142536" t="str">
            <v>XV</v>
          </cell>
        </row>
        <row r="142537">
          <cell r="A142537" t="str">
            <v>XV1</v>
          </cell>
        </row>
        <row r="142538">
          <cell r="A142538" t="str">
            <v>XX</v>
          </cell>
        </row>
        <row r="142539">
          <cell r="A142539" t="str">
            <v>XX1</v>
          </cell>
        </row>
        <row r="142540">
          <cell r="A142540" t="str">
            <v>XY</v>
          </cell>
        </row>
        <row r="142541">
          <cell r="A142541" t="str">
            <v>YA</v>
          </cell>
        </row>
        <row r="142542">
          <cell r="A142542" t="str">
            <v>YLC</v>
          </cell>
        </row>
        <row r="142543">
          <cell r="A142543" t="str">
            <v>YLF</v>
          </cell>
        </row>
        <row r="142544">
          <cell r="A142544" t="str">
            <v>YLG</v>
          </cell>
        </row>
        <row r="142545">
          <cell r="A142545" t="str">
            <v>YLT</v>
          </cell>
        </row>
        <row r="142546">
          <cell r="A142546" t="str">
            <v>YSF</v>
          </cell>
        </row>
        <row r="142547">
          <cell r="A142547" t="str">
            <v>ZE</v>
          </cell>
        </row>
        <row r="142548">
          <cell r="A142548" t="str">
            <v>ZP</v>
          </cell>
        </row>
        <row r="142549">
          <cell r="A142549" t="str">
            <v>ZS</v>
          </cell>
        </row>
        <row r="142550">
          <cell r="A142550" t="str">
            <v>ZSL</v>
          </cell>
        </row>
        <row r="142551">
          <cell r="A142551" t="str">
            <v>ZT</v>
          </cell>
        </row>
        <row r="142552">
          <cell r="A142552" t="str">
            <v>ZV</v>
          </cell>
        </row>
        <row r="142556">
          <cell r="A142556" t="str">
            <v>EMPTY</v>
          </cell>
        </row>
        <row r="142557">
          <cell r="A142557" t="str">
            <v>CC</v>
          </cell>
        </row>
        <row r="142558">
          <cell r="A142558" t="str">
            <v>CFP</v>
          </cell>
        </row>
        <row r="142559">
          <cell r="A142559" t="str">
            <v>DTP</v>
          </cell>
        </row>
        <row r="142560">
          <cell r="A142560" t="str">
            <v>FCTP</v>
          </cell>
        </row>
        <row r="142561">
          <cell r="A142561" t="str">
            <v>HTP</v>
          </cell>
        </row>
        <row r="142562">
          <cell r="A142562" t="str">
            <v>ITP</v>
          </cell>
        </row>
        <row r="142563">
          <cell r="A142563" t="str">
            <v>LKT1</v>
          </cell>
        </row>
        <row r="142564">
          <cell r="A142564" t="str">
            <v>LTP</v>
          </cell>
        </row>
        <row r="142565">
          <cell r="A142565" t="str">
            <v>PGT</v>
          </cell>
        </row>
        <row r="142566">
          <cell r="A142566" t="str">
            <v>STP</v>
          </cell>
        </row>
        <row r="142567">
          <cell r="A142567" t="str">
            <v>TestPacks</v>
          </cell>
        </row>
        <row r="142568">
          <cell r="A142568" t="str">
            <v>UTP</v>
          </cell>
        </row>
        <row r="142569">
          <cell r="A142569" t="str">
            <v>VISUAL</v>
          </cell>
        </row>
        <row r="142570">
          <cell r="A142570" t="str">
            <v>VTP</v>
          </cell>
        </row>
        <row r="143312">
          <cell r="A143312" t="str">
            <v>EMPTY</v>
          </cell>
        </row>
        <row r="143313">
          <cell r="A143313" t="str">
            <v>01190LTP011</v>
          </cell>
        </row>
        <row r="143314">
          <cell r="A143314" t="str">
            <v>01190LTP202</v>
          </cell>
        </row>
        <row r="143315">
          <cell r="A143315" t="str">
            <v>01190LTP203</v>
          </cell>
        </row>
        <row r="143316">
          <cell r="A143316" t="str">
            <v>01190LTP204</v>
          </cell>
        </row>
        <row r="143317">
          <cell r="A143317" t="str">
            <v>01190LTP220</v>
          </cell>
        </row>
        <row r="143318">
          <cell r="A143318" t="str">
            <v>01199LTP012</v>
          </cell>
        </row>
        <row r="143319">
          <cell r="A143319" t="str">
            <v>01199LTP013</v>
          </cell>
        </row>
        <row r="143320">
          <cell r="A143320" t="str">
            <v>01199LTP035</v>
          </cell>
        </row>
        <row r="143321">
          <cell r="A143321" t="str">
            <v>01199LTP137</v>
          </cell>
        </row>
        <row r="143322">
          <cell r="A143322" t="str">
            <v>01199LTP201</v>
          </cell>
        </row>
        <row r="143323">
          <cell r="A143323" t="str">
            <v>01200LTP072</v>
          </cell>
        </row>
        <row r="143324">
          <cell r="A143324" t="str">
            <v>01200LTP086</v>
          </cell>
        </row>
        <row r="143325">
          <cell r="A143325" t="str">
            <v>01200LTP134</v>
          </cell>
        </row>
        <row r="143326">
          <cell r="A143326" t="str">
            <v>01200LTP135</v>
          </cell>
        </row>
        <row r="143327">
          <cell r="A143327" t="str">
            <v>01200LTP136</v>
          </cell>
        </row>
        <row r="143328">
          <cell r="A143328" t="str">
            <v>01200LTP138</v>
          </cell>
        </row>
        <row r="143329">
          <cell r="A143329" t="str">
            <v>01200LTP139</v>
          </cell>
        </row>
        <row r="143330">
          <cell r="A143330" t="str">
            <v>01200LTP140</v>
          </cell>
        </row>
        <row r="143331">
          <cell r="A143331" t="str">
            <v>01210LTP006</v>
          </cell>
        </row>
        <row r="143332">
          <cell r="A143332" t="str">
            <v>01210LTP030</v>
          </cell>
        </row>
        <row r="143333">
          <cell r="A143333" t="str">
            <v>01210LTP031</v>
          </cell>
        </row>
        <row r="143334">
          <cell r="A143334" t="str">
            <v>01210LTP032</v>
          </cell>
        </row>
        <row r="143335">
          <cell r="A143335" t="str">
            <v>01210LTP033</v>
          </cell>
        </row>
        <row r="143336">
          <cell r="A143336" t="str">
            <v>01210LTP034</v>
          </cell>
        </row>
        <row r="143337">
          <cell r="A143337" t="str">
            <v>01210LTP036</v>
          </cell>
        </row>
        <row r="143338">
          <cell r="A143338" t="str">
            <v>01210LTP065</v>
          </cell>
        </row>
        <row r="143339">
          <cell r="A143339" t="str">
            <v>01210LTP066</v>
          </cell>
        </row>
        <row r="143340">
          <cell r="A143340" t="str">
            <v>01210LTP067</v>
          </cell>
        </row>
        <row r="143341">
          <cell r="A143341" t="str">
            <v>01210LTP068</v>
          </cell>
        </row>
        <row r="143342">
          <cell r="A143342" t="str">
            <v>01210LTP069</v>
          </cell>
        </row>
        <row r="143343">
          <cell r="A143343" t="str">
            <v>01210LTP070</v>
          </cell>
        </row>
        <row r="143344">
          <cell r="A143344" t="str">
            <v>01210LTP100</v>
          </cell>
        </row>
        <row r="143345">
          <cell r="A143345" t="str">
            <v>01210LTP121</v>
          </cell>
        </row>
        <row r="143346">
          <cell r="A143346" t="str">
            <v>01230LTP-210</v>
          </cell>
        </row>
        <row r="143347">
          <cell r="A143347" t="str">
            <v>01230LTP-211</v>
          </cell>
        </row>
        <row r="143348">
          <cell r="A143348" t="str">
            <v>01230LTP001</v>
          </cell>
        </row>
        <row r="143349">
          <cell r="A143349" t="str">
            <v>01230LTP002</v>
          </cell>
        </row>
        <row r="143350">
          <cell r="A143350" t="str">
            <v>01230LTP003</v>
          </cell>
        </row>
        <row r="143351">
          <cell r="A143351" t="str">
            <v>01230LTP014</v>
          </cell>
        </row>
        <row r="143352">
          <cell r="A143352" t="str">
            <v>01230LTP051A</v>
          </cell>
        </row>
        <row r="143353">
          <cell r="A143353" t="str">
            <v>01230LTP051B</v>
          </cell>
        </row>
        <row r="143354">
          <cell r="A143354" t="str">
            <v>01230LTP051C</v>
          </cell>
        </row>
        <row r="143355">
          <cell r="A143355" t="str">
            <v>01230LTP051D</v>
          </cell>
        </row>
        <row r="143356">
          <cell r="A143356" t="str">
            <v>01230LTP051E</v>
          </cell>
        </row>
        <row r="143357">
          <cell r="A143357" t="str">
            <v>01230LTP052A</v>
          </cell>
        </row>
        <row r="143358">
          <cell r="A143358" t="str">
            <v>01230LTP052B</v>
          </cell>
        </row>
        <row r="143359">
          <cell r="A143359" t="str">
            <v>01230LTP052C</v>
          </cell>
        </row>
        <row r="143360">
          <cell r="A143360" t="str">
            <v>01230LTP052D</v>
          </cell>
        </row>
        <row r="143361">
          <cell r="A143361" t="str">
            <v>01230LTP149</v>
          </cell>
        </row>
        <row r="143362">
          <cell r="A143362" t="str">
            <v>01230LTP150</v>
          </cell>
        </row>
        <row r="143363">
          <cell r="A143363" t="str">
            <v>01230LTP151</v>
          </cell>
        </row>
        <row r="143364">
          <cell r="A143364" t="str">
            <v>01230LTP152</v>
          </cell>
        </row>
        <row r="143365">
          <cell r="A143365" t="str">
            <v>01230LTP165</v>
          </cell>
        </row>
        <row r="143366">
          <cell r="A143366" t="str">
            <v>01330LTP-365</v>
          </cell>
        </row>
        <row r="143367">
          <cell r="A143367" t="str">
            <v>01330LTP-366</v>
          </cell>
        </row>
        <row r="143368">
          <cell r="A143368" t="str">
            <v>01330LTP-367</v>
          </cell>
        </row>
        <row r="143369">
          <cell r="A143369" t="str">
            <v>01330LTP041</v>
          </cell>
        </row>
        <row r="143370">
          <cell r="A143370" t="str">
            <v>01330LTP044</v>
          </cell>
        </row>
        <row r="143371">
          <cell r="A143371" t="str">
            <v>01330LTP045</v>
          </cell>
        </row>
        <row r="143372">
          <cell r="A143372" t="str">
            <v>01330LTP046</v>
          </cell>
        </row>
        <row r="143373">
          <cell r="A143373" t="str">
            <v>01330LTP047</v>
          </cell>
        </row>
        <row r="143374">
          <cell r="A143374" t="str">
            <v>01330LTP048</v>
          </cell>
        </row>
        <row r="143375">
          <cell r="A143375" t="str">
            <v>01330LTP049</v>
          </cell>
        </row>
        <row r="143376">
          <cell r="A143376" t="str">
            <v>01330LTP050</v>
          </cell>
        </row>
        <row r="143377">
          <cell r="A143377" t="str">
            <v>01330LTP110</v>
          </cell>
        </row>
        <row r="143378">
          <cell r="A143378" t="str">
            <v>01330LTP113</v>
          </cell>
        </row>
        <row r="143379">
          <cell r="A143379" t="str">
            <v>01330LTP114</v>
          </cell>
        </row>
        <row r="143380">
          <cell r="A143380" t="str">
            <v>01330LTP115</v>
          </cell>
        </row>
        <row r="143381">
          <cell r="A143381" t="str">
            <v>01330LTP117</v>
          </cell>
        </row>
        <row r="143382">
          <cell r="A143382" t="str">
            <v>01330LTP141</v>
          </cell>
        </row>
        <row r="143383">
          <cell r="A143383" t="str">
            <v>01330LTP142</v>
          </cell>
        </row>
        <row r="143384">
          <cell r="A143384" t="str">
            <v>01330LTP143</v>
          </cell>
        </row>
        <row r="143385">
          <cell r="A143385" t="str">
            <v>01330LTP143B</v>
          </cell>
        </row>
        <row r="143386">
          <cell r="A143386" t="str">
            <v>01330LTP144</v>
          </cell>
        </row>
        <row r="143387">
          <cell r="A143387" t="str">
            <v>01330LTP145</v>
          </cell>
        </row>
        <row r="143388">
          <cell r="A143388" t="str">
            <v>01330LTP146</v>
          </cell>
        </row>
        <row r="143389">
          <cell r="A143389" t="str">
            <v>01330LTP147</v>
          </cell>
        </row>
        <row r="143390">
          <cell r="A143390" t="str">
            <v>01330LTP157</v>
          </cell>
        </row>
        <row r="143391">
          <cell r="A143391" t="str">
            <v>01330LTP158</v>
          </cell>
        </row>
        <row r="143392">
          <cell r="A143392" t="str">
            <v>01330LTP159</v>
          </cell>
        </row>
        <row r="143393">
          <cell r="A143393" t="str">
            <v>01330LTP160</v>
          </cell>
        </row>
        <row r="143394">
          <cell r="A143394" t="str">
            <v>01330LTP161</v>
          </cell>
        </row>
        <row r="143395">
          <cell r="A143395" t="str">
            <v>01330LTP162</v>
          </cell>
        </row>
        <row r="143396">
          <cell r="A143396" t="str">
            <v>01330LTP194</v>
          </cell>
        </row>
        <row r="143397">
          <cell r="A143397" t="str">
            <v>01330LTP195</v>
          </cell>
        </row>
        <row r="143398">
          <cell r="A143398" t="str">
            <v>01330LTP196</v>
          </cell>
        </row>
        <row r="143399">
          <cell r="A143399" t="str">
            <v>01330LTP197</v>
          </cell>
        </row>
        <row r="143400">
          <cell r="A143400" t="str">
            <v>01330LTP199</v>
          </cell>
        </row>
        <row r="143401">
          <cell r="A143401" t="str">
            <v>01331LTP-205</v>
          </cell>
        </row>
        <row r="143402">
          <cell r="A143402" t="str">
            <v>01331LTP-206</v>
          </cell>
        </row>
        <row r="143403">
          <cell r="A143403" t="str">
            <v>01331LTP-207</v>
          </cell>
        </row>
        <row r="143404">
          <cell r="A143404" t="str">
            <v>01331LTP-208</v>
          </cell>
        </row>
        <row r="143405">
          <cell r="A143405" t="str">
            <v>01331LTP-216</v>
          </cell>
        </row>
        <row r="143406">
          <cell r="A143406" t="str">
            <v>01331LTP-217</v>
          </cell>
        </row>
        <row r="143407">
          <cell r="A143407" t="str">
            <v>01331LTP-218</v>
          </cell>
        </row>
        <row r="143408">
          <cell r="A143408" t="str">
            <v>01331LTP-219</v>
          </cell>
        </row>
        <row r="143409">
          <cell r="A143409" t="str">
            <v>01331LTP042</v>
          </cell>
        </row>
        <row r="143410">
          <cell r="A143410" t="str">
            <v>01331LTP043</v>
          </cell>
        </row>
        <row r="143411">
          <cell r="A143411" t="str">
            <v>01331LTP053</v>
          </cell>
        </row>
        <row r="143412">
          <cell r="A143412" t="str">
            <v>01331LTP054</v>
          </cell>
        </row>
        <row r="143413">
          <cell r="A143413" t="str">
            <v>01331LTP055</v>
          </cell>
        </row>
        <row r="143414">
          <cell r="A143414" t="str">
            <v>01331LTP056</v>
          </cell>
        </row>
        <row r="143415">
          <cell r="A143415" t="str">
            <v>01331LTP057</v>
          </cell>
        </row>
        <row r="143416">
          <cell r="A143416" t="str">
            <v>01331LTP058</v>
          </cell>
        </row>
        <row r="143417">
          <cell r="A143417" t="str">
            <v>01331LTP059</v>
          </cell>
        </row>
        <row r="143418">
          <cell r="A143418" t="str">
            <v>01331LTP061</v>
          </cell>
        </row>
        <row r="143419">
          <cell r="A143419" t="str">
            <v>01331LTP074</v>
          </cell>
        </row>
        <row r="143420">
          <cell r="A143420" t="str">
            <v>01331LTP075</v>
          </cell>
        </row>
        <row r="143421">
          <cell r="A143421" t="str">
            <v>01331LTP087</v>
          </cell>
        </row>
        <row r="143422">
          <cell r="A143422" t="str">
            <v>01331LTP088</v>
          </cell>
        </row>
        <row r="143423">
          <cell r="A143423" t="str">
            <v>01331LTP090</v>
          </cell>
        </row>
        <row r="143424">
          <cell r="A143424" t="str">
            <v>01331LTP092</v>
          </cell>
        </row>
        <row r="143425">
          <cell r="A143425" t="str">
            <v>01331LTP093</v>
          </cell>
        </row>
        <row r="143426">
          <cell r="A143426" t="str">
            <v>01331LTP111</v>
          </cell>
        </row>
        <row r="143427">
          <cell r="A143427" t="str">
            <v>01331LTP112</v>
          </cell>
        </row>
        <row r="143428">
          <cell r="A143428" t="str">
            <v>01331LTP166</v>
          </cell>
        </row>
        <row r="143429">
          <cell r="A143429" t="str">
            <v>01331LTP167</v>
          </cell>
        </row>
        <row r="143430">
          <cell r="A143430" t="str">
            <v>01331LTP168</v>
          </cell>
        </row>
        <row r="143431">
          <cell r="A143431" t="str">
            <v>01331LTP169</v>
          </cell>
        </row>
        <row r="143432">
          <cell r="A143432" t="str">
            <v>01331LTP170</v>
          </cell>
        </row>
        <row r="143433">
          <cell r="A143433" t="str">
            <v>01331LTP171</v>
          </cell>
        </row>
        <row r="143434">
          <cell r="A143434" t="str">
            <v>01331LTP172</v>
          </cell>
        </row>
        <row r="143435">
          <cell r="A143435" t="str">
            <v>01331LTP174</v>
          </cell>
        </row>
        <row r="143436">
          <cell r="A143436" t="str">
            <v>01331LTP176</v>
          </cell>
        </row>
        <row r="143437">
          <cell r="A143437" t="str">
            <v>01331LTP177</v>
          </cell>
        </row>
        <row r="143438">
          <cell r="A143438" t="str">
            <v>01331LTP178</v>
          </cell>
        </row>
        <row r="143439">
          <cell r="A143439" t="str">
            <v>01331LTP179</v>
          </cell>
        </row>
        <row r="143440">
          <cell r="A143440" t="str">
            <v>01331LTP180</v>
          </cell>
        </row>
        <row r="143441">
          <cell r="A143441" t="str">
            <v>01331LTP181</v>
          </cell>
        </row>
        <row r="143442">
          <cell r="A143442" t="str">
            <v>01331LTP182</v>
          </cell>
        </row>
        <row r="143443">
          <cell r="A143443" t="str">
            <v>01331LTP183</v>
          </cell>
        </row>
        <row r="143444">
          <cell r="A143444" t="str">
            <v>01331LTP184</v>
          </cell>
        </row>
        <row r="143445">
          <cell r="A143445" t="str">
            <v>01331LTP375</v>
          </cell>
        </row>
        <row r="143446">
          <cell r="A143446" t="str">
            <v>01331LTP376</v>
          </cell>
        </row>
        <row r="143447">
          <cell r="A143447" t="str">
            <v>01331LTP380</v>
          </cell>
        </row>
        <row r="143448">
          <cell r="A143448" t="str">
            <v>01331LTP381</v>
          </cell>
        </row>
        <row r="143449">
          <cell r="A143449" t="str">
            <v>01331LTP382</v>
          </cell>
        </row>
        <row r="143450">
          <cell r="A143450" t="str">
            <v>01331LTP383</v>
          </cell>
        </row>
        <row r="143451">
          <cell r="A143451" t="str">
            <v>01331LTP384</v>
          </cell>
        </row>
        <row r="143452">
          <cell r="A143452" t="str">
            <v>01331LTP385</v>
          </cell>
        </row>
        <row r="143453">
          <cell r="A143453" t="str">
            <v>01332LTP-215</v>
          </cell>
        </row>
        <row r="143454">
          <cell r="A143454" t="str">
            <v>01332LTP060</v>
          </cell>
        </row>
        <row r="143455">
          <cell r="A143455" t="str">
            <v>01332LTP073</v>
          </cell>
        </row>
        <row r="143456">
          <cell r="A143456" t="str">
            <v>01332LTP173</v>
          </cell>
        </row>
        <row r="143457">
          <cell r="A143457" t="str">
            <v>01332LTP175</v>
          </cell>
        </row>
        <row r="143458">
          <cell r="A143458" t="str">
            <v>01334LTP377</v>
          </cell>
        </row>
        <row r="143459">
          <cell r="A143459" t="str">
            <v>01340LTP076</v>
          </cell>
        </row>
        <row r="143460">
          <cell r="A143460" t="str">
            <v>01340LTP118</v>
          </cell>
        </row>
        <row r="143461">
          <cell r="A143461" t="str">
            <v>01340LTP156</v>
          </cell>
        </row>
        <row r="143462">
          <cell r="A143462" t="str">
            <v>01340LTP185</v>
          </cell>
        </row>
        <row r="143463">
          <cell r="A143463" t="str">
            <v>01340LTP186</v>
          </cell>
        </row>
        <row r="143464">
          <cell r="A143464" t="str">
            <v>01340LTP190</v>
          </cell>
        </row>
        <row r="143465">
          <cell r="A143465" t="str">
            <v>01360LTP009</v>
          </cell>
        </row>
        <row r="143466">
          <cell r="A143466" t="str">
            <v>01360LTP029</v>
          </cell>
        </row>
        <row r="143467">
          <cell r="A143467" t="str">
            <v>01360LTP085</v>
          </cell>
        </row>
        <row r="143468">
          <cell r="A143468" t="str">
            <v>01390LTP007</v>
          </cell>
        </row>
        <row r="143469">
          <cell r="A143469" t="str">
            <v>01390LTP015</v>
          </cell>
        </row>
        <row r="143470">
          <cell r="A143470" t="str">
            <v>01390LTP016</v>
          </cell>
        </row>
        <row r="143471">
          <cell r="A143471" t="str">
            <v>01390LTP017</v>
          </cell>
        </row>
        <row r="143472">
          <cell r="A143472" t="str">
            <v>01390LTP018</v>
          </cell>
        </row>
        <row r="143473">
          <cell r="A143473" t="str">
            <v>01390LTP019</v>
          </cell>
        </row>
        <row r="143474">
          <cell r="A143474" t="str">
            <v>01390LTP020</v>
          </cell>
        </row>
        <row r="143475">
          <cell r="A143475" t="str">
            <v>01390LTP021</v>
          </cell>
        </row>
        <row r="143476">
          <cell r="A143476" t="str">
            <v>01390LTP022</v>
          </cell>
        </row>
        <row r="143477">
          <cell r="A143477" t="str">
            <v>01390LTP023</v>
          </cell>
        </row>
        <row r="143478">
          <cell r="A143478" t="str">
            <v>01390LTP024</v>
          </cell>
        </row>
        <row r="143479">
          <cell r="A143479" t="str">
            <v>01390LTP025</v>
          </cell>
        </row>
        <row r="143480">
          <cell r="A143480" t="str">
            <v>01390LTP026</v>
          </cell>
        </row>
        <row r="143481">
          <cell r="A143481" t="str">
            <v>01390LTP027</v>
          </cell>
        </row>
        <row r="143482">
          <cell r="A143482" t="str">
            <v>01390LTP028</v>
          </cell>
        </row>
        <row r="143483">
          <cell r="A143483" t="str">
            <v>01390LTP064D</v>
          </cell>
        </row>
        <row r="143484">
          <cell r="A143484" t="str">
            <v>01390LTP077</v>
          </cell>
        </row>
        <row r="143485">
          <cell r="A143485" t="str">
            <v>01390LTP079</v>
          </cell>
        </row>
        <row r="143486">
          <cell r="A143486" t="str">
            <v>01390LTP091A</v>
          </cell>
        </row>
        <row r="143487">
          <cell r="A143487" t="str">
            <v>01390LTP091B</v>
          </cell>
        </row>
        <row r="143488">
          <cell r="A143488" t="str">
            <v>01390LTP094</v>
          </cell>
        </row>
        <row r="143489">
          <cell r="A143489" t="str">
            <v>01390LTP095</v>
          </cell>
        </row>
        <row r="143490">
          <cell r="A143490" t="str">
            <v>01390LTP096</v>
          </cell>
        </row>
        <row r="143491">
          <cell r="A143491" t="str">
            <v>01390LTP097</v>
          </cell>
        </row>
        <row r="143492">
          <cell r="A143492" t="str">
            <v>01390LTP098</v>
          </cell>
        </row>
        <row r="143493">
          <cell r="A143493" t="str">
            <v>01390LTP099</v>
          </cell>
        </row>
        <row r="143494">
          <cell r="A143494" t="str">
            <v>01390LTP116</v>
          </cell>
        </row>
        <row r="143495">
          <cell r="A143495" t="str">
            <v>01390LTP122</v>
          </cell>
        </row>
        <row r="143496">
          <cell r="A143496" t="str">
            <v>01390LTP127</v>
          </cell>
        </row>
        <row r="143497">
          <cell r="A143497" t="str">
            <v>01390LTP127A</v>
          </cell>
        </row>
        <row r="143498">
          <cell r="A143498" t="str">
            <v>01390LTP128</v>
          </cell>
        </row>
        <row r="143499">
          <cell r="A143499" t="str">
            <v>01390LTP129</v>
          </cell>
        </row>
        <row r="143500">
          <cell r="A143500" t="str">
            <v>01390LTP130</v>
          </cell>
        </row>
        <row r="143501">
          <cell r="A143501" t="str">
            <v>01390LTP131</v>
          </cell>
        </row>
        <row r="143502">
          <cell r="A143502" t="str">
            <v>01390LTP132</v>
          </cell>
        </row>
        <row r="143503">
          <cell r="A143503" t="str">
            <v>01390LTP133</v>
          </cell>
        </row>
        <row r="143504">
          <cell r="A143504" t="str">
            <v>01390LTP164</v>
          </cell>
        </row>
        <row r="143505">
          <cell r="A143505" t="str">
            <v>01390LTP191</v>
          </cell>
        </row>
        <row r="143506">
          <cell r="A143506" t="str">
            <v>01420LTP-214</v>
          </cell>
        </row>
        <row r="143507">
          <cell r="A143507" t="str">
            <v>01420LTP004</v>
          </cell>
        </row>
        <row r="143508">
          <cell r="A143508" t="str">
            <v>01420LTP005</v>
          </cell>
        </row>
        <row r="143509">
          <cell r="A143509" t="str">
            <v>01420LTP062</v>
          </cell>
        </row>
        <row r="143510">
          <cell r="A143510" t="str">
            <v>01420LTP063A</v>
          </cell>
        </row>
        <row r="143511">
          <cell r="A143511" t="str">
            <v>01420LTP063B</v>
          </cell>
        </row>
        <row r="143512">
          <cell r="A143512" t="str">
            <v>01420LTP063C</v>
          </cell>
        </row>
        <row r="143513">
          <cell r="A143513" t="str">
            <v>01420LTP064A</v>
          </cell>
        </row>
        <row r="143514">
          <cell r="A143514" t="str">
            <v>01420LTP064B</v>
          </cell>
        </row>
        <row r="143515">
          <cell r="A143515" t="str">
            <v>01420LTP064C</v>
          </cell>
        </row>
        <row r="143516">
          <cell r="A143516" t="str">
            <v>01420LTP154</v>
          </cell>
        </row>
        <row r="143517">
          <cell r="A143517" t="str">
            <v>01420LTP188</v>
          </cell>
        </row>
        <row r="143518">
          <cell r="A143518" t="str">
            <v>01550LTP-212</v>
          </cell>
        </row>
        <row r="143519">
          <cell r="A143519" t="str">
            <v>01550LTP010</v>
          </cell>
        </row>
        <row r="143520">
          <cell r="A143520" t="str">
            <v>01550LTP089</v>
          </cell>
        </row>
        <row r="143521">
          <cell r="A143521" t="str">
            <v>01550LTP119</v>
          </cell>
        </row>
        <row r="143522">
          <cell r="A143522" t="str">
            <v>01550LTP163</v>
          </cell>
        </row>
        <row r="143523">
          <cell r="A143523" t="str">
            <v>01550LTP187</v>
          </cell>
        </row>
        <row r="143524">
          <cell r="A143524" t="str">
            <v>01565LTP101</v>
          </cell>
        </row>
        <row r="143525">
          <cell r="A143525" t="str">
            <v>01565LTP102</v>
          </cell>
        </row>
        <row r="143526">
          <cell r="A143526" t="str">
            <v>01565LTP103</v>
          </cell>
        </row>
        <row r="143527">
          <cell r="A143527" t="str">
            <v>01565LTP104</v>
          </cell>
        </row>
        <row r="143528">
          <cell r="A143528" t="str">
            <v>01565LTP105</v>
          </cell>
        </row>
        <row r="143529">
          <cell r="A143529" t="str">
            <v>01565LTP106</v>
          </cell>
        </row>
        <row r="143530">
          <cell r="A143530" t="str">
            <v>01565LTP107</v>
          </cell>
        </row>
        <row r="143531">
          <cell r="A143531" t="str">
            <v>01565LTP108</v>
          </cell>
        </row>
        <row r="143532">
          <cell r="A143532" t="str">
            <v>01565LTP109</v>
          </cell>
        </row>
        <row r="143533">
          <cell r="A143533" t="str">
            <v>01900LTP039</v>
          </cell>
        </row>
        <row r="143534">
          <cell r="A143534" t="str">
            <v>01950LTP037</v>
          </cell>
        </row>
        <row r="143535">
          <cell r="A143535" t="str">
            <v>01950LTP038</v>
          </cell>
        </row>
        <row r="143536">
          <cell r="A143536" t="str">
            <v>01STP-70A-690-AB01-09</v>
          </cell>
        </row>
        <row r="143537">
          <cell r="A143537" t="str">
            <v>01STP-70B-690-AB01-09</v>
          </cell>
        </row>
        <row r="143538">
          <cell r="A143538" t="str">
            <v>01STP-70C-690-AB01-09</v>
          </cell>
        </row>
        <row r="143539">
          <cell r="A143539" t="str">
            <v>02199LTP-221_B</v>
          </cell>
        </row>
        <row r="143540">
          <cell r="A143540" t="str">
            <v>02199LTP-309</v>
          </cell>
        </row>
        <row r="143541">
          <cell r="A143541" t="str">
            <v>02200LTP-238</v>
          </cell>
        </row>
        <row r="143542">
          <cell r="A143542" t="str">
            <v>02200LTP-262</v>
          </cell>
        </row>
        <row r="143543">
          <cell r="A143543" t="str">
            <v>02200LTP-298</v>
          </cell>
        </row>
        <row r="143544">
          <cell r="A143544" t="str">
            <v>02200LTP-299</v>
          </cell>
        </row>
        <row r="143545">
          <cell r="A143545" t="str">
            <v>02200LTP-300</v>
          </cell>
        </row>
        <row r="143546">
          <cell r="A143546" t="str">
            <v>02200LTP-301</v>
          </cell>
        </row>
        <row r="143547">
          <cell r="A143547" t="str">
            <v>02210LTP-243</v>
          </cell>
        </row>
        <row r="143548">
          <cell r="A143548" t="str">
            <v>02210LTP-244</v>
          </cell>
        </row>
        <row r="143549">
          <cell r="A143549" t="str">
            <v>02210LTP-292</v>
          </cell>
        </row>
        <row r="143550">
          <cell r="A143550" t="str">
            <v>02210LTP-293</v>
          </cell>
        </row>
        <row r="143551">
          <cell r="A143551" t="str">
            <v>02210LTP-294</v>
          </cell>
        </row>
        <row r="143552">
          <cell r="A143552" t="str">
            <v>02210LTP-295</v>
          </cell>
        </row>
        <row r="143553">
          <cell r="A143553" t="str">
            <v>02210LTP-296</v>
          </cell>
        </row>
        <row r="143554">
          <cell r="A143554" t="str">
            <v>02210LTP-306</v>
          </cell>
        </row>
        <row r="143555">
          <cell r="A143555" t="str">
            <v>02210LTP-307</v>
          </cell>
        </row>
        <row r="143556">
          <cell r="A143556" t="str">
            <v>02230LTP-226-C</v>
          </cell>
        </row>
        <row r="143557">
          <cell r="A143557" t="str">
            <v>02230LTP-226-D</v>
          </cell>
        </row>
        <row r="143558">
          <cell r="A143558" t="str">
            <v>02230LTP-226-E</v>
          </cell>
        </row>
        <row r="143559">
          <cell r="A143559" t="str">
            <v>02230LTP-226_A</v>
          </cell>
        </row>
        <row r="143560">
          <cell r="A143560" t="str">
            <v>02230LTP-226_B</v>
          </cell>
        </row>
        <row r="143561">
          <cell r="A143561" t="str">
            <v>02230LTP-227_A</v>
          </cell>
        </row>
        <row r="143562">
          <cell r="A143562" t="str">
            <v>02230LTP-227_B</v>
          </cell>
        </row>
        <row r="143563">
          <cell r="A143563" t="str">
            <v>02230LTP-227_C</v>
          </cell>
        </row>
        <row r="143564">
          <cell r="A143564" t="str">
            <v>02230LTP-239</v>
          </cell>
        </row>
        <row r="143565">
          <cell r="A143565" t="str">
            <v>02230LTP-252</v>
          </cell>
        </row>
        <row r="143566">
          <cell r="A143566" t="str">
            <v>02230LTP-253</v>
          </cell>
        </row>
        <row r="143567">
          <cell r="A143567" t="str">
            <v>02230LTP-291</v>
          </cell>
        </row>
        <row r="143568">
          <cell r="A143568" t="str">
            <v>02230LTP-319</v>
          </cell>
        </row>
        <row r="143569">
          <cell r="A143569" t="str">
            <v>02230LTP-320</v>
          </cell>
        </row>
        <row r="143570">
          <cell r="A143570" t="str">
            <v>02230LTP-362</v>
          </cell>
        </row>
        <row r="143571">
          <cell r="A143571" t="str">
            <v>02330LTP-221_ A</v>
          </cell>
        </row>
        <row r="143572">
          <cell r="A143572" t="str">
            <v>02330LTP-222_A</v>
          </cell>
        </row>
        <row r="143573">
          <cell r="A143573" t="str">
            <v>02330LTP-223_A</v>
          </cell>
        </row>
        <row r="143574">
          <cell r="A143574" t="str">
            <v>02330LTP-223_B</v>
          </cell>
        </row>
        <row r="143575">
          <cell r="A143575" t="str">
            <v>02330LTP-224_A</v>
          </cell>
        </row>
        <row r="143576">
          <cell r="A143576" t="str">
            <v>02330LTP-224_B</v>
          </cell>
        </row>
        <row r="143577">
          <cell r="A143577" t="str">
            <v>02330LTP-225</v>
          </cell>
        </row>
        <row r="143578">
          <cell r="A143578" t="str">
            <v>02330LTP-228</v>
          </cell>
        </row>
        <row r="143579">
          <cell r="A143579" t="str">
            <v>02330LTP-229_A</v>
          </cell>
        </row>
        <row r="143580">
          <cell r="A143580" t="str">
            <v>02330LTP-229_B</v>
          </cell>
        </row>
        <row r="143581">
          <cell r="A143581" t="str">
            <v>02330LTP-241</v>
          </cell>
        </row>
        <row r="143582">
          <cell r="A143582" t="str">
            <v>02330LTP-245</v>
          </cell>
        </row>
        <row r="143583">
          <cell r="A143583" t="str">
            <v>02330LTP-246</v>
          </cell>
        </row>
        <row r="143584">
          <cell r="A143584" t="str">
            <v>02330LTP-247</v>
          </cell>
        </row>
        <row r="143585">
          <cell r="A143585" t="str">
            <v>02330LTP-248</v>
          </cell>
        </row>
        <row r="143586">
          <cell r="A143586" t="str">
            <v>02330LTP-249</v>
          </cell>
        </row>
        <row r="143587">
          <cell r="A143587" t="str">
            <v>02330LTP-250</v>
          </cell>
        </row>
        <row r="143588">
          <cell r="A143588" t="str">
            <v>02330LTP-251</v>
          </cell>
        </row>
        <row r="143589">
          <cell r="A143589" t="str">
            <v>02330LTP-259</v>
          </cell>
        </row>
        <row r="143590">
          <cell r="A143590" t="str">
            <v>02330LTP-260</v>
          </cell>
        </row>
        <row r="143591">
          <cell r="A143591" t="str">
            <v>02330LTP-312</v>
          </cell>
        </row>
        <row r="143592">
          <cell r="A143592" t="str">
            <v>02330LTP-313</v>
          </cell>
        </row>
        <row r="143593">
          <cell r="A143593" t="str">
            <v>02330LTP-314</v>
          </cell>
        </row>
        <row r="143594">
          <cell r="A143594" t="str">
            <v>02330LTP-315</v>
          </cell>
        </row>
        <row r="143595">
          <cell r="A143595" t="str">
            <v>02330LTP-316</v>
          </cell>
        </row>
        <row r="143596">
          <cell r="A143596" t="str">
            <v>02330LTP-317</v>
          </cell>
        </row>
        <row r="143597">
          <cell r="A143597" t="str">
            <v>02330LTP-318</v>
          </cell>
        </row>
        <row r="143598">
          <cell r="A143598" t="str">
            <v>02330LTP-326</v>
          </cell>
        </row>
        <row r="143599">
          <cell r="A143599" t="str">
            <v>02330LTP-327</v>
          </cell>
        </row>
        <row r="143600">
          <cell r="A143600" t="str">
            <v>02330LTP-369</v>
          </cell>
        </row>
        <row r="143601">
          <cell r="A143601" t="str">
            <v>02330LTP-370</v>
          </cell>
        </row>
        <row r="143602">
          <cell r="A143602" t="str">
            <v>02330LTP-371</v>
          </cell>
        </row>
        <row r="143603">
          <cell r="A143603" t="str">
            <v>02331LTP-222_B</v>
          </cell>
        </row>
        <row r="143604">
          <cell r="A143604" t="str">
            <v>02331LTP-264</v>
          </cell>
        </row>
        <row r="143605">
          <cell r="A143605" t="str">
            <v>02331LTP-265</v>
          </cell>
        </row>
        <row r="143606">
          <cell r="A143606" t="str">
            <v>02331LTP-266</v>
          </cell>
        </row>
        <row r="143607">
          <cell r="A143607" t="str">
            <v>02331LTP-267</v>
          </cell>
        </row>
        <row r="143608">
          <cell r="A143608" t="str">
            <v>02331LTP-268</v>
          </cell>
        </row>
        <row r="143609">
          <cell r="A143609" t="str">
            <v>02331LTP-269</v>
          </cell>
        </row>
        <row r="143610">
          <cell r="A143610" t="str">
            <v>02331LTP-270</v>
          </cell>
        </row>
        <row r="143611">
          <cell r="A143611" t="str">
            <v>02331LTP-271</v>
          </cell>
        </row>
        <row r="143612">
          <cell r="A143612" t="str">
            <v>02331LTP-273</v>
          </cell>
        </row>
        <row r="143613">
          <cell r="A143613" t="str">
            <v>02331LTP-275</v>
          </cell>
        </row>
        <row r="143614">
          <cell r="A143614" t="str">
            <v>02331LTP-276</v>
          </cell>
        </row>
        <row r="143615">
          <cell r="A143615" t="str">
            <v>02331LTP-277</v>
          </cell>
        </row>
        <row r="143616">
          <cell r="A143616" t="str">
            <v>02331LTP-278</v>
          </cell>
        </row>
        <row r="143617">
          <cell r="A143617" t="str">
            <v>02331LTP-279</v>
          </cell>
        </row>
        <row r="143618">
          <cell r="A143618" t="str">
            <v>02331LTP-280</v>
          </cell>
        </row>
        <row r="143619">
          <cell r="A143619" t="str">
            <v>02331LTP-281</v>
          </cell>
        </row>
        <row r="143620">
          <cell r="A143620" t="str">
            <v>02331LTP-282</v>
          </cell>
        </row>
        <row r="143621">
          <cell r="A143621" t="str">
            <v>02331LTP-283</v>
          </cell>
        </row>
        <row r="143622">
          <cell r="A143622" t="str">
            <v>02331LTP-284</v>
          </cell>
        </row>
        <row r="143623">
          <cell r="A143623" t="str">
            <v>02331LTP-285</v>
          </cell>
        </row>
        <row r="143624">
          <cell r="A143624" t="str">
            <v>02331LTP-286</v>
          </cell>
        </row>
        <row r="143625">
          <cell r="A143625" t="str">
            <v>02331LTP-287</v>
          </cell>
        </row>
        <row r="143626">
          <cell r="A143626" t="str">
            <v>02331LTP-288</v>
          </cell>
        </row>
        <row r="143627">
          <cell r="A143627" t="str">
            <v>02331LTP-289</v>
          </cell>
        </row>
        <row r="143628">
          <cell r="A143628" t="str">
            <v>02331LTP-303</v>
          </cell>
        </row>
        <row r="143629">
          <cell r="A143629" t="str">
            <v>02331LTP-330</v>
          </cell>
        </row>
        <row r="143630">
          <cell r="A143630" t="str">
            <v>02331LTP-331</v>
          </cell>
        </row>
        <row r="143631">
          <cell r="A143631" t="str">
            <v>02331LTP-332</v>
          </cell>
        </row>
        <row r="143632">
          <cell r="A143632" t="str">
            <v>02331LTP-333</v>
          </cell>
        </row>
        <row r="143633">
          <cell r="A143633" t="str">
            <v>02331LTP-334</v>
          </cell>
        </row>
        <row r="143634">
          <cell r="A143634" t="str">
            <v>02331LTP-335</v>
          </cell>
        </row>
        <row r="143635">
          <cell r="A143635" t="str">
            <v>02331LTP-336</v>
          </cell>
        </row>
        <row r="143636">
          <cell r="A143636" t="str">
            <v>02331LTP-337</v>
          </cell>
        </row>
        <row r="143637">
          <cell r="A143637" t="str">
            <v>02331LTP-339</v>
          </cell>
        </row>
        <row r="143638">
          <cell r="A143638" t="str">
            <v>02331LTP-341</v>
          </cell>
        </row>
        <row r="143639">
          <cell r="A143639" t="str">
            <v>02331LTP-342</v>
          </cell>
        </row>
        <row r="143640">
          <cell r="A143640" t="str">
            <v>02331LTP-343</v>
          </cell>
        </row>
        <row r="143641">
          <cell r="A143641" t="str">
            <v>02331LTP-344</v>
          </cell>
        </row>
        <row r="143642">
          <cell r="A143642" t="str">
            <v>02331LTP-346</v>
          </cell>
        </row>
        <row r="143643">
          <cell r="A143643" t="str">
            <v>02331LTP-347</v>
          </cell>
        </row>
        <row r="143644">
          <cell r="A143644" t="str">
            <v>02331LTP-348</v>
          </cell>
        </row>
        <row r="143645">
          <cell r="A143645" t="str">
            <v>02331LTP-349</v>
          </cell>
        </row>
        <row r="143646">
          <cell r="A143646" t="str">
            <v>02331LTP-352</v>
          </cell>
        </row>
        <row r="143647">
          <cell r="A143647" t="str">
            <v>02331LTP-353</v>
          </cell>
        </row>
        <row r="143648">
          <cell r="A143648" t="str">
            <v>02331LTP-354</v>
          </cell>
        </row>
        <row r="143649">
          <cell r="A143649" t="str">
            <v>02331LTP-355</v>
          </cell>
        </row>
        <row r="143650">
          <cell r="A143650" t="str">
            <v>02332LTP-272</v>
          </cell>
        </row>
        <row r="143651">
          <cell r="A143651" t="str">
            <v>02332LTP-274</v>
          </cell>
        </row>
        <row r="143652">
          <cell r="A143652" t="str">
            <v>02332LTP-290</v>
          </cell>
        </row>
        <row r="143653">
          <cell r="A143653" t="str">
            <v>02332LTP-338</v>
          </cell>
        </row>
        <row r="143654">
          <cell r="A143654" t="str">
            <v>02332LTP-340</v>
          </cell>
        </row>
        <row r="143655">
          <cell r="A143655" t="str">
            <v>02332LTP-356</v>
          </cell>
        </row>
        <row r="143656">
          <cell r="A143656" t="str">
            <v>02340LTP-234_A</v>
          </cell>
        </row>
        <row r="143657">
          <cell r="A143657" t="str">
            <v>02340LTP-255</v>
          </cell>
        </row>
        <row r="143658">
          <cell r="A143658" t="str">
            <v>02340LTP-258</v>
          </cell>
        </row>
        <row r="143659">
          <cell r="A143659" t="str">
            <v>02340LTP-322</v>
          </cell>
        </row>
        <row r="143660">
          <cell r="A143660" t="str">
            <v>02340LTP-325</v>
          </cell>
        </row>
        <row r="143661">
          <cell r="A143661" t="str">
            <v>02340LTP-357</v>
          </cell>
        </row>
        <row r="143662">
          <cell r="A143662" t="str">
            <v>02340LTP-359</v>
          </cell>
        </row>
        <row r="143663">
          <cell r="A143663" t="str">
            <v>02340LTP-360</v>
          </cell>
        </row>
        <row r="143664">
          <cell r="A143664" t="str">
            <v>02340LTP-361</v>
          </cell>
        </row>
        <row r="143665">
          <cell r="A143665" t="str">
            <v>02360LTP-221_C</v>
          </cell>
        </row>
        <row r="143666">
          <cell r="A143666" t="str">
            <v>02360LTP-234_B</v>
          </cell>
        </row>
        <row r="143667">
          <cell r="A143667" t="str">
            <v>02390LTP-233</v>
          </cell>
        </row>
        <row r="143668">
          <cell r="A143668" t="str">
            <v>02390LTP-257</v>
          </cell>
        </row>
        <row r="143669">
          <cell r="A143669" t="str">
            <v>02390LTP-263</v>
          </cell>
        </row>
        <row r="143670">
          <cell r="A143670" t="str">
            <v>02390LTP-297</v>
          </cell>
        </row>
        <row r="143671">
          <cell r="A143671" t="str">
            <v>02390LTP-324</v>
          </cell>
        </row>
        <row r="143672">
          <cell r="A143672" t="str">
            <v>02420LTP-230-D</v>
          </cell>
        </row>
        <row r="143673">
          <cell r="A143673" t="str">
            <v>02420LTP-230_A</v>
          </cell>
        </row>
        <row r="143674">
          <cell r="A143674" t="str">
            <v>02420LTP-230_B</v>
          </cell>
        </row>
        <row r="143675">
          <cell r="A143675" t="str">
            <v>02420LTP-235</v>
          </cell>
        </row>
        <row r="143676">
          <cell r="A143676" t="str">
            <v>02420LTP-236</v>
          </cell>
        </row>
        <row r="143677">
          <cell r="A143677" t="str">
            <v>02420LTP-237_A</v>
          </cell>
        </row>
        <row r="143678">
          <cell r="A143678" t="str">
            <v>02420LTP-237_B</v>
          </cell>
        </row>
        <row r="143679">
          <cell r="A143679" t="str">
            <v>02420LTP-240</v>
          </cell>
        </row>
        <row r="143680">
          <cell r="A143680" t="str">
            <v>02420LTP-242</v>
          </cell>
        </row>
        <row r="143681">
          <cell r="A143681" t="str">
            <v>02420LTP-254</v>
          </cell>
        </row>
        <row r="143682">
          <cell r="A143682" t="str">
            <v>02420LTP-261</v>
          </cell>
        </row>
        <row r="143683">
          <cell r="A143683" t="str">
            <v>02420LTP-304</v>
          </cell>
        </row>
        <row r="143684">
          <cell r="A143684" t="str">
            <v>02420LTP-305</v>
          </cell>
        </row>
        <row r="143685">
          <cell r="A143685" t="str">
            <v>02420LTP-308</v>
          </cell>
        </row>
        <row r="143686">
          <cell r="A143686" t="str">
            <v>02420LTP-321</v>
          </cell>
        </row>
        <row r="143687">
          <cell r="A143687" t="str">
            <v>02420LTP-328</v>
          </cell>
        </row>
        <row r="143688">
          <cell r="A143688" t="str">
            <v>02550LTP-232-C</v>
          </cell>
        </row>
        <row r="143689">
          <cell r="A143689" t="str">
            <v>02550LTP-232-D</v>
          </cell>
        </row>
        <row r="143690">
          <cell r="A143690" t="str">
            <v>02550LTP-232-E</v>
          </cell>
        </row>
        <row r="143691">
          <cell r="A143691" t="str">
            <v>02550LTP-232_A</v>
          </cell>
        </row>
        <row r="143692">
          <cell r="A143692" t="str">
            <v>02550LTP-232_B</v>
          </cell>
        </row>
        <row r="143693">
          <cell r="A143693" t="str">
            <v>02550LTP-256</v>
          </cell>
        </row>
        <row r="143694">
          <cell r="A143694" t="str">
            <v>02550LTP-302</v>
          </cell>
        </row>
        <row r="143695">
          <cell r="A143695" t="str">
            <v>02550LTP-310</v>
          </cell>
        </row>
        <row r="143696">
          <cell r="A143696" t="str">
            <v>02550LTP-311</v>
          </cell>
        </row>
        <row r="143697">
          <cell r="A143697" t="str">
            <v>02550LTP-323</v>
          </cell>
        </row>
        <row r="143698">
          <cell r="A143698" t="str">
            <v>02550LTP-358</v>
          </cell>
        </row>
        <row r="143699">
          <cell r="A143699" t="str">
            <v>02565LTP-231</v>
          </cell>
        </row>
        <row r="143700">
          <cell r="A143700" t="str">
            <v>02STP-001-530-DW10-09</v>
          </cell>
        </row>
        <row r="143701">
          <cell r="A143701" t="str">
            <v>02STP-1-520-UW10-01</v>
          </cell>
        </row>
        <row r="143702">
          <cell r="A143702" t="str">
            <v>02STP-10-600-UN12-01</v>
          </cell>
        </row>
        <row r="143703">
          <cell r="A143703" t="str">
            <v>02STP-100-334-UN10-01</v>
          </cell>
        </row>
        <row r="143704">
          <cell r="A143704" t="str">
            <v>02STP-101-340-UN15-01</v>
          </cell>
        </row>
        <row r="143705">
          <cell r="A143705" t="str">
            <v>02STP-102-340-UN16-01</v>
          </cell>
        </row>
        <row r="143706">
          <cell r="A143706" t="str">
            <v>02STP-103-340-UN17-01</v>
          </cell>
        </row>
        <row r="143707">
          <cell r="A143707" t="str">
            <v>02STP-104-522-RJ10-01</v>
          </cell>
        </row>
        <row r="143708">
          <cell r="A143708" t="str">
            <v>02STP-105-331-BB13-01</v>
          </cell>
        </row>
        <row r="143709">
          <cell r="A143709" t="str">
            <v>02STP-106-331-SL14-01</v>
          </cell>
        </row>
        <row r="143710">
          <cell r="A143710" t="str">
            <v>02STP-107-556-WD10-01</v>
          </cell>
        </row>
        <row r="143711">
          <cell r="A143711" t="str">
            <v>02STP-108-556-WD10-02</v>
          </cell>
        </row>
        <row r="143712">
          <cell r="A143712" t="str">
            <v>02STP-109-556-WD10-03</v>
          </cell>
        </row>
        <row r="143713">
          <cell r="A143713" t="str">
            <v>02STP-11-520-IW10-01</v>
          </cell>
        </row>
        <row r="143714">
          <cell r="A143714" t="str">
            <v>02STP-11-530-DW01-02</v>
          </cell>
        </row>
        <row r="143715">
          <cell r="A143715" t="str">
            <v>02STP-110-556-WD10-03</v>
          </cell>
        </row>
        <row r="143716">
          <cell r="A143716" t="str">
            <v>02STP-111-331-UA14-01</v>
          </cell>
        </row>
        <row r="143717">
          <cell r="A143717" t="str">
            <v>02STP-112-460-UA08-01</v>
          </cell>
        </row>
        <row r="143718">
          <cell r="A143718" t="str">
            <v>02STP-113-522-NW10-04</v>
          </cell>
        </row>
        <row r="143719">
          <cell r="A143719" t="str">
            <v>02STP-115-331-LL10-01</v>
          </cell>
        </row>
        <row r="143720">
          <cell r="A143720" t="str">
            <v>02STP-116-334-LC10-01</v>
          </cell>
        </row>
        <row r="143721">
          <cell r="A143721" t="str">
            <v>02STP-117-334-LS10-01</v>
          </cell>
        </row>
        <row r="143722">
          <cell r="A143722" t="str">
            <v>02STP-118-525-LS10-09</v>
          </cell>
        </row>
        <row r="143723">
          <cell r="A143723" t="str">
            <v>02STP-119-525-LC10-03</v>
          </cell>
        </row>
        <row r="143724">
          <cell r="A143724" t="str">
            <v>02STP-12-525-LS10-04</v>
          </cell>
        </row>
        <row r="143725">
          <cell r="A143725" t="str">
            <v>02STP-120-525-LC10-04</v>
          </cell>
        </row>
        <row r="143726">
          <cell r="A143726" t="str">
            <v>02STP-121-525-LC10-05</v>
          </cell>
        </row>
        <row r="143727">
          <cell r="A143727" t="str">
            <v>02STP-122-331-FW13-01</v>
          </cell>
        </row>
        <row r="143728">
          <cell r="A143728" t="str">
            <v>02STP-123-600-UN08-01</v>
          </cell>
        </row>
        <row r="143729">
          <cell r="A143729" t="str">
            <v>02STP-124-730-FW01-04</v>
          </cell>
        </row>
        <row r="143730">
          <cell r="A143730" t="str">
            <v>02STP-125-340-IA08-01</v>
          </cell>
        </row>
        <row r="143731">
          <cell r="A143731" t="str">
            <v>02STP-126-340-UN08-01</v>
          </cell>
        </row>
        <row r="143732">
          <cell r="A143732" t="str">
            <v>02STP-127-730-FW10-01</v>
          </cell>
        </row>
        <row r="143733">
          <cell r="A143733" t="str">
            <v>02STP-128-730-FW11-01</v>
          </cell>
        </row>
        <row r="143734">
          <cell r="A143734" t="str">
            <v>02STP-129-730-FW11-03</v>
          </cell>
        </row>
        <row r="143735">
          <cell r="A143735" t="str">
            <v>02STP-13-460-UA10-06</v>
          </cell>
        </row>
        <row r="143736">
          <cell r="A143736" t="str">
            <v>02STP-130-730-FW11-05</v>
          </cell>
        </row>
        <row r="143737">
          <cell r="A143737" t="str">
            <v>02STP-131-730-FW11-07</v>
          </cell>
        </row>
        <row r="143738">
          <cell r="A143738" t="str">
            <v>02STP-132-730-FW11-09</v>
          </cell>
        </row>
        <row r="143739">
          <cell r="A143739" t="str">
            <v>02STP-133-730-FW14-01</v>
          </cell>
        </row>
        <row r="143740">
          <cell r="A143740" t="str">
            <v>02STP-134A-730-FW15-01</v>
          </cell>
        </row>
        <row r="143741">
          <cell r="A143741" t="str">
            <v>02STP-134B-730-FW15-01</v>
          </cell>
        </row>
        <row r="143742">
          <cell r="A143742" t="str">
            <v>02STP-135-730-FW16-01</v>
          </cell>
        </row>
        <row r="143743">
          <cell r="A143743" t="str">
            <v>02STP-136-730-FW17-01</v>
          </cell>
        </row>
        <row r="143744">
          <cell r="A143744" t="str">
            <v>02STP-137-730-FW11-02</v>
          </cell>
        </row>
        <row r="143745">
          <cell r="A143745" t="str">
            <v>02STP-138-200-CH10-01</v>
          </cell>
        </row>
        <row r="143746">
          <cell r="A143746" t="str">
            <v>02STP-139-200-CH10-02</v>
          </cell>
        </row>
        <row r="143747">
          <cell r="A143747" t="str">
            <v>02STP-14-460-UA10-07</v>
          </cell>
        </row>
        <row r="143748">
          <cell r="A143748" t="str">
            <v>02STP-140-330-CH15-01</v>
          </cell>
        </row>
        <row r="143749">
          <cell r="A143749" t="str">
            <v>02STP-141-330-CH16-01</v>
          </cell>
        </row>
        <row r="143750">
          <cell r="A143750" t="str">
            <v>02STP-142-330-CH17-01</v>
          </cell>
        </row>
        <row r="143751">
          <cell r="A143751" t="str">
            <v>02STP-143-332-CH13-01</v>
          </cell>
        </row>
        <row r="143752">
          <cell r="A143752" t="str">
            <v>02STP-144-332-CH13-02</v>
          </cell>
        </row>
        <row r="143753">
          <cell r="A143753" t="str">
            <v>02STP-145-332-CH14-01</v>
          </cell>
        </row>
        <row r="143754">
          <cell r="A143754" t="str">
            <v>02STP-146-332-CH14-02</v>
          </cell>
        </row>
        <row r="143755">
          <cell r="A143755" t="str">
            <v>02STP-147-730-FW11-06</v>
          </cell>
        </row>
        <row r="143756">
          <cell r="A143756" t="str">
            <v>02STP-149-331-SL10-01</v>
          </cell>
        </row>
        <row r="143757">
          <cell r="A143757" t="str">
            <v>02STP-15-460-UA15-01</v>
          </cell>
        </row>
        <row r="143758">
          <cell r="A143758" t="str">
            <v>02STP-16-460-IA10-04</v>
          </cell>
        </row>
        <row r="143759">
          <cell r="A143759" t="str">
            <v>02STP-17-460-IA15-01</v>
          </cell>
        </row>
        <row r="143760">
          <cell r="A143760" t="str">
            <v>02STP-18-460-IA10-03</v>
          </cell>
        </row>
        <row r="143761">
          <cell r="A143761" t="str">
            <v>02STP-19-520-UW15-01</v>
          </cell>
        </row>
        <row r="143762">
          <cell r="A143762" t="str">
            <v>02STP-1A-520-UW08-01</v>
          </cell>
        </row>
        <row r="143763">
          <cell r="A143763" t="str">
            <v>02STP-2-530-DW10-01</v>
          </cell>
        </row>
        <row r="143764">
          <cell r="A143764" t="str">
            <v>02STP-20-520-UW10-04</v>
          </cell>
        </row>
        <row r="143765">
          <cell r="A143765" t="str">
            <v>02STP-201-331-SL13-01</v>
          </cell>
        </row>
        <row r="143766">
          <cell r="A143766" t="str">
            <v>02STP-202-331-LL14-01</v>
          </cell>
        </row>
        <row r="143767">
          <cell r="A143767" t="str">
            <v>02STP-203-331-LL13-01</v>
          </cell>
        </row>
        <row r="143768">
          <cell r="A143768" t="str">
            <v>02STP-204-331-UA13-01</v>
          </cell>
        </row>
        <row r="143769">
          <cell r="A143769" t="str">
            <v>02STP-205-460-UA10-02</v>
          </cell>
        </row>
        <row r="143770">
          <cell r="A143770" t="str">
            <v>02STP-208-525-LS10-02</v>
          </cell>
        </row>
        <row r="143771">
          <cell r="A143771" t="str">
            <v>02STP-209-525-LS17-01</v>
          </cell>
        </row>
        <row r="143772">
          <cell r="A143772" t="str">
            <v>02STP-21-520-UW10-02</v>
          </cell>
        </row>
        <row r="143773">
          <cell r="A143773" t="str">
            <v>02STP-210-525-LS16-01</v>
          </cell>
        </row>
        <row r="143774">
          <cell r="A143774" t="str">
            <v>02STP-211-520-IW10-03</v>
          </cell>
        </row>
        <row r="143775">
          <cell r="A143775" t="str">
            <v>02STP-212-525-LS10-05</v>
          </cell>
        </row>
        <row r="143776">
          <cell r="A143776" t="str">
            <v>02STP-213-331-LS14-01</v>
          </cell>
        </row>
        <row r="143777">
          <cell r="A143777" t="str">
            <v>02STP-214-525-LS10-07</v>
          </cell>
        </row>
        <row r="143778">
          <cell r="A143778" t="str">
            <v>02STP-216-331-MS14-01</v>
          </cell>
        </row>
        <row r="143779">
          <cell r="A143779" t="str">
            <v>02STP-217-525-LS10-08</v>
          </cell>
        </row>
        <row r="143780">
          <cell r="A143780" t="str">
            <v>02STP-219-331-NW14-01</v>
          </cell>
        </row>
        <row r="143781">
          <cell r="A143781" t="str">
            <v>02STP-22-525-LS10-01</v>
          </cell>
        </row>
        <row r="143782">
          <cell r="A143782" t="str">
            <v>02STP-220-522-NW17-01</v>
          </cell>
        </row>
        <row r="143783">
          <cell r="A143783" t="str">
            <v>02STP-22A-525-LS08-01</v>
          </cell>
        </row>
        <row r="143784">
          <cell r="A143784" t="str">
            <v>02STP-23-525-LS15-01</v>
          </cell>
        </row>
        <row r="143785">
          <cell r="A143785" t="str">
            <v>02STP-230-460-UA17-01</v>
          </cell>
        </row>
        <row r="143786">
          <cell r="A143786" t="str">
            <v>02STP-231-460-IA17-01</v>
          </cell>
        </row>
        <row r="143787">
          <cell r="A143787" t="str">
            <v>02STP-232-600-UN17-01</v>
          </cell>
        </row>
        <row r="143788">
          <cell r="A143788" t="str">
            <v>02STP-233-460-UA10-05</v>
          </cell>
        </row>
        <row r="143789">
          <cell r="A143789" t="str">
            <v>02STP-234-460-IA10-02</v>
          </cell>
        </row>
        <row r="143790">
          <cell r="A143790" t="str">
            <v>02STP-235-600-UN10-03</v>
          </cell>
        </row>
        <row r="143791">
          <cell r="A143791" t="str">
            <v>02STP-236-331-UA14-01</v>
          </cell>
        </row>
        <row r="143792">
          <cell r="A143792" t="str">
            <v>02STP-237-331-IA14-01</v>
          </cell>
        </row>
        <row r="143793">
          <cell r="A143793" t="str">
            <v>02STP-238-331-UN14-01</v>
          </cell>
        </row>
        <row r="143794">
          <cell r="A143794" t="str">
            <v>02STP-239-460-IA10-07</v>
          </cell>
        </row>
        <row r="143795">
          <cell r="A143795" t="str">
            <v>02STP-24-525-LS10-06</v>
          </cell>
        </row>
        <row r="143796">
          <cell r="A143796" t="str">
            <v>02STP-240-460-UA10-04</v>
          </cell>
        </row>
        <row r="143797">
          <cell r="A143797" t="str">
            <v>02STP-241-460-UA10-09</v>
          </cell>
        </row>
        <row r="143798">
          <cell r="A143798" t="str">
            <v>02STP-245-460-UA16-01</v>
          </cell>
        </row>
        <row r="143799">
          <cell r="A143799" t="str">
            <v>02STP-246-460-IA16-01</v>
          </cell>
        </row>
        <row r="143800">
          <cell r="A143800" t="str">
            <v>02STP-247-600-UN16-01</v>
          </cell>
        </row>
        <row r="143801">
          <cell r="A143801" t="str">
            <v>02STP-249-460-IA10-06</v>
          </cell>
        </row>
        <row r="143802">
          <cell r="A143802" t="str">
            <v>02STP-25-522-NW15-01</v>
          </cell>
        </row>
        <row r="143803">
          <cell r="A143803" t="str">
            <v>02STP-250-522-NW16-01</v>
          </cell>
        </row>
        <row r="143804">
          <cell r="A143804" t="str">
            <v>02STP-251-460-UA10-08</v>
          </cell>
        </row>
        <row r="143805">
          <cell r="A143805" t="str">
            <v>02STP-252-331-NW13-01</v>
          </cell>
        </row>
        <row r="143806">
          <cell r="A143806" t="str">
            <v>02STP-253-460-IA10-05</v>
          </cell>
        </row>
        <row r="143807">
          <cell r="A143807" t="str">
            <v>02STP-254-522-NW10-03</v>
          </cell>
        </row>
        <row r="143808">
          <cell r="A143808" t="str">
            <v>02STP-255-600-UN10-05</v>
          </cell>
        </row>
        <row r="143809">
          <cell r="A143809" t="str">
            <v>02STP-256-600-UN10-02</v>
          </cell>
        </row>
        <row r="143810">
          <cell r="A143810" t="str">
            <v>02STP-259-331-UA13-01</v>
          </cell>
        </row>
        <row r="143811">
          <cell r="A143811" t="str">
            <v>02STP-26-522-NW10-02</v>
          </cell>
        </row>
        <row r="143812">
          <cell r="A143812" t="str">
            <v>02STP-260-331-IA13-01</v>
          </cell>
        </row>
        <row r="143813">
          <cell r="A143813" t="str">
            <v>02STP-261-331-UN13-01</v>
          </cell>
        </row>
        <row r="143814">
          <cell r="A143814" t="str">
            <v>02STP-262-460-IA10-08</v>
          </cell>
        </row>
        <row r="143815">
          <cell r="A143815" t="str">
            <v>02STP-263-460-UA10-03</v>
          </cell>
        </row>
        <row r="143816">
          <cell r="A143816" t="str">
            <v>02STP-266-600-UN11-02</v>
          </cell>
        </row>
        <row r="143817">
          <cell r="A143817" t="str">
            <v>02STP-27-525-BW15-01</v>
          </cell>
        </row>
        <row r="143818">
          <cell r="A143818" t="str">
            <v>02STP-28-600-UN15-02</v>
          </cell>
        </row>
        <row r="143819">
          <cell r="A143819" t="str">
            <v>02STP-29- 600-UN12-09</v>
          </cell>
        </row>
        <row r="143820">
          <cell r="A143820" t="str">
            <v>02STP-3-525-BW10-01</v>
          </cell>
        </row>
        <row r="143821">
          <cell r="A143821" t="str">
            <v>02STP-30- 600-UN15-01</v>
          </cell>
        </row>
        <row r="143822">
          <cell r="A143822" t="str">
            <v>02STP-300-600-UN16-02</v>
          </cell>
        </row>
        <row r="143823">
          <cell r="A143823" t="str">
            <v>02STP-301-600-UN12-08</v>
          </cell>
        </row>
        <row r="143824">
          <cell r="A143824" t="str">
            <v>02STP-303-600-UN12-03</v>
          </cell>
        </row>
        <row r="143825">
          <cell r="A143825" t="str">
            <v>02STP-304-600-UN12-05</v>
          </cell>
        </row>
        <row r="143826">
          <cell r="A143826" t="str">
            <v>02STP-305-600-UN12-02</v>
          </cell>
        </row>
        <row r="143827">
          <cell r="A143827" t="str">
            <v>02STP-306-600-UN17-02</v>
          </cell>
        </row>
        <row r="143828">
          <cell r="A143828" t="str">
            <v>02STP-307-600-UN12-10</v>
          </cell>
        </row>
        <row r="143829">
          <cell r="A143829" t="str">
            <v>02STP-308-600-UN12-07</v>
          </cell>
        </row>
        <row r="143830">
          <cell r="A143830" t="str">
            <v>02STP-31- 600-UN10-04</v>
          </cell>
        </row>
        <row r="143831">
          <cell r="A143831" t="str">
            <v>02STP-310-460-IA01-13</v>
          </cell>
        </row>
        <row r="143832">
          <cell r="A143832" t="str">
            <v>02STP-311-525-LC10-02</v>
          </cell>
        </row>
        <row r="143833">
          <cell r="A143833" t="str">
            <v>02STP-313-525-LS10-03</v>
          </cell>
        </row>
        <row r="143834">
          <cell r="A143834" t="str">
            <v>02STP-315-331-LS13-01</v>
          </cell>
        </row>
        <row r="143835">
          <cell r="A143835" t="str">
            <v>02STP-316-331-MS13-01</v>
          </cell>
        </row>
        <row r="143836">
          <cell r="A143836" t="str">
            <v>02STP-317-520-IW10-02</v>
          </cell>
        </row>
        <row r="143837">
          <cell r="A143837" t="str">
            <v>02STP-32- 525-MS10-01</v>
          </cell>
        </row>
        <row r="143838">
          <cell r="A143838" t="str">
            <v>02STP-33-530-DW15-01</v>
          </cell>
        </row>
        <row r="143839">
          <cell r="A143839" t="str">
            <v>02STP-34-530-DW10-04</v>
          </cell>
        </row>
        <row r="143840">
          <cell r="A143840" t="str">
            <v>02STP-35-525-LC10-01</v>
          </cell>
        </row>
        <row r="143841">
          <cell r="A143841" t="str">
            <v>02STP-36-525-LC15-01</v>
          </cell>
        </row>
        <row r="143842">
          <cell r="A143842" t="str">
            <v>02STP-37-525-CC10-01</v>
          </cell>
        </row>
        <row r="143843">
          <cell r="A143843" t="str">
            <v>02STP-38-525-LL10-01</v>
          </cell>
        </row>
        <row r="143844">
          <cell r="A143844" t="str">
            <v>02STP-39-430-DT10-01</v>
          </cell>
        </row>
        <row r="143845">
          <cell r="A143845" t="str">
            <v>02STP-4-460-UA10-01</v>
          </cell>
        </row>
        <row r="143846">
          <cell r="A143846" t="str">
            <v>02STP-40-600-UN12-04</v>
          </cell>
        </row>
        <row r="143847">
          <cell r="A143847" t="str">
            <v>02STP-41-600-UN12-06</v>
          </cell>
        </row>
        <row r="143848">
          <cell r="A143848" t="str">
            <v>02STP-42-334-UW10-01</v>
          </cell>
        </row>
        <row r="143849">
          <cell r="A143849" t="str">
            <v>02STP-44-520-UW10-05</v>
          </cell>
        </row>
        <row r="143850">
          <cell r="A143850" t="str">
            <v>02STP-45-331-BB14-01</v>
          </cell>
        </row>
        <row r="143851">
          <cell r="A143851" t="str">
            <v>02STP-46-334-IW10-01</v>
          </cell>
        </row>
        <row r="143852">
          <cell r="A143852" t="str">
            <v>02STP-47-520-UW10-07</v>
          </cell>
        </row>
        <row r="143853">
          <cell r="A143853" t="str">
            <v>02STP-48-520-UW10-06</v>
          </cell>
        </row>
        <row r="143854">
          <cell r="A143854" t="str">
            <v>02STP-49-530-DW17-01</v>
          </cell>
        </row>
        <row r="143855">
          <cell r="A143855" t="str">
            <v>02STP-5-460-IA10-01</v>
          </cell>
        </row>
        <row r="143856">
          <cell r="A143856" t="str">
            <v>02STP-50-520-UW16-01</v>
          </cell>
        </row>
        <row r="143857">
          <cell r="A143857" t="str">
            <v>02STP-51-520-UW17-01</v>
          </cell>
        </row>
        <row r="143858">
          <cell r="A143858" t="str">
            <v>02STP-52-520-UW10-09</v>
          </cell>
        </row>
        <row r="143859">
          <cell r="A143859" t="str">
            <v>02STP-53-520-UW10-08</v>
          </cell>
        </row>
        <row r="143860">
          <cell r="A143860" t="str">
            <v>02STP-55-525-BW16-01</v>
          </cell>
        </row>
        <row r="143861">
          <cell r="A143861" t="str">
            <v>02STP-56-525-BW17-01</v>
          </cell>
        </row>
        <row r="143862">
          <cell r="A143862" t="str">
            <v>02STP-57-331-BW13-01</v>
          </cell>
        </row>
        <row r="143863">
          <cell r="A143863" t="str">
            <v>02STP-58-331-BW14-01</v>
          </cell>
        </row>
        <row r="143864">
          <cell r="A143864" t="str">
            <v>02STP-5A-460-IA10-09</v>
          </cell>
        </row>
        <row r="143865">
          <cell r="A143865" t="str">
            <v>02STP-6-522-NW10-01</v>
          </cell>
        </row>
        <row r="143866">
          <cell r="A143866" t="str">
            <v>02STP-60-530-DW10-06</v>
          </cell>
        </row>
        <row r="143867">
          <cell r="A143867" t="str">
            <v>02STP-61-331-DW13-01</v>
          </cell>
        </row>
        <row r="143868">
          <cell r="A143868" t="str">
            <v>02STP-62-530-DW10-05</v>
          </cell>
        </row>
        <row r="143869">
          <cell r="A143869" t="str">
            <v>02STP-63-331-DW14-01</v>
          </cell>
        </row>
        <row r="143870">
          <cell r="A143870" t="str">
            <v>02STP-64-530-DW10-03</v>
          </cell>
        </row>
        <row r="143871">
          <cell r="A143871" t="str">
            <v>02STP-65-530-DW10-08</v>
          </cell>
        </row>
        <row r="143872">
          <cell r="A143872" t="str">
            <v>02STP-66-530-DW16-01</v>
          </cell>
        </row>
        <row r="143873">
          <cell r="A143873" t="str">
            <v>02STP-67-530-DW10-02</v>
          </cell>
        </row>
        <row r="143874">
          <cell r="A143874" t="str">
            <v>02STP-68-530-DW10-07</v>
          </cell>
        </row>
        <row r="143875">
          <cell r="A143875" t="str">
            <v>02STP-7-600-UN10-01</v>
          </cell>
        </row>
        <row r="143876">
          <cell r="A143876" t="str">
            <v>02STP-71-331-LC13-01</v>
          </cell>
        </row>
        <row r="143877">
          <cell r="A143877" t="str">
            <v>02STP-71A-331-LC13-01</v>
          </cell>
        </row>
        <row r="143878">
          <cell r="A143878" t="str">
            <v>02STP-73-331-LC14-01</v>
          </cell>
        </row>
        <row r="143879">
          <cell r="A143879" t="str">
            <v>02STP-73A-331-LC14-01</v>
          </cell>
        </row>
        <row r="143880">
          <cell r="A143880" t="str">
            <v>02STP-75-525-LC16-01</v>
          </cell>
        </row>
        <row r="143881">
          <cell r="A143881" t="str">
            <v>02STP-77-525-LC17-01</v>
          </cell>
        </row>
        <row r="143882">
          <cell r="A143882" t="str">
            <v>02STP-7A-600-UN08-01</v>
          </cell>
        </row>
        <row r="143883">
          <cell r="A143883" t="str">
            <v>02STP-8-600-UN11-01</v>
          </cell>
        </row>
        <row r="143884">
          <cell r="A143884" t="str">
            <v>02STP-9-460-UA11-01</v>
          </cell>
        </row>
        <row r="143885">
          <cell r="A143885" t="str">
            <v>02STP-90-332-GE13-01</v>
          </cell>
        </row>
        <row r="143886">
          <cell r="A143886" t="str">
            <v>02STP-91-332-GE14-01</v>
          </cell>
        </row>
        <row r="143887">
          <cell r="A143887" t="str">
            <v>02STP-92-331-IW13-01</v>
          </cell>
        </row>
        <row r="143888">
          <cell r="A143888" t="str">
            <v>02STP-93-331-IW14-01</v>
          </cell>
        </row>
        <row r="143889">
          <cell r="A143889" t="str">
            <v>02STP-94-522-RJ10-01</v>
          </cell>
        </row>
        <row r="143890">
          <cell r="A143890" t="str">
            <v>02STP-95-334-IA10-01</v>
          </cell>
        </row>
        <row r="143891">
          <cell r="A143891" t="str">
            <v>02STP-97-340-IA15-01</v>
          </cell>
        </row>
        <row r="143892">
          <cell r="A143892" t="str">
            <v>02STP-98-340-IA16-01</v>
          </cell>
        </row>
        <row r="143893">
          <cell r="A143893" t="str">
            <v>02STP-99-340-IA17-01</v>
          </cell>
        </row>
        <row r="143894">
          <cell r="A143894" t="str">
            <v>STP-401</v>
          </cell>
        </row>
        <row r="143895">
          <cell r="A143895" t="str">
            <v>STP-402</v>
          </cell>
        </row>
        <row r="143896">
          <cell r="A143896" t="str">
            <v>STP-403</v>
          </cell>
        </row>
        <row r="143897">
          <cell r="A143897" t="str">
            <v>STP-404</v>
          </cell>
        </row>
        <row r="143898">
          <cell r="A143898" t="str">
            <v>STP-405</v>
          </cell>
        </row>
        <row r="143899">
          <cell r="A143899" t="str">
            <v>STP-406</v>
          </cell>
        </row>
        <row r="143900">
          <cell r="A143900" t="str">
            <v>STP-407</v>
          </cell>
        </row>
        <row r="143901">
          <cell r="A143901" t="str">
            <v>STP-408</v>
          </cell>
        </row>
        <row r="143902">
          <cell r="A143902" t="str">
            <v>STP-409</v>
          </cell>
        </row>
        <row r="143903">
          <cell r="A143903" t="str">
            <v>STP-410</v>
          </cell>
        </row>
        <row r="143904">
          <cell r="A143904" t="str">
            <v>STP-411</v>
          </cell>
        </row>
        <row r="143905">
          <cell r="A143905" t="str">
            <v>STP-412</v>
          </cell>
        </row>
        <row r="143906">
          <cell r="A143906" t="str">
            <v>STP-413</v>
          </cell>
        </row>
        <row r="143907">
          <cell r="A143907" t="str">
            <v>STP-414</v>
          </cell>
        </row>
        <row r="143908">
          <cell r="A143908" t="str">
            <v>STP-415</v>
          </cell>
        </row>
        <row r="143909">
          <cell r="A143909" t="str">
            <v>STP-416</v>
          </cell>
        </row>
        <row r="143910">
          <cell r="A143910" t="str">
            <v>STP-417</v>
          </cell>
        </row>
        <row r="143911">
          <cell r="A143911" t="str">
            <v>STP-418</v>
          </cell>
        </row>
        <row r="143912">
          <cell r="A143912" t="str">
            <v>STP-419</v>
          </cell>
        </row>
        <row r="143913">
          <cell r="A143913" t="str">
            <v>STP-422</v>
          </cell>
        </row>
        <row r="143914">
          <cell r="A143914" t="str">
            <v>STP-423</v>
          </cell>
        </row>
        <row r="143915">
          <cell r="A143915" t="str">
            <v>STP-424</v>
          </cell>
        </row>
        <row r="143916">
          <cell r="A143916" t="str">
            <v>STP-425</v>
          </cell>
        </row>
        <row r="143917">
          <cell r="A143917" t="str">
            <v>STP-426</v>
          </cell>
        </row>
        <row r="143918">
          <cell r="A143918" t="str">
            <v>STP-427</v>
          </cell>
        </row>
        <row r="143919">
          <cell r="A143919" t="str">
            <v>STP-428</v>
          </cell>
        </row>
        <row r="143920">
          <cell r="A143920" t="str">
            <v>STP-429</v>
          </cell>
        </row>
        <row r="143921">
          <cell r="A143921" t="str">
            <v>STP-430</v>
          </cell>
        </row>
        <row r="143922">
          <cell r="A143922" t="str">
            <v>STP-431</v>
          </cell>
        </row>
        <row r="143923">
          <cell r="A143923" t="str">
            <v>STP-432</v>
          </cell>
        </row>
        <row r="143924">
          <cell r="A143924" t="str">
            <v>STP-433</v>
          </cell>
        </row>
        <row r="143962">
          <cell r="A143962" t="str">
            <v>EMPTY</v>
          </cell>
        </row>
        <row r="143963">
          <cell r="A143963" t="str">
            <v>ActuatedValve</v>
          </cell>
        </row>
        <row r="143964">
          <cell r="A143964" t="str">
            <v>Arch</v>
          </cell>
        </row>
        <row r="143965">
          <cell r="A143965" t="str">
            <v>CableRoutes</v>
          </cell>
        </row>
        <row r="143966">
          <cell r="A143966" t="str">
            <v>Cables</v>
          </cell>
        </row>
        <row r="143967">
          <cell r="A143967" t="str">
            <v>Civil</v>
          </cell>
        </row>
        <row r="143968">
          <cell r="A143968" t="str">
            <v>Coat&amp;Paint</v>
          </cell>
        </row>
        <row r="143969">
          <cell r="A143969" t="str">
            <v>DCN</v>
          </cell>
        </row>
        <row r="143970">
          <cell r="A143970" t="str">
            <v>ElecLoads</v>
          </cell>
        </row>
        <row r="143971">
          <cell r="A143971" t="str">
            <v>Equip</v>
          </cell>
        </row>
        <row r="143972">
          <cell r="A143972" t="str">
            <v>FireAndGas</v>
          </cell>
        </row>
        <row r="143973">
          <cell r="A143973" t="str">
            <v>HandValve</v>
          </cell>
        </row>
        <row r="143974">
          <cell r="A143974" t="str">
            <v>HSE</v>
          </cell>
        </row>
        <row r="143975">
          <cell r="A143975" t="str">
            <v>HvacDuct</v>
          </cell>
        </row>
        <row r="143976">
          <cell r="A143976" t="str">
            <v>Instr</v>
          </cell>
        </row>
        <row r="143977">
          <cell r="A143977" t="str">
            <v>InstrumentCables</v>
          </cell>
        </row>
        <row r="143978">
          <cell r="A143978" t="str">
            <v>LineAccessories</v>
          </cell>
        </row>
        <row r="143979">
          <cell r="A143979" t="str">
            <v>Pipelines</v>
          </cell>
        </row>
        <row r="143980">
          <cell r="A143980" t="str">
            <v>PipingLines</v>
          </cell>
        </row>
        <row r="143981">
          <cell r="A143981" t="str">
            <v>PipingSupports</v>
          </cell>
        </row>
        <row r="143982">
          <cell r="A143982" t="str">
            <v>Struct</v>
          </cell>
        </row>
        <row r="143983">
          <cell r="A143983" t="str">
            <v>SwitchPanelBox</v>
          </cell>
        </row>
        <row r="143984">
          <cell r="A143984" t="str">
            <v>Tagloop</v>
          </cell>
        </row>
        <row r="143985">
          <cell r="A143985" t="str">
            <v>Telecom</v>
          </cell>
        </row>
        <row r="143986">
          <cell r="A143986" t="str">
            <v>TelecomCables</v>
          </cell>
        </row>
        <row r="143987">
          <cell r="A143987" t="str">
            <v>TelecSubSys</v>
          </cell>
        </row>
        <row r="143988">
          <cell r="A143988" t="str">
            <v>Valves</v>
          </cell>
        </row>
      </sheetData>
      <sheetData sheetId="1"/>
      <sheetData sheetId="2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K401"/>
      <sheetName val="CONTROL INSTRUMENT LIST"/>
    </sheet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  <pageSetUpPr fitToPage="1"/>
  </sheetPr>
  <dimension ref="A1:DY117"/>
  <sheetViews>
    <sheetView showGridLines="0" view="pageBreakPreview" zoomScale="26" zoomScaleNormal="50" zoomScaleSheetLayoutView="26" workbookViewId="0">
      <pane xSplit="5" ySplit="6" topLeftCell="F7" activePane="bottomRight" state="frozen"/>
      <selection activeCell="Q23" sqref="Q23:W26"/>
      <selection pane="topRight" activeCell="Q23" sqref="Q23:W26"/>
      <selection pane="bottomLeft" activeCell="Q23" sqref="Q23:W26"/>
      <selection pane="bottomRight" activeCell="Q23" sqref="Q23:W26"/>
    </sheetView>
  </sheetViews>
  <sheetFormatPr defaultColWidth="2.75" defaultRowHeight="21" x14ac:dyDescent="0.25"/>
  <cols>
    <col min="1" max="1" width="184.875" style="46" customWidth="1"/>
    <col min="2" max="2" width="46.75" style="46" customWidth="1"/>
    <col min="3" max="3" width="47.25" style="87" customWidth="1"/>
    <col min="4" max="4" width="26.25" style="44" bestFit="1" customWidth="1"/>
    <col min="5" max="5" width="44.125" style="44" customWidth="1"/>
    <col min="6" max="6" width="41.875" style="93" bestFit="1" customWidth="1"/>
    <col min="7" max="7" width="49.375" style="93" customWidth="1"/>
    <col min="8" max="23" width="10.25" style="43" hidden="1" customWidth="1"/>
    <col min="24" max="39" width="10.25" style="44" hidden="1" customWidth="1"/>
    <col min="40" max="43" width="10.25" style="44" customWidth="1"/>
    <col min="44" max="50" width="10.25" style="45" customWidth="1"/>
    <col min="51" max="55" width="13.25" style="45" customWidth="1"/>
    <col min="56" max="76" width="12.75" style="45" customWidth="1"/>
    <col min="77" max="78" width="10.25" style="45" customWidth="1"/>
    <col min="79" max="94" width="10.25" style="45" hidden="1" customWidth="1"/>
    <col min="95" max="113" width="10.25" style="43" hidden="1" customWidth="1"/>
    <col min="114" max="116" width="7.125" style="43" hidden="1" customWidth="1"/>
    <col min="117" max="16384" width="2.75" style="43"/>
  </cols>
  <sheetData>
    <row r="1" spans="1:129" x14ac:dyDescent="0.25">
      <c r="A1" s="40"/>
      <c r="B1" s="40"/>
      <c r="C1" s="41"/>
      <c r="D1" s="42"/>
      <c r="E1" s="42"/>
      <c r="F1" s="42"/>
      <c r="G1" s="42"/>
    </row>
    <row r="2" spans="1:129" ht="51.6" customHeight="1" x14ac:dyDescent="0.7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X2" s="49"/>
      <c r="Y2" s="49"/>
      <c r="Z2" s="49"/>
      <c r="AA2" s="50"/>
      <c r="AB2" s="50"/>
      <c r="AC2" s="447" t="s">
        <v>112</v>
      </c>
      <c r="AD2" s="447"/>
      <c r="AE2" s="447"/>
      <c r="AF2" s="447"/>
      <c r="AG2" s="447"/>
      <c r="AH2" s="448" t="s">
        <v>113</v>
      </c>
      <c r="AI2" s="448"/>
      <c r="AJ2" s="448"/>
      <c r="AK2" s="448"/>
      <c r="AL2" s="448"/>
      <c r="AM2" s="51"/>
      <c r="AN2" s="52" t="s">
        <v>114</v>
      </c>
      <c r="AO2" s="53"/>
      <c r="AP2" s="54"/>
      <c r="AQ2" s="55"/>
      <c r="AR2" s="56"/>
      <c r="AS2" s="53"/>
      <c r="AT2" s="57"/>
      <c r="AU2" s="58"/>
      <c r="AV2" s="53"/>
      <c r="AW2" s="44"/>
      <c r="AX2" s="59"/>
      <c r="AY2" s="59"/>
      <c r="AZ2" s="60"/>
      <c r="BA2" s="61"/>
      <c r="BB2" s="62"/>
      <c r="BC2" s="62"/>
      <c r="BD2" s="62"/>
      <c r="BE2" s="48"/>
      <c r="BF2" s="62"/>
      <c r="BG2" s="62"/>
      <c r="BH2" s="62"/>
    </row>
    <row r="3" spans="1:129" ht="92.25" x14ac:dyDescent="0.25">
      <c r="A3" s="47" t="s">
        <v>120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BE3" s="48"/>
      <c r="BI3" s="44"/>
      <c r="BJ3" s="44"/>
      <c r="BK3" s="44"/>
      <c r="BL3" s="44"/>
      <c r="BM3" s="44"/>
    </row>
    <row r="4" spans="1:129" x14ac:dyDescent="0.25">
      <c r="A4" s="40"/>
      <c r="B4" s="40"/>
      <c r="C4" s="41"/>
      <c r="D4" s="42"/>
      <c r="E4" s="42"/>
      <c r="F4" s="42"/>
      <c r="G4" s="42"/>
      <c r="BI4" s="44"/>
      <c r="BJ4" s="44"/>
      <c r="BK4" s="44"/>
    </row>
    <row r="5" spans="1:129" ht="11.25" customHeight="1" x14ac:dyDescent="0.25">
      <c r="A5" s="63"/>
      <c r="B5" s="63"/>
      <c r="C5" s="64"/>
      <c r="D5" s="65"/>
      <c r="E5" s="65"/>
      <c r="F5" s="65"/>
      <c r="G5" s="65"/>
      <c r="X5" s="66"/>
      <c r="Y5" s="66"/>
      <c r="BI5" s="44"/>
      <c r="BJ5" s="44"/>
      <c r="BK5" s="44"/>
    </row>
    <row r="6" spans="1:129" ht="43.15" customHeight="1" thickBot="1" x14ac:dyDescent="0.3">
      <c r="A6" s="67"/>
      <c r="B6" s="67"/>
      <c r="C6" s="68"/>
      <c r="D6" s="66"/>
      <c r="E6" s="47"/>
      <c r="F6" s="47"/>
      <c r="G6" s="47"/>
      <c r="H6" s="88">
        <f>WEEKNUM(H7)</f>
        <v>14</v>
      </c>
      <c r="I6" s="88">
        <f t="shared" ref="I6:BT6" si="0">WEEKNUM(I7)</f>
        <v>15</v>
      </c>
      <c r="J6" s="88">
        <f t="shared" si="0"/>
        <v>16</v>
      </c>
      <c r="K6" s="88">
        <f t="shared" si="0"/>
        <v>17</v>
      </c>
      <c r="L6" s="88">
        <f t="shared" si="0"/>
        <v>18</v>
      </c>
      <c r="M6" s="88">
        <f t="shared" si="0"/>
        <v>19</v>
      </c>
      <c r="N6" s="88">
        <f t="shared" si="0"/>
        <v>20</v>
      </c>
      <c r="O6" s="88">
        <f t="shared" si="0"/>
        <v>21</v>
      </c>
      <c r="P6" s="88">
        <f t="shared" si="0"/>
        <v>22</v>
      </c>
      <c r="Q6" s="88">
        <f t="shared" si="0"/>
        <v>23</v>
      </c>
      <c r="R6" s="88">
        <f t="shared" si="0"/>
        <v>24</v>
      </c>
      <c r="S6" s="88">
        <f t="shared" si="0"/>
        <v>25</v>
      </c>
      <c r="T6" s="88">
        <f t="shared" si="0"/>
        <v>26</v>
      </c>
      <c r="U6" s="88">
        <f t="shared" si="0"/>
        <v>27</v>
      </c>
      <c r="V6" s="88">
        <f t="shared" si="0"/>
        <v>28</v>
      </c>
      <c r="W6" s="88">
        <f t="shared" si="0"/>
        <v>29</v>
      </c>
      <c r="X6" s="88">
        <f t="shared" si="0"/>
        <v>30</v>
      </c>
      <c r="Y6" s="88">
        <f t="shared" si="0"/>
        <v>31</v>
      </c>
      <c r="Z6" s="88">
        <f t="shared" si="0"/>
        <v>32</v>
      </c>
      <c r="AA6" s="88">
        <f t="shared" si="0"/>
        <v>33</v>
      </c>
      <c r="AB6" s="88">
        <f t="shared" si="0"/>
        <v>34</v>
      </c>
      <c r="AC6" s="88">
        <f t="shared" si="0"/>
        <v>35</v>
      </c>
      <c r="AD6" s="88">
        <f t="shared" si="0"/>
        <v>36</v>
      </c>
      <c r="AE6" s="88">
        <f t="shared" si="0"/>
        <v>37</v>
      </c>
      <c r="AF6" s="88">
        <f t="shared" si="0"/>
        <v>38</v>
      </c>
      <c r="AG6" s="88">
        <f t="shared" si="0"/>
        <v>39</v>
      </c>
      <c r="AH6" s="88">
        <f t="shared" si="0"/>
        <v>40</v>
      </c>
      <c r="AI6" s="88">
        <f t="shared" si="0"/>
        <v>41</v>
      </c>
      <c r="AJ6" s="88">
        <f t="shared" si="0"/>
        <v>42</v>
      </c>
      <c r="AK6" s="88">
        <f t="shared" si="0"/>
        <v>43</v>
      </c>
      <c r="AL6" s="88">
        <f t="shared" si="0"/>
        <v>44</v>
      </c>
      <c r="AM6" s="88">
        <f t="shared" si="0"/>
        <v>45</v>
      </c>
      <c r="AN6" s="88">
        <f t="shared" si="0"/>
        <v>46</v>
      </c>
      <c r="AO6" s="88">
        <f t="shared" si="0"/>
        <v>47</v>
      </c>
      <c r="AP6" s="88">
        <f t="shared" si="0"/>
        <v>48</v>
      </c>
      <c r="AQ6" s="88">
        <f t="shared" si="0"/>
        <v>49</v>
      </c>
      <c r="AR6" s="88">
        <f t="shared" si="0"/>
        <v>50</v>
      </c>
      <c r="AS6" s="88">
        <f t="shared" si="0"/>
        <v>51</v>
      </c>
      <c r="AT6" s="88">
        <f t="shared" si="0"/>
        <v>52</v>
      </c>
      <c r="AU6" s="88">
        <f t="shared" si="0"/>
        <v>53</v>
      </c>
      <c r="AV6" s="88">
        <f t="shared" si="0"/>
        <v>1</v>
      </c>
      <c r="AW6" s="88">
        <f t="shared" si="0"/>
        <v>2</v>
      </c>
      <c r="AX6" s="88">
        <f t="shared" si="0"/>
        <v>3</v>
      </c>
      <c r="AY6" s="88">
        <f t="shared" si="0"/>
        <v>4</v>
      </c>
      <c r="AZ6" s="88">
        <f t="shared" si="0"/>
        <v>5</v>
      </c>
      <c r="BA6" s="88">
        <f t="shared" si="0"/>
        <v>6</v>
      </c>
      <c r="BB6" s="88">
        <f t="shared" si="0"/>
        <v>7</v>
      </c>
      <c r="BC6" s="88">
        <f t="shared" si="0"/>
        <v>8</v>
      </c>
      <c r="BD6" s="88">
        <f t="shared" si="0"/>
        <v>9</v>
      </c>
      <c r="BE6" s="88">
        <f t="shared" si="0"/>
        <v>10</v>
      </c>
      <c r="BF6" s="88">
        <f t="shared" si="0"/>
        <v>11</v>
      </c>
      <c r="BG6" s="88">
        <f t="shared" si="0"/>
        <v>12</v>
      </c>
      <c r="BH6" s="88">
        <f t="shared" si="0"/>
        <v>13</v>
      </c>
      <c r="BI6" s="88">
        <f t="shared" si="0"/>
        <v>14</v>
      </c>
      <c r="BJ6" s="88">
        <f t="shared" si="0"/>
        <v>15</v>
      </c>
      <c r="BK6" s="88">
        <f t="shared" si="0"/>
        <v>16</v>
      </c>
      <c r="BL6" s="88">
        <f t="shared" si="0"/>
        <v>17</v>
      </c>
      <c r="BM6" s="88">
        <f t="shared" si="0"/>
        <v>18</v>
      </c>
      <c r="BN6" s="88">
        <f t="shared" si="0"/>
        <v>19</v>
      </c>
      <c r="BO6" s="88">
        <f t="shared" si="0"/>
        <v>20</v>
      </c>
      <c r="BP6" s="88">
        <f t="shared" si="0"/>
        <v>21</v>
      </c>
      <c r="BQ6" s="88">
        <f t="shared" si="0"/>
        <v>22</v>
      </c>
      <c r="BR6" s="88">
        <f t="shared" si="0"/>
        <v>23</v>
      </c>
      <c r="BS6" s="88">
        <f t="shared" si="0"/>
        <v>24</v>
      </c>
      <c r="BT6" s="88">
        <f t="shared" si="0"/>
        <v>25</v>
      </c>
      <c r="BU6" s="88">
        <f t="shared" ref="BU6:DI6" si="1">WEEKNUM(BU7)</f>
        <v>26</v>
      </c>
      <c r="BV6" s="88">
        <f t="shared" si="1"/>
        <v>27</v>
      </c>
      <c r="BW6" s="88">
        <f t="shared" si="1"/>
        <v>28</v>
      </c>
      <c r="BX6" s="88">
        <f t="shared" si="1"/>
        <v>29</v>
      </c>
      <c r="BY6" s="88">
        <f t="shared" si="1"/>
        <v>30</v>
      </c>
      <c r="BZ6" s="88">
        <f t="shared" si="1"/>
        <v>31</v>
      </c>
      <c r="CA6" s="88">
        <f t="shared" si="1"/>
        <v>32</v>
      </c>
      <c r="CB6" s="88">
        <f t="shared" si="1"/>
        <v>33</v>
      </c>
      <c r="CC6" s="88">
        <f t="shared" si="1"/>
        <v>34</v>
      </c>
      <c r="CD6" s="88">
        <f t="shared" si="1"/>
        <v>35</v>
      </c>
      <c r="CE6" s="88">
        <f t="shared" si="1"/>
        <v>36</v>
      </c>
      <c r="CF6" s="88">
        <f t="shared" si="1"/>
        <v>37</v>
      </c>
      <c r="CG6" s="88">
        <f t="shared" si="1"/>
        <v>38</v>
      </c>
      <c r="CH6" s="88">
        <f t="shared" si="1"/>
        <v>39</v>
      </c>
      <c r="CI6" s="88">
        <f t="shared" si="1"/>
        <v>40</v>
      </c>
      <c r="CJ6" s="88">
        <f t="shared" si="1"/>
        <v>41</v>
      </c>
      <c r="CK6" s="88">
        <f t="shared" si="1"/>
        <v>42</v>
      </c>
      <c r="CL6" s="88">
        <f t="shared" si="1"/>
        <v>43</v>
      </c>
      <c r="CM6" s="88">
        <f t="shared" si="1"/>
        <v>44</v>
      </c>
      <c r="CN6" s="88">
        <f t="shared" si="1"/>
        <v>45</v>
      </c>
      <c r="CO6" s="88">
        <f t="shared" si="1"/>
        <v>46</v>
      </c>
      <c r="CP6" s="88">
        <f t="shared" si="1"/>
        <v>47</v>
      </c>
      <c r="CQ6" s="88">
        <f t="shared" si="1"/>
        <v>48</v>
      </c>
      <c r="CR6" s="88">
        <f t="shared" si="1"/>
        <v>49</v>
      </c>
      <c r="CS6" s="88">
        <f t="shared" si="1"/>
        <v>50</v>
      </c>
      <c r="CT6" s="88">
        <f t="shared" si="1"/>
        <v>51</v>
      </c>
      <c r="CU6" s="88">
        <f t="shared" si="1"/>
        <v>52</v>
      </c>
      <c r="CV6" s="88">
        <f t="shared" si="1"/>
        <v>1</v>
      </c>
      <c r="CW6" s="88">
        <f t="shared" si="1"/>
        <v>2</v>
      </c>
      <c r="CX6" s="88">
        <f t="shared" si="1"/>
        <v>3</v>
      </c>
      <c r="CY6" s="88">
        <f t="shared" si="1"/>
        <v>4</v>
      </c>
      <c r="CZ6" s="88">
        <f t="shared" si="1"/>
        <v>5</v>
      </c>
      <c r="DA6" s="88">
        <f t="shared" si="1"/>
        <v>6</v>
      </c>
      <c r="DB6" s="88">
        <f t="shared" si="1"/>
        <v>7</v>
      </c>
      <c r="DC6" s="88">
        <f t="shared" si="1"/>
        <v>8</v>
      </c>
      <c r="DD6" s="88">
        <f t="shared" si="1"/>
        <v>9</v>
      </c>
      <c r="DE6" s="88">
        <f t="shared" si="1"/>
        <v>10</v>
      </c>
      <c r="DF6" s="88">
        <f t="shared" si="1"/>
        <v>11</v>
      </c>
      <c r="DG6" s="88">
        <f t="shared" si="1"/>
        <v>12</v>
      </c>
      <c r="DH6" s="88">
        <f t="shared" si="1"/>
        <v>13</v>
      </c>
      <c r="DI6" s="88">
        <f t="shared" si="1"/>
        <v>14</v>
      </c>
    </row>
    <row r="7" spans="1:129" s="70" customFormat="1" ht="195.75" customHeight="1" thickTop="1" thickBot="1" x14ac:dyDescent="0.3">
      <c r="A7" s="190" t="s">
        <v>115</v>
      </c>
      <c r="B7" s="191" t="s">
        <v>97</v>
      </c>
      <c r="C7" s="192" t="s">
        <v>116</v>
      </c>
      <c r="D7" s="193" t="s">
        <v>117</v>
      </c>
      <c r="E7" s="194" t="s">
        <v>118</v>
      </c>
      <c r="F7" s="194" t="s">
        <v>133</v>
      </c>
      <c r="G7" s="194" t="s">
        <v>121</v>
      </c>
      <c r="H7" s="195">
        <v>44653</v>
      </c>
      <c r="I7" s="195">
        <f>H7+7</f>
        <v>44660</v>
      </c>
      <c r="J7" s="195">
        <f t="shared" ref="J7:BU7" si="2">I7+7</f>
        <v>44667</v>
      </c>
      <c r="K7" s="195">
        <f t="shared" si="2"/>
        <v>44674</v>
      </c>
      <c r="L7" s="195">
        <f t="shared" si="2"/>
        <v>44681</v>
      </c>
      <c r="M7" s="195">
        <f t="shared" si="2"/>
        <v>44688</v>
      </c>
      <c r="N7" s="195">
        <f t="shared" si="2"/>
        <v>44695</v>
      </c>
      <c r="O7" s="195">
        <f t="shared" si="2"/>
        <v>44702</v>
      </c>
      <c r="P7" s="195">
        <f t="shared" si="2"/>
        <v>44709</v>
      </c>
      <c r="Q7" s="195">
        <f t="shared" si="2"/>
        <v>44716</v>
      </c>
      <c r="R7" s="195">
        <f t="shared" si="2"/>
        <v>44723</v>
      </c>
      <c r="S7" s="195">
        <f t="shared" si="2"/>
        <v>44730</v>
      </c>
      <c r="T7" s="195">
        <f t="shared" si="2"/>
        <v>44737</v>
      </c>
      <c r="U7" s="195">
        <f t="shared" si="2"/>
        <v>44744</v>
      </c>
      <c r="V7" s="195">
        <f t="shared" si="2"/>
        <v>44751</v>
      </c>
      <c r="W7" s="195">
        <f t="shared" si="2"/>
        <v>44758</v>
      </c>
      <c r="X7" s="195">
        <f t="shared" si="2"/>
        <v>44765</v>
      </c>
      <c r="Y7" s="195">
        <f t="shared" si="2"/>
        <v>44772</v>
      </c>
      <c r="Z7" s="195">
        <f t="shared" si="2"/>
        <v>44779</v>
      </c>
      <c r="AA7" s="195">
        <f t="shared" si="2"/>
        <v>44786</v>
      </c>
      <c r="AB7" s="195">
        <f t="shared" si="2"/>
        <v>44793</v>
      </c>
      <c r="AC7" s="195">
        <f t="shared" si="2"/>
        <v>44800</v>
      </c>
      <c r="AD7" s="195">
        <f t="shared" si="2"/>
        <v>44807</v>
      </c>
      <c r="AE7" s="195">
        <f t="shared" si="2"/>
        <v>44814</v>
      </c>
      <c r="AF7" s="195">
        <f t="shared" si="2"/>
        <v>44821</v>
      </c>
      <c r="AG7" s="195">
        <f t="shared" si="2"/>
        <v>44828</v>
      </c>
      <c r="AH7" s="195">
        <f t="shared" si="2"/>
        <v>44835</v>
      </c>
      <c r="AI7" s="195">
        <f t="shared" si="2"/>
        <v>44842</v>
      </c>
      <c r="AJ7" s="195">
        <f t="shared" si="2"/>
        <v>44849</v>
      </c>
      <c r="AK7" s="195">
        <f t="shared" si="2"/>
        <v>44856</v>
      </c>
      <c r="AL7" s="195">
        <f t="shared" si="2"/>
        <v>44863</v>
      </c>
      <c r="AM7" s="195">
        <f t="shared" si="2"/>
        <v>44870</v>
      </c>
      <c r="AN7" s="195">
        <f t="shared" si="2"/>
        <v>44877</v>
      </c>
      <c r="AO7" s="195">
        <f t="shared" si="2"/>
        <v>44884</v>
      </c>
      <c r="AP7" s="195">
        <f t="shared" si="2"/>
        <v>44891</v>
      </c>
      <c r="AQ7" s="195">
        <f t="shared" si="2"/>
        <v>44898</v>
      </c>
      <c r="AR7" s="195">
        <f t="shared" si="2"/>
        <v>44905</v>
      </c>
      <c r="AS7" s="195">
        <f t="shared" si="2"/>
        <v>44912</v>
      </c>
      <c r="AT7" s="195">
        <f t="shared" si="2"/>
        <v>44919</v>
      </c>
      <c r="AU7" s="195">
        <f t="shared" si="2"/>
        <v>44926</v>
      </c>
      <c r="AV7" s="195">
        <f t="shared" si="2"/>
        <v>44933</v>
      </c>
      <c r="AW7" s="195">
        <f t="shared" si="2"/>
        <v>44940</v>
      </c>
      <c r="AX7" s="195">
        <f t="shared" si="2"/>
        <v>44947</v>
      </c>
      <c r="AY7" s="195">
        <f t="shared" si="2"/>
        <v>44954</v>
      </c>
      <c r="AZ7" s="195">
        <f t="shared" si="2"/>
        <v>44961</v>
      </c>
      <c r="BA7" s="195">
        <f t="shared" si="2"/>
        <v>44968</v>
      </c>
      <c r="BB7" s="195">
        <f t="shared" si="2"/>
        <v>44975</v>
      </c>
      <c r="BC7" s="195">
        <f t="shared" si="2"/>
        <v>44982</v>
      </c>
      <c r="BD7" s="195">
        <f t="shared" si="2"/>
        <v>44989</v>
      </c>
      <c r="BE7" s="195">
        <f t="shared" si="2"/>
        <v>44996</v>
      </c>
      <c r="BF7" s="195">
        <f t="shared" si="2"/>
        <v>45003</v>
      </c>
      <c r="BG7" s="195">
        <f t="shared" si="2"/>
        <v>45010</v>
      </c>
      <c r="BH7" s="195">
        <f t="shared" si="2"/>
        <v>45017</v>
      </c>
      <c r="BI7" s="195">
        <f t="shared" si="2"/>
        <v>45024</v>
      </c>
      <c r="BJ7" s="195">
        <f t="shared" si="2"/>
        <v>45031</v>
      </c>
      <c r="BK7" s="195">
        <f t="shared" si="2"/>
        <v>45038</v>
      </c>
      <c r="BL7" s="195">
        <f t="shared" si="2"/>
        <v>45045</v>
      </c>
      <c r="BM7" s="195">
        <f t="shared" si="2"/>
        <v>45052</v>
      </c>
      <c r="BN7" s="195">
        <f t="shared" si="2"/>
        <v>45059</v>
      </c>
      <c r="BO7" s="195">
        <f t="shared" si="2"/>
        <v>45066</v>
      </c>
      <c r="BP7" s="195">
        <f t="shared" si="2"/>
        <v>45073</v>
      </c>
      <c r="BQ7" s="195">
        <f t="shared" si="2"/>
        <v>45080</v>
      </c>
      <c r="BR7" s="195">
        <f t="shared" si="2"/>
        <v>45087</v>
      </c>
      <c r="BS7" s="195">
        <f t="shared" si="2"/>
        <v>45094</v>
      </c>
      <c r="BT7" s="195">
        <f t="shared" si="2"/>
        <v>45101</v>
      </c>
      <c r="BU7" s="195">
        <f t="shared" si="2"/>
        <v>45108</v>
      </c>
      <c r="BV7" s="195">
        <f t="shared" ref="BV7:DH7" si="3">BU7+7</f>
        <v>45115</v>
      </c>
      <c r="BW7" s="195">
        <f t="shared" si="3"/>
        <v>45122</v>
      </c>
      <c r="BX7" s="195">
        <f t="shared" si="3"/>
        <v>45129</v>
      </c>
      <c r="BY7" s="195">
        <f t="shared" si="3"/>
        <v>45136</v>
      </c>
      <c r="BZ7" s="196">
        <f t="shared" si="3"/>
        <v>45143</v>
      </c>
      <c r="CA7" s="69">
        <f t="shared" si="3"/>
        <v>45150</v>
      </c>
      <c r="CB7" s="69">
        <f t="shared" si="3"/>
        <v>45157</v>
      </c>
      <c r="CC7" s="69">
        <f t="shared" si="3"/>
        <v>45164</v>
      </c>
      <c r="CD7" s="69">
        <f t="shared" si="3"/>
        <v>45171</v>
      </c>
      <c r="CE7" s="69">
        <f t="shared" si="3"/>
        <v>45178</v>
      </c>
      <c r="CF7" s="69">
        <f t="shared" si="3"/>
        <v>45185</v>
      </c>
      <c r="CG7" s="69">
        <f t="shared" si="3"/>
        <v>45192</v>
      </c>
      <c r="CH7" s="69">
        <f t="shared" si="3"/>
        <v>45199</v>
      </c>
      <c r="CI7" s="69">
        <f t="shared" si="3"/>
        <v>45206</v>
      </c>
      <c r="CJ7" s="69">
        <f t="shared" si="3"/>
        <v>45213</v>
      </c>
      <c r="CK7" s="69">
        <f t="shared" si="3"/>
        <v>45220</v>
      </c>
      <c r="CL7" s="69">
        <f t="shared" si="3"/>
        <v>45227</v>
      </c>
      <c r="CM7" s="69">
        <f t="shared" si="3"/>
        <v>45234</v>
      </c>
      <c r="CN7" s="69">
        <f t="shared" si="3"/>
        <v>45241</v>
      </c>
      <c r="CO7" s="69">
        <f t="shared" si="3"/>
        <v>45248</v>
      </c>
      <c r="CP7" s="69">
        <f t="shared" si="3"/>
        <v>45255</v>
      </c>
      <c r="CQ7" s="69">
        <f t="shared" si="3"/>
        <v>45262</v>
      </c>
      <c r="CR7" s="69">
        <f t="shared" si="3"/>
        <v>45269</v>
      </c>
      <c r="CS7" s="69">
        <f t="shared" si="3"/>
        <v>45276</v>
      </c>
      <c r="CT7" s="69">
        <f t="shared" si="3"/>
        <v>45283</v>
      </c>
      <c r="CU7" s="69">
        <f t="shared" si="3"/>
        <v>45290</v>
      </c>
      <c r="CV7" s="69">
        <f t="shared" si="3"/>
        <v>45297</v>
      </c>
      <c r="CW7" s="69">
        <f t="shared" si="3"/>
        <v>45304</v>
      </c>
      <c r="CX7" s="69">
        <f t="shared" si="3"/>
        <v>45311</v>
      </c>
      <c r="CY7" s="69">
        <f t="shared" si="3"/>
        <v>45318</v>
      </c>
      <c r="CZ7" s="69">
        <f t="shared" si="3"/>
        <v>45325</v>
      </c>
      <c r="DA7" s="69">
        <f t="shared" si="3"/>
        <v>45332</v>
      </c>
      <c r="DB7" s="69">
        <f t="shared" si="3"/>
        <v>45339</v>
      </c>
      <c r="DC7" s="69">
        <f t="shared" si="3"/>
        <v>45346</v>
      </c>
      <c r="DD7" s="69">
        <f t="shared" si="3"/>
        <v>45353</v>
      </c>
      <c r="DE7" s="69">
        <f t="shared" si="3"/>
        <v>45360</v>
      </c>
      <c r="DF7" s="69">
        <f t="shared" si="3"/>
        <v>45367</v>
      </c>
      <c r="DG7" s="69">
        <f t="shared" si="3"/>
        <v>45374</v>
      </c>
      <c r="DH7" s="69">
        <f t="shared" si="3"/>
        <v>45381</v>
      </c>
      <c r="DI7" s="69">
        <f>DH7+7</f>
        <v>45388</v>
      </c>
      <c r="DJ7" s="69">
        <f t="shared" ref="DJ7:DL7" si="4">DI7+7</f>
        <v>45395</v>
      </c>
      <c r="DK7" s="69">
        <f t="shared" si="4"/>
        <v>45402</v>
      </c>
      <c r="DL7" s="69">
        <f t="shared" si="4"/>
        <v>45409</v>
      </c>
    </row>
    <row r="8" spans="1:129" ht="104.25" customHeight="1" x14ac:dyDescent="0.25">
      <c r="A8" s="173" t="s">
        <v>119</v>
      </c>
      <c r="B8" s="174"/>
      <c r="C8" s="71">
        <f>MIN(C9:C43)</f>
        <v>44891</v>
      </c>
      <c r="D8" s="72">
        <f>E8-C8</f>
        <v>246</v>
      </c>
      <c r="E8" s="90">
        <f>MAX(E9:E43)</f>
        <v>45137</v>
      </c>
      <c r="F8" s="91"/>
      <c r="G8" s="73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6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47"/>
      <c r="AL8" s="147"/>
      <c r="AM8" s="147"/>
      <c r="AN8" s="147"/>
      <c r="AO8" s="147"/>
      <c r="AP8" s="147"/>
      <c r="AQ8" s="147"/>
      <c r="AR8" s="149"/>
      <c r="AS8" s="149"/>
      <c r="AT8" s="149"/>
      <c r="AU8" s="149"/>
      <c r="AV8" s="149"/>
      <c r="AW8" s="149"/>
      <c r="AX8" s="149"/>
      <c r="AY8" s="149"/>
      <c r="AZ8" s="149"/>
      <c r="BA8" s="149"/>
      <c r="BB8" s="149"/>
      <c r="BC8" s="149"/>
      <c r="BD8" s="149"/>
      <c r="BE8" s="149"/>
      <c r="BF8" s="149"/>
      <c r="BG8" s="149"/>
      <c r="BH8" s="149"/>
      <c r="BI8" s="149"/>
      <c r="BJ8" s="149"/>
      <c r="BK8" s="149"/>
      <c r="BL8" s="149"/>
      <c r="BM8" s="149"/>
      <c r="BN8" s="149"/>
      <c r="BO8" s="149"/>
      <c r="BP8" s="149"/>
      <c r="BQ8" s="149"/>
      <c r="BR8" s="149"/>
      <c r="BS8" s="149"/>
      <c r="BT8" s="149"/>
      <c r="BU8" s="149"/>
      <c r="BV8" s="149"/>
      <c r="BW8" s="149"/>
      <c r="BX8" s="149"/>
      <c r="BY8" s="149"/>
      <c r="BZ8" s="177"/>
      <c r="CA8" s="166"/>
      <c r="CB8" s="77"/>
      <c r="CC8" s="77"/>
      <c r="CD8" s="77"/>
      <c r="CE8" s="77"/>
      <c r="CF8" s="77"/>
      <c r="CG8" s="77"/>
      <c r="CH8" s="77"/>
      <c r="CI8" s="77"/>
      <c r="CJ8" s="77"/>
      <c r="CK8" s="77"/>
      <c r="CL8" s="77"/>
      <c r="CM8" s="77"/>
      <c r="CN8" s="77"/>
      <c r="CO8" s="77"/>
      <c r="CP8" s="77"/>
      <c r="CQ8" s="78"/>
      <c r="CR8" s="78"/>
      <c r="CS8" s="78"/>
      <c r="CT8" s="78"/>
      <c r="CU8" s="78"/>
      <c r="CV8" s="78"/>
      <c r="CW8" s="78"/>
      <c r="CX8" s="78"/>
      <c r="CY8" s="78"/>
      <c r="CZ8" s="78"/>
      <c r="DA8" s="78"/>
      <c r="DB8" s="78"/>
      <c r="DC8" s="78"/>
      <c r="DD8" s="78"/>
      <c r="DE8" s="78"/>
      <c r="DF8" s="78"/>
      <c r="DG8" s="78"/>
      <c r="DH8" s="78"/>
      <c r="DI8" s="78"/>
      <c r="DJ8" s="78"/>
      <c r="DK8" s="78"/>
      <c r="DL8" s="79"/>
    </row>
    <row r="9" spans="1:129" ht="137.44999999999999" customHeight="1" x14ac:dyDescent="0.25">
      <c r="A9" s="178" t="s">
        <v>123</v>
      </c>
      <c r="B9" s="103"/>
      <c r="C9" s="100">
        <v>44905</v>
      </c>
      <c r="D9" s="95">
        <f>E9-C9+1</f>
        <v>155</v>
      </c>
      <c r="E9" s="98">
        <v>45059</v>
      </c>
      <c r="F9" s="96">
        <v>397</v>
      </c>
      <c r="G9" s="97">
        <f>IFERROR(F9/D9,"")</f>
        <v>2.5612903225806454</v>
      </c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1"/>
      <c r="Y9" s="82"/>
      <c r="Z9" s="82"/>
      <c r="AA9" s="82"/>
      <c r="AB9" s="82"/>
      <c r="AC9" s="82"/>
      <c r="AD9" s="82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108">
        <f>F9/23</f>
        <v>17.260869565217391</v>
      </c>
      <c r="AS9" s="108">
        <f>AR9</f>
        <v>17.260869565217391</v>
      </c>
      <c r="AT9" s="108">
        <f t="shared" ref="AT9:BN9" si="5">AS9</f>
        <v>17.260869565217391</v>
      </c>
      <c r="AU9" s="108">
        <f t="shared" si="5"/>
        <v>17.260869565217391</v>
      </c>
      <c r="AV9" s="108">
        <f t="shared" si="5"/>
        <v>17.260869565217391</v>
      </c>
      <c r="AW9" s="108">
        <f t="shared" si="5"/>
        <v>17.260869565217391</v>
      </c>
      <c r="AX9" s="108">
        <f t="shared" si="5"/>
        <v>17.260869565217391</v>
      </c>
      <c r="AY9" s="108">
        <f t="shared" si="5"/>
        <v>17.260869565217391</v>
      </c>
      <c r="AZ9" s="108">
        <f t="shared" si="5"/>
        <v>17.260869565217391</v>
      </c>
      <c r="BA9" s="108">
        <f t="shared" si="5"/>
        <v>17.260869565217391</v>
      </c>
      <c r="BB9" s="108">
        <f t="shared" si="5"/>
        <v>17.260869565217391</v>
      </c>
      <c r="BC9" s="108">
        <f t="shared" si="5"/>
        <v>17.260869565217391</v>
      </c>
      <c r="BD9" s="108">
        <f t="shared" si="5"/>
        <v>17.260869565217391</v>
      </c>
      <c r="BE9" s="108">
        <f t="shared" si="5"/>
        <v>17.260869565217391</v>
      </c>
      <c r="BF9" s="108">
        <f t="shared" si="5"/>
        <v>17.260869565217391</v>
      </c>
      <c r="BG9" s="108">
        <f t="shared" si="5"/>
        <v>17.260869565217391</v>
      </c>
      <c r="BH9" s="108">
        <f t="shared" si="5"/>
        <v>17.260869565217391</v>
      </c>
      <c r="BI9" s="108">
        <f t="shared" si="5"/>
        <v>17.260869565217391</v>
      </c>
      <c r="BJ9" s="108">
        <f t="shared" si="5"/>
        <v>17.260869565217391</v>
      </c>
      <c r="BK9" s="108">
        <f t="shared" si="5"/>
        <v>17.260869565217391</v>
      </c>
      <c r="BL9" s="108">
        <f t="shared" si="5"/>
        <v>17.260869565217391</v>
      </c>
      <c r="BM9" s="108">
        <f t="shared" si="5"/>
        <v>17.260869565217391</v>
      </c>
      <c r="BN9" s="108">
        <f t="shared" si="5"/>
        <v>17.260869565217391</v>
      </c>
      <c r="BO9" s="84"/>
      <c r="BP9" s="84"/>
      <c r="BQ9" s="84"/>
      <c r="BR9" s="84"/>
      <c r="BS9" s="84"/>
      <c r="BT9" s="84"/>
      <c r="BU9" s="84"/>
      <c r="BV9" s="84"/>
      <c r="BW9" s="84"/>
      <c r="BX9" s="84"/>
      <c r="BY9" s="84"/>
      <c r="BZ9" s="179"/>
      <c r="CA9" s="116"/>
      <c r="CB9" s="84"/>
      <c r="CC9" s="84"/>
      <c r="CD9" s="84"/>
      <c r="CE9" s="84"/>
      <c r="CF9" s="84"/>
      <c r="CG9" s="84"/>
      <c r="CH9" s="84"/>
      <c r="CI9" s="84"/>
      <c r="CJ9" s="84"/>
      <c r="CK9" s="84"/>
      <c r="CL9" s="84"/>
      <c r="CM9" s="84"/>
      <c r="CN9" s="84"/>
      <c r="CO9" s="84"/>
      <c r="CP9" s="84"/>
      <c r="CQ9" s="85"/>
      <c r="CR9" s="85"/>
      <c r="CS9" s="85"/>
      <c r="CT9" s="85"/>
      <c r="CU9" s="85"/>
      <c r="CV9" s="85"/>
      <c r="CW9" s="85"/>
      <c r="CX9" s="85"/>
      <c r="CY9" s="85"/>
      <c r="CZ9" s="85"/>
      <c r="DA9" s="85"/>
      <c r="DB9" s="85"/>
      <c r="DC9" s="85"/>
      <c r="DD9" s="85"/>
      <c r="DE9" s="85"/>
      <c r="DF9" s="85"/>
      <c r="DG9" s="85"/>
      <c r="DH9" s="85"/>
      <c r="DI9" s="85"/>
      <c r="DJ9" s="85"/>
      <c r="DK9" s="85"/>
      <c r="DL9" s="86"/>
      <c r="DM9" s="111"/>
      <c r="DN9" s="446">
        <f>(AR9/6)/3</f>
        <v>0.95893719806763278</v>
      </c>
      <c r="DO9" s="446"/>
      <c r="DP9" s="446"/>
      <c r="DQ9" s="446"/>
      <c r="DR9" s="446"/>
      <c r="DS9" s="446"/>
      <c r="DT9" s="446"/>
      <c r="DU9" s="446"/>
      <c r="DV9" s="446"/>
      <c r="DW9" s="111"/>
    </row>
    <row r="10" spans="1:129" ht="137.44999999999999" customHeight="1" x14ac:dyDescent="0.25">
      <c r="A10" s="178" t="s">
        <v>124</v>
      </c>
      <c r="B10" s="94"/>
      <c r="C10" s="100">
        <v>44891</v>
      </c>
      <c r="D10" s="95">
        <f t="shared" ref="D10:D18" si="6">E10-C10+1</f>
        <v>34</v>
      </c>
      <c r="E10" s="98">
        <v>44924</v>
      </c>
      <c r="F10" s="96">
        <v>90</v>
      </c>
      <c r="G10" s="97">
        <f>IFERROR(F10/D10,"")</f>
        <v>2.6470588235294117</v>
      </c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108">
        <f>F10/5</f>
        <v>18</v>
      </c>
      <c r="AQ10" s="108">
        <f>AP10</f>
        <v>18</v>
      </c>
      <c r="AR10" s="108">
        <f t="shared" ref="AR10:AT10" si="7">AQ10</f>
        <v>18</v>
      </c>
      <c r="AS10" s="108">
        <f t="shared" si="7"/>
        <v>18</v>
      </c>
      <c r="AT10" s="108">
        <f t="shared" si="7"/>
        <v>18</v>
      </c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9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179"/>
      <c r="CA10" s="116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  <c r="DF10" s="85"/>
      <c r="DG10" s="85"/>
      <c r="DH10" s="85"/>
      <c r="DI10" s="85"/>
      <c r="DJ10" s="85"/>
      <c r="DK10" s="85"/>
      <c r="DL10" s="86"/>
      <c r="DM10" s="446">
        <f>(AP10/6)/3</f>
        <v>1</v>
      </c>
      <c r="DN10" s="446"/>
      <c r="DO10" s="446"/>
      <c r="DP10" s="446"/>
      <c r="DQ10" s="446"/>
      <c r="DR10" s="446"/>
      <c r="DS10" s="446"/>
      <c r="DT10" s="446"/>
      <c r="DU10" s="446"/>
      <c r="DV10" s="110"/>
      <c r="DW10" s="112"/>
      <c r="DX10" s="109"/>
      <c r="DY10" s="109"/>
    </row>
    <row r="11" spans="1:129" ht="137.44999999999999" customHeight="1" x14ac:dyDescent="0.25">
      <c r="A11" s="178" t="s">
        <v>125</v>
      </c>
      <c r="B11" s="103"/>
      <c r="C11" s="100">
        <v>44943</v>
      </c>
      <c r="D11" s="95">
        <f t="shared" si="6"/>
        <v>94</v>
      </c>
      <c r="E11" s="98">
        <v>45036</v>
      </c>
      <c r="F11" s="96">
        <v>277</v>
      </c>
      <c r="G11" s="97">
        <f t="shared" ref="G11:G43" si="8">IFERROR(F11/D11,"")</f>
        <v>2.9468085106382977</v>
      </c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5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4"/>
      <c r="AS11" s="84"/>
      <c r="AT11" s="84"/>
      <c r="AU11" s="84"/>
      <c r="AV11" s="84"/>
      <c r="AW11" s="108"/>
      <c r="AX11" s="108">
        <f>F11/13</f>
        <v>21.307692307692307</v>
      </c>
      <c r="AY11" s="108">
        <f t="shared" ref="AY11:BE11" si="9">AX11</f>
        <v>21.307692307692307</v>
      </c>
      <c r="AZ11" s="108">
        <f t="shared" si="9"/>
        <v>21.307692307692307</v>
      </c>
      <c r="BA11" s="108">
        <f t="shared" si="9"/>
        <v>21.307692307692307</v>
      </c>
      <c r="BB11" s="108">
        <f t="shared" si="9"/>
        <v>21.307692307692307</v>
      </c>
      <c r="BC11" s="108">
        <f t="shared" si="9"/>
        <v>21.307692307692307</v>
      </c>
      <c r="BD11" s="108">
        <f t="shared" si="9"/>
        <v>21.307692307692307</v>
      </c>
      <c r="BE11" s="108">
        <f t="shared" si="9"/>
        <v>21.307692307692307</v>
      </c>
      <c r="BF11" s="108">
        <f t="shared" ref="BF11" si="10">BE11</f>
        <v>21.307692307692307</v>
      </c>
      <c r="BG11" s="108">
        <f t="shared" ref="BG11" si="11">BF11</f>
        <v>21.307692307692307</v>
      </c>
      <c r="BH11" s="108">
        <f t="shared" ref="BH11" si="12">BG11</f>
        <v>21.307692307692307</v>
      </c>
      <c r="BI11" s="108">
        <f t="shared" ref="BI11" si="13">BH11</f>
        <v>21.307692307692307</v>
      </c>
      <c r="BJ11" s="108">
        <f t="shared" ref="BJ11" si="14">BI11</f>
        <v>21.307692307692307</v>
      </c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179"/>
      <c r="CA11" s="116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5"/>
      <c r="CR11" s="85"/>
      <c r="CS11" s="85"/>
      <c r="CT11" s="85"/>
      <c r="CU11" s="85"/>
      <c r="CV11" s="85"/>
      <c r="CW11" s="85"/>
      <c r="CX11" s="85"/>
      <c r="CY11" s="85"/>
      <c r="CZ11" s="85"/>
      <c r="DA11" s="85"/>
      <c r="DB11" s="85"/>
      <c r="DC11" s="85"/>
      <c r="DD11" s="85"/>
      <c r="DE11" s="85"/>
      <c r="DF11" s="85"/>
      <c r="DG11" s="85"/>
      <c r="DH11" s="85"/>
      <c r="DI11" s="85"/>
      <c r="DJ11" s="85"/>
      <c r="DK11" s="85"/>
      <c r="DL11" s="86"/>
      <c r="DM11" s="446">
        <f>(AX11/6)/3</f>
        <v>1.1837606837606838</v>
      </c>
      <c r="DN11" s="446"/>
      <c r="DO11" s="446"/>
      <c r="DP11" s="446"/>
      <c r="DQ11" s="446"/>
      <c r="DR11" s="446"/>
      <c r="DS11" s="446"/>
      <c r="DT11" s="446"/>
      <c r="DU11" s="446"/>
      <c r="DV11" s="111"/>
      <c r="DW11" s="111"/>
    </row>
    <row r="12" spans="1:129" ht="137.44999999999999" customHeight="1" x14ac:dyDescent="0.25">
      <c r="A12" s="178" t="s">
        <v>126</v>
      </c>
      <c r="B12" s="94"/>
      <c r="C12" s="104">
        <v>44920</v>
      </c>
      <c r="D12" s="95">
        <f t="shared" si="6"/>
        <v>217</v>
      </c>
      <c r="E12" s="105">
        <v>45136</v>
      </c>
      <c r="F12" s="106">
        <v>1560</v>
      </c>
      <c r="G12" s="107">
        <f t="shared" si="8"/>
        <v>7.1889400921658986</v>
      </c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5"/>
      <c r="Y12" s="83"/>
      <c r="Z12" s="83"/>
      <c r="AA12" s="83"/>
      <c r="AB12" s="83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4"/>
      <c r="AS12" s="84"/>
      <c r="AT12" s="84"/>
      <c r="AU12" s="108">
        <f>F12/31</f>
        <v>50.322580645161288</v>
      </c>
      <c r="AV12" s="108">
        <f>AU12</f>
        <v>50.322580645161288</v>
      </c>
      <c r="AW12" s="108">
        <f t="shared" ref="AW12:BY12" si="15">AV12</f>
        <v>50.322580645161288</v>
      </c>
      <c r="AX12" s="108">
        <f t="shared" si="15"/>
        <v>50.322580645161288</v>
      </c>
      <c r="AY12" s="108">
        <f t="shared" si="15"/>
        <v>50.322580645161288</v>
      </c>
      <c r="AZ12" s="108">
        <f t="shared" si="15"/>
        <v>50.322580645161288</v>
      </c>
      <c r="BA12" s="108">
        <f t="shared" si="15"/>
        <v>50.322580645161288</v>
      </c>
      <c r="BB12" s="108">
        <f t="shared" si="15"/>
        <v>50.322580645161288</v>
      </c>
      <c r="BC12" s="108">
        <f t="shared" si="15"/>
        <v>50.322580645161288</v>
      </c>
      <c r="BD12" s="108">
        <f t="shared" si="15"/>
        <v>50.322580645161288</v>
      </c>
      <c r="BE12" s="108">
        <f t="shared" si="15"/>
        <v>50.322580645161288</v>
      </c>
      <c r="BF12" s="108">
        <f t="shared" si="15"/>
        <v>50.322580645161288</v>
      </c>
      <c r="BG12" s="108">
        <f t="shared" si="15"/>
        <v>50.322580645161288</v>
      </c>
      <c r="BH12" s="108">
        <f t="shared" si="15"/>
        <v>50.322580645161288</v>
      </c>
      <c r="BI12" s="108">
        <f t="shared" si="15"/>
        <v>50.322580645161288</v>
      </c>
      <c r="BJ12" s="108">
        <f t="shared" si="15"/>
        <v>50.322580645161288</v>
      </c>
      <c r="BK12" s="108">
        <f t="shared" si="15"/>
        <v>50.322580645161288</v>
      </c>
      <c r="BL12" s="108">
        <f t="shared" si="15"/>
        <v>50.322580645161288</v>
      </c>
      <c r="BM12" s="108">
        <f t="shared" si="15"/>
        <v>50.322580645161288</v>
      </c>
      <c r="BN12" s="108">
        <f t="shared" si="15"/>
        <v>50.322580645161288</v>
      </c>
      <c r="BO12" s="108">
        <f t="shared" si="15"/>
        <v>50.322580645161288</v>
      </c>
      <c r="BP12" s="108">
        <f t="shared" si="15"/>
        <v>50.322580645161288</v>
      </c>
      <c r="BQ12" s="108">
        <f t="shared" si="15"/>
        <v>50.322580645161288</v>
      </c>
      <c r="BR12" s="108">
        <f t="shared" si="15"/>
        <v>50.322580645161288</v>
      </c>
      <c r="BS12" s="108">
        <f t="shared" si="15"/>
        <v>50.322580645161288</v>
      </c>
      <c r="BT12" s="108">
        <f t="shared" si="15"/>
        <v>50.322580645161288</v>
      </c>
      <c r="BU12" s="108">
        <f t="shared" si="15"/>
        <v>50.322580645161288</v>
      </c>
      <c r="BV12" s="108">
        <f t="shared" si="15"/>
        <v>50.322580645161288</v>
      </c>
      <c r="BW12" s="108">
        <f t="shared" si="15"/>
        <v>50.322580645161288</v>
      </c>
      <c r="BX12" s="108">
        <f t="shared" si="15"/>
        <v>50.322580645161288</v>
      </c>
      <c r="BY12" s="108">
        <f t="shared" si="15"/>
        <v>50.322580645161288</v>
      </c>
      <c r="BZ12" s="179"/>
      <c r="CA12" s="116"/>
      <c r="CB12" s="84"/>
      <c r="CC12" s="84"/>
      <c r="CD12" s="84"/>
      <c r="CE12" s="84"/>
      <c r="CF12" s="84"/>
      <c r="CG12" s="84"/>
      <c r="CH12" s="84"/>
      <c r="CI12" s="84"/>
      <c r="CJ12" s="84"/>
      <c r="CK12" s="84"/>
      <c r="CL12" s="84"/>
      <c r="CM12" s="84"/>
      <c r="CN12" s="84"/>
      <c r="CO12" s="84"/>
      <c r="CP12" s="84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  <c r="DF12" s="85"/>
      <c r="DG12" s="85"/>
      <c r="DH12" s="85"/>
      <c r="DI12" s="85"/>
      <c r="DJ12" s="85"/>
      <c r="DK12" s="85"/>
      <c r="DL12" s="86"/>
      <c r="DM12" s="446">
        <f>(AU12/6)/3</f>
        <v>2.7956989247311825</v>
      </c>
      <c r="DN12" s="446"/>
      <c r="DO12" s="446"/>
      <c r="DP12" s="446"/>
      <c r="DQ12" s="446"/>
      <c r="DR12" s="446"/>
      <c r="DS12" s="446"/>
      <c r="DT12" s="446"/>
      <c r="DU12" s="446"/>
      <c r="DV12" s="111"/>
      <c r="DW12" s="111"/>
    </row>
    <row r="13" spans="1:129" ht="137.44999999999999" customHeight="1" x14ac:dyDescent="0.25">
      <c r="A13" s="178" t="s">
        <v>127</v>
      </c>
      <c r="B13" s="102"/>
      <c r="C13" s="104">
        <v>44997</v>
      </c>
      <c r="D13" s="95">
        <f t="shared" si="6"/>
        <v>141</v>
      </c>
      <c r="E13" s="105">
        <v>45137</v>
      </c>
      <c r="F13" s="106">
        <v>715</v>
      </c>
      <c r="G13" s="107">
        <f t="shared" si="8"/>
        <v>5.0709219858156027</v>
      </c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5"/>
      <c r="Y13" s="83"/>
      <c r="Z13" s="83"/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108">
        <f>F13/20</f>
        <v>35.75</v>
      </c>
      <c r="BG13" s="108">
        <f>BF13</f>
        <v>35.75</v>
      </c>
      <c r="BH13" s="108">
        <f t="shared" ref="BH13:BY13" si="16">BG13</f>
        <v>35.75</v>
      </c>
      <c r="BI13" s="108">
        <f t="shared" si="16"/>
        <v>35.75</v>
      </c>
      <c r="BJ13" s="108">
        <f t="shared" si="16"/>
        <v>35.75</v>
      </c>
      <c r="BK13" s="108">
        <f t="shared" si="16"/>
        <v>35.75</v>
      </c>
      <c r="BL13" s="108">
        <f t="shared" si="16"/>
        <v>35.75</v>
      </c>
      <c r="BM13" s="108">
        <f t="shared" si="16"/>
        <v>35.75</v>
      </c>
      <c r="BN13" s="108">
        <f t="shared" si="16"/>
        <v>35.75</v>
      </c>
      <c r="BO13" s="108">
        <f t="shared" si="16"/>
        <v>35.75</v>
      </c>
      <c r="BP13" s="108">
        <f t="shared" si="16"/>
        <v>35.75</v>
      </c>
      <c r="BQ13" s="108">
        <f t="shared" si="16"/>
        <v>35.75</v>
      </c>
      <c r="BR13" s="108">
        <f t="shared" si="16"/>
        <v>35.75</v>
      </c>
      <c r="BS13" s="108">
        <f t="shared" si="16"/>
        <v>35.75</v>
      </c>
      <c r="BT13" s="108">
        <f t="shared" si="16"/>
        <v>35.75</v>
      </c>
      <c r="BU13" s="108">
        <f t="shared" si="16"/>
        <v>35.75</v>
      </c>
      <c r="BV13" s="108">
        <f t="shared" si="16"/>
        <v>35.75</v>
      </c>
      <c r="BW13" s="108">
        <f t="shared" si="16"/>
        <v>35.75</v>
      </c>
      <c r="BX13" s="108">
        <f t="shared" si="16"/>
        <v>35.75</v>
      </c>
      <c r="BY13" s="108">
        <f t="shared" si="16"/>
        <v>35.75</v>
      </c>
      <c r="BZ13" s="179"/>
      <c r="CA13" s="116"/>
      <c r="CB13" s="84"/>
      <c r="CC13" s="84"/>
      <c r="CD13" s="84"/>
      <c r="CE13" s="84"/>
      <c r="CF13" s="84"/>
      <c r="CG13" s="84"/>
      <c r="CH13" s="84"/>
      <c r="CI13" s="84"/>
      <c r="CJ13" s="84"/>
      <c r="CK13" s="84"/>
      <c r="CL13" s="84"/>
      <c r="CM13" s="84"/>
      <c r="CN13" s="84"/>
      <c r="CO13" s="84"/>
      <c r="CP13" s="84"/>
      <c r="CQ13" s="85"/>
      <c r="CR13" s="85"/>
      <c r="CS13" s="85"/>
      <c r="CT13" s="85"/>
      <c r="CU13" s="85"/>
      <c r="CV13" s="85"/>
      <c r="CW13" s="85"/>
      <c r="CX13" s="85"/>
      <c r="CY13" s="85"/>
      <c r="CZ13" s="85"/>
      <c r="DA13" s="85"/>
      <c r="DB13" s="85"/>
      <c r="DC13" s="85"/>
      <c r="DD13" s="85"/>
      <c r="DE13" s="85"/>
      <c r="DF13" s="85"/>
      <c r="DG13" s="85"/>
      <c r="DH13" s="85"/>
      <c r="DI13" s="85"/>
      <c r="DJ13" s="85"/>
      <c r="DK13" s="85"/>
      <c r="DL13" s="86"/>
      <c r="DM13" s="446">
        <f>(BF13/6)/3</f>
        <v>1.9861111111111109</v>
      </c>
      <c r="DN13" s="446"/>
      <c r="DO13" s="446"/>
      <c r="DP13" s="446"/>
      <c r="DQ13" s="446"/>
      <c r="DR13" s="446"/>
      <c r="DS13" s="446"/>
      <c r="DT13" s="446"/>
      <c r="DU13" s="446"/>
      <c r="DV13" s="111"/>
      <c r="DW13" s="111"/>
    </row>
    <row r="14" spans="1:129" ht="137.44999999999999" customHeight="1" x14ac:dyDescent="0.25">
      <c r="A14" s="178" t="s">
        <v>128</v>
      </c>
      <c r="B14" s="94"/>
      <c r="C14" s="104">
        <v>44956</v>
      </c>
      <c r="D14" s="95">
        <f t="shared" si="6"/>
        <v>134</v>
      </c>
      <c r="E14" s="105">
        <v>45089</v>
      </c>
      <c r="F14" s="106">
        <v>341</v>
      </c>
      <c r="G14" s="107">
        <f t="shared" si="8"/>
        <v>2.544776119402985</v>
      </c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5"/>
      <c r="Y14" s="83"/>
      <c r="Z14" s="83"/>
      <c r="AA14" s="83"/>
      <c r="AB14" s="83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4"/>
      <c r="AS14" s="84"/>
      <c r="AT14" s="84"/>
      <c r="AU14" s="84"/>
      <c r="AV14" s="84"/>
      <c r="AW14" s="84"/>
      <c r="AX14" s="84"/>
      <c r="AY14" s="84"/>
      <c r="AZ14" s="108">
        <f>F14/19</f>
        <v>17.94736842105263</v>
      </c>
      <c r="BA14" s="108">
        <f>AZ14</f>
        <v>17.94736842105263</v>
      </c>
      <c r="BB14" s="108">
        <f t="shared" ref="BB14:BR14" si="17">BA14</f>
        <v>17.94736842105263</v>
      </c>
      <c r="BC14" s="108">
        <f t="shared" si="17"/>
        <v>17.94736842105263</v>
      </c>
      <c r="BD14" s="108">
        <f t="shared" si="17"/>
        <v>17.94736842105263</v>
      </c>
      <c r="BE14" s="108">
        <f t="shared" si="17"/>
        <v>17.94736842105263</v>
      </c>
      <c r="BF14" s="108">
        <f t="shared" si="17"/>
        <v>17.94736842105263</v>
      </c>
      <c r="BG14" s="108">
        <f t="shared" si="17"/>
        <v>17.94736842105263</v>
      </c>
      <c r="BH14" s="108">
        <f t="shared" si="17"/>
        <v>17.94736842105263</v>
      </c>
      <c r="BI14" s="108">
        <f t="shared" si="17"/>
        <v>17.94736842105263</v>
      </c>
      <c r="BJ14" s="108">
        <f t="shared" si="17"/>
        <v>17.94736842105263</v>
      </c>
      <c r="BK14" s="108">
        <f t="shared" si="17"/>
        <v>17.94736842105263</v>
      </c>
      <c r="BL14" s="108">
        <f t="shared" si="17"/>
        <v>17.94736842105263</v>
      </c>
      <c r="BM14" s="108">
        <f t="shared" si="17"/>
        <v>17.94736842105263</v>
      </c>
      <c r="BN14" s="108">
        <f t="shared" si="17"/>
        <v>17.94736842105263</v>
      </c>
      <c r="BO14" s="108">
        <f t="shared" si="17"/>
        <v>17.94736842105263</v>
      </c>
      <c r="BP14" s="108">
        <f t="shared" si="17"/>
        <v>17.94736842105263</v>
      </c>
      <c r="BQ14" s="108">
        <f t="shared" si="17"/>
        <v>17.94736842105263</v>
      </c>
      <c r="BR14" s="108">
        <f t="shared" si="17"/>
        <v>17.94736842105263</v>
      </c>
      <c r="BS14" s="84"/>
      <c r="BT14" s="84"/>
      <c r="BU14" s="84"/>
      <c r="BV14" s="84"/>
      <c r="BW14" s="84"/>
      <c r="BX14" s="84"/>
      <c r="BY14" s="84"/>
      <c r="BZ14" s="179"/>
      <c r="CA14" s="116"/>
      <c r="CB14" s="84"/>
      <c r="CC14" s="84"/>
      <c r="CD14" s="84"/>
      <c r="CE14" s="84"/>
      <c r="CF14" s="84"/>
      <c r="CG14" s="84"/>
      <c r="CH14" s="84"/>
      <c r="CI14" s="84"/>
      <c r="CJ14" s="84"/>
      <c r="CK14" s="84"/>
      <c r="CL14" s="84"/>
      <c r="CM14" s="84"/>
      <c r="CN14" s="84"/>
      <c r="CO14" s="84"/>
      <c r="CP14" s="84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  <c r="DF14" s="85"/>
      <c r="DG14" s="85"/>
      <c r="DH14" s="85"/>
      <c r="DI14" s="85"/>
      <c r="DJ14" s="85"/>
      <c r="DK14" s="85"/>
      <c r="DL14" s="86"/>
      <c r="DM14" s="446">
        <f>(AZ14/6)/3</f>
        <v>0.99707602339181278</v>
      </c>
      <c r="DN14" s="446"/>
      <c r="DO14" s="446"/>
      <c r="DP14" s="446"/>
      <c r="DQ14" s="446"/>
      <c r="DR14" s="446"/>
      <c r="DS14" s="446"/>
      <c r="DT14" s="446"/>
      <c r="DU14" s="446"/>
      <c r="DV14" s="110"/>
      <c r="DW14" s="111"/>
    </row>
    <row r="15" spans="1:129" ht="137.44999999999999" customHeight="1" x14ac:dyDescent="0.25">
      <c r="A15" s="178" t="s">
        <v>129</v>
      </c>
      <c r="B15" s="102"/>
      <c r="C15" s="104">
        <v>44903</v>
      </c>
      <c r="D15" s="95">
        <f t="shared" si="6"/>
        <v>63</v>
      </c>
      <c r="E15" s="105">
        <v>44965</v>
      </c>
      <c r="F15" s="106">
        <v>162</v>
      </c>
      <c r="G15" s="107">
        <f t="shared" si="8"/>
        <v>2.5714285714285716</v>
      </c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5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108">
        <f>F15/9</f>
        <v>18</v>
      </c>
      <c r="AS15" s="108">
        <f>AR15</f>
        <v>18</v>
      </c>
      <c r="AT15" s="108">
        <f t="shared" ref="AT15:AZ15" si="18">AS15</f>
        <v>18</v>
      </c>
      <c r="AU15" s="108">
        <f t="shared" si="18"/>
        <v>18</v>
      </c>
      <c r="AV15" s="108">
        <f t="shared" si="18"/>
        <v>18</v>
      </c>
      <c r="AW15" s="108">
        <f t="shared" si="18"/>
        <v>18</v>
      </c>
      <c r="AX15" s="108">
        <f t="shared" si="18"/>
        <v>18</v>
      </c>
      <c r="AY15" s="108">
        <f t="shared" si="18"/>
        <v>18</v>
      </c>
      <c r="AZ15" s="108">
        <f t="shared" si="18"/>
        <v>18</v>
      </c>
      <c r="BA15" s="84"/>
      <c r="BB15" s="84"/>
      <c r="BC15" s="84"/>
      <c r="BD15" s="84"/>
      <c r="BE15" s="84"/>
      <c r="BF15" s="84"/>
      <c r="BG15" s="84"/>
      <c r="BH15" s="84"/>
      <c r="BI15" s="84"/>
      <c r="BJ15" s="84"/>
      <c r="BK15" s="84"/>
      <c r="BL15" s="84"/>
      <c r="BM15" s="84"/>
      <c r="BN15" s="84"/>
      <c r="BO15" s="84"/>
      <c r="BP15" s="84"/>
      <c r="BQ15" s="84"/>
      <c r="BR15" s="84"/>
      <c r="BS15" s="84"/>
      <c r="BT15" s="84"/>
      <c r="BU15" s="84"/>
      <c r="BV15" s="84"/>
      <c r="BW15" s="84"/>
      <c r="BX15" s="84"/>
      <c r="BY15" s="84"/>
      <c r="BZ15" s="179"/>
      <c r="CA15" s="116"/>
      <c r="CB15" s="84"/>
      <c r="CC15" s="84"/>
      <c r="CD15" s="84"/>
      <c r="CE15" s="84"/>
      <c r="CF15" s="84"/>
      <c r="CG15" s="84"/>
      <c r="CH15" s="84"/>
      <c r="CI15" s="84"/>
      <c r="CJ15" s="84"/>
      <c r="CK15" s="84"/>
      <c r="CL15" s="84"/>
      <c r="CM15" s="84"/>
      <c r="CN15" s="84"/>
      <c r="CO15" s="84"/>
      <c r="CP15" s="84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5"/>
      <c r="DE15" s="85"/>
      <c r="DF15" s="85"/>
      <c r="DG15" s="85"/>
      <c r="DH15" s="85"/>
      <c r="DI15" s="85"/>
      <c r="DJ15" s="85"/>
      <c r="DK15" s="85"/>
      <c r="DL15" s="86"/>
      <c r="DM15" s="446">
        <f>(AR15/6)/3</f>
        <v>1</v>
      </c>
      <c r="DN15" s="446"/>
      <c r="DO15" s="446"/>
      <c r="DP15" s="446"/>
      <c r="DQ15" s="446"/>
      <c r="DR15" s="446"/>
      <c r="DS15" s="446"/>
      <c r="DT15" s="446"/>
      <c r="DU15" s="446"/>
      <c r="DV15" s="110"/>
      <c r="DW15" s="111"/>
    </row>
    <row r="16" spans="1:129" ht="137.44999999999999" customHeight="1" x14ac:dyDescent="0.25">
      <c r="A16" s="178" t="s">
        <v>130</v>
      </c>
      <c r="B16" s="94"/>
      <c r="C16" s="100">
        <v>44950</v>
      </c>
      <c r="D16" s="95">
        <f t="shared" si="6"/>
        <v>153</v>
      </c>
      <c r="E16" s="98">
        <v>45102</v>
      </c>
      <c r="F16" s="96">
        <v>490</v>
      </c>
      <c r="G16" s="97">
        <f t="shared" si="8"/>
        <v>3.2026143790849675</v>
      </c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5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4"/>
      <c r="AS16" s="84"/>
      <c r="AT16" s="84"/>
      <c r="AU16" s="84"/>
      <c r="AV16" s="84"/>
      <c r="AW16" s="108"/>
      <c r="AX16" s="108"/>
      <c r="AY16" s="108">
        <f>F16/22</f>
        <v>22.272727272727273</v>
      </c>
      <c r="AZ16" s="108">
        <f t="shared" ref="AZ16:BT16" si="19">AY16</f>
        <v>22.272727272727273</v>
      </c>
      <c r="BA16" s="108">
        <f t="shared" si="19"/>
        <v>22.272727272727273</v>
      </c>
      <c r="BB16" s="108">
        <f t="shared" si="19"/>
        <v>22.272727272727273</v>
      </c>
      <c r="BC16" s="108">
        <f t="shared" si="19"/>
        <v>22.272727272727273</v>
      </c>
      <c r="BD16" s="108">
        <f t="shared" si="19"/>
        <v>22.272727272727273</v>
      </c>
      <c r="BE16" s="108">
        <f t="shared" si="19"/>
        <v>22.272727272727273</v>
      </c>
      <c r="BF16" s="108">
        <f t="shared" si="19"/>
        <v>22.272727272727273</v>
      </c>
      <c r="BG16" s="108">
        <f t="shared" si="19"/>
        <v>22.272727272727273</v>
      </c>
      <c r="BH16" s="108">
        <f t="shared" si="19"/>
        <v>22.272727272727273</v>
      </c>
      <c r="BI16" s="108">
        <f t="shared" si="19"/>
        <v>22.272727272727273</v>
      </c>
      <c r="BJ16" s="108">
        <f t="shared" si="19"/>
        <v>22.272727272727273</v>
      </c>
      <c r="BK16" s="108">
        <f t="shared" si="19"/>
        <v>22.272727272727273</v>
      </c>
      <c r="BL16" s="108">
        <f t="shared" si="19"/>
        <v>22.272727272727273</v>
      </c>
      <c r="BM16" s="108">
        <f t="shared" si="19"/>
        <v>22.272727272727273</v>
      </c>
      <c r="BN16" s="108">
        <f t="shared" si="19"/>
        <v>22.272727272727273</v>
      </c>
      <c r="BO16" s="108">
        <f t="shared" si="19"/>
        <v>22.272727272727273</v>
      </c>
      <c r="BP16" s="108">
        <f t="shared" si="19"/>
        <v>22.272727272727273</v>
      </c>
      <c r="BQ16" s="108">
        <f t="shared" si="19"/>
        <v>22.272727272727273</v>
      </c>
      <c r="BR16" s="108">
        <f t="shared" si="19"/>
        <v>22.272727272727273</v>
      </c>
      <c r="BS16" s="108">
        <f t="shared" si="19"/>
        <v>22.272727272727273</v>
      </c>
      <c r="BT16" s="108">
        <f t="shared" si="19"/>
        <v>22.272727272727273</v>
      </c>
      <c r="BU16" s="84"/>
      <c r="BV16" s="84"/>
      <c r="BW16" s="84"/>
      <c r="BX16" s="84"/>
      <c r="BY16" s="84"/>
      <c r="BZ16" s="179"/>
      <c r="CA16" s="116"/>
      <c r="CB16" s="84"/>
      <c r="CC16" s="84"/>
      <c r="CD16" s="84"/>
      <c r="CE16" s="84"/>
      <c r="CF16" s="84"/>
      <c r="CG16" s="84"/>
      <c r="CH16" s="84"/>
      <c r="CI16" s="84"/>
      <c r="CJ16" s="84"/>
      <c r="CK16" s="84"/>
      <c r="CL16" s="84"/>
      <c r="CM16" s="84"/>
      <c r="CN16" s="84"/>
      <c r="CO16" s="84"/>
      <c r="CP16" s="84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5"/>
      <c r="DE16" s="85"/>
      <c r="DF16" s="85"/>
      <c r="DG16" s="85"/>
      <c r="DH16" s="85"/>
      <c r="DI16" s="85"/>
      <c r="DJ16" s="85"/>
      <c r="DK16" s="85"/>
      <c r="DL16" s="86"/>
      <c r="DM16" s="446">
        <f>(AY16/6)/3</f>
        <v>1.2373737373737375</v>
      </c>
      <c r="DN16" s="446"/>
      <c r="DO16" s="446"/>
      <c r="DP16" s="446"/>
      <c r="DQ16" s="446"/>
      <c r="DR16" s="446"/>
      <c r="DS16" s="446"/>
      <c r="DT16" s="446"/>
      <c r="DU16" s="446"/>
      <c r="DV16" s="446"/>
      <c r="DW16" s="446"/>
    </row>
    <row r="17" spans="1:127" ht="137.44999999999999" customHeight="1" x14ac:dyDescent="0.25">
      <c r="A17" s="178" t="s">
        <v>131</v>
      </c>
      <c r="B17" s="94"/>
      <c r="C17" s="100">
        <v>44927</v>
      </c>
      <c r="D17" s="95">
        <f t="shared" si="6"/>
        <v>37</v>
      </c>
      <c r="E17" s="98">
        <v>44963</v>
      </c>
      <c r="F17" s="96">
        <v>93</v>
      </c>
      <c r="G17" s="97">
        <f t="shared" si="8"/>
        <v>2.5135135135135136</v>
      </c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5"/>
      <c r="Y17" s="83"/>
      <c r="Z17" s="83"/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4"/>
      <c r="AS17" s="84"/>
      <c r="AT17" s="84"/>
      <c r="AU17" s="84"/>
      <c r="AV17" s="108">
        <f>F17/5</f>
        <v>18.600000000000001</v>
      </c>
      <c r="AW17" s="108">
        <f>AV17</f>
        <v>18.600000000000001</v>
      </c>
      <c r="AX17" s="108">
        <f t="shared" ref="AX17:AZ17" si="20">AW17</f>
        <v>18.600000000000001</v>
      </c>
      <c r="AY17" s="108">
        <f t="shared" si="20"/>
        <v>18.600000000000001</v>
      </c>
      <c r="AZ17" s="108">
        <f t="shared" si="20"/>
        <v>18.600000000000001</v>
      </c>
      <c r="BA17" s="84"/>
      <c r="BB17" s="84"/>
      <c r="BC17" s="84"/>
      <c r="BD17" s="84"/>
      <c r="BE17" s="84"/>
      <c r="BF17" s="84"/>
      <c r="BG17" s="84"/>
      <c r="BH17" s="84"/>
      <c r="BI17" s="84"/>
      <c r="BJ17" s="84"/>
      <c r="BK17" s="84"/>
      <c r="BL17" s="84"/>
      <c r="BM17" s="84"/>
      <c r="BN17" s="84"/>
      <c r="BO17" s="84"/>
      <c r="BP17" s="84"/>
      <c r="BQ17" s="84"/>
      <c r="BR17" s="84"/>
      <c r="BS17" s="84"/>
      <c r="BT17" s="84"/>
      <c r="BU17" s="84"/>
      <c r="BV17" s="84"/>
      <c r="BW17" s="84"/>
      <c r="BX17" s="84"/>
      <c r="BY17" s="84"/>
      <c r="BZ17" s="179"/>
      <c r="CA17" s="116"/>
      <c r="CB17" s="84"/>
      <c r="CC17" s="84"/>
      <c r="CD17" s="84"/>
      <c r="CE17" s="84"/>
      <c r="CF17" s="84"/>
      <c r="CG17" s="84"/>
      <c r="CH17" s="84"/>
      <c r="CI17" s="84"/>
      <c r="CJ17" s="84"/>
      <c r="CK17" s="84"/>
      <c r="CL17" s="84"/>
      <c r="CM17" s="84"/>
      <c r="CN17" s="84"/>
      <c r="CO17" s="84"/>
      <c r="CP17" s="84"/>
      <c r="CQ17" s="85"/>
      <c r="CR17" s="85"/>
      <c r="CS17" s="85"/>
      <c r="CT17" s="85"/>
      <c r="CU17" s="85"/>
      <c r="CV17" s="85"/>
      <c r="CW17" s="85"/>
      <c r="CX17" s="85"/>
      <c r="CY17" s="85"/>
      <c r="CZ17" s="85"/>
      <c r="DA17" s="85"/>
      <c r="DB17" s="85"/>
      <c r="DC17" s="85"/>
      <c r="DD17" s="85"/>
      <c r="DE17" s="85"/>
      <c r="DF17" s="85"/>
      <c r="DG17" s="85"/>
      <c r="DH17" s="85"/>
      <c r="DI17" s="85"/>
      <c r="DJ17" s="85"/>
      <c r="DK17" s="85"/>
      <c r="DL17" s="86"/>
      <c r="DM17" s="446">
        <f>(AV17/6)/3</f>
        <v>1.0333333333333334</v>
      </c>
      <c r="DN17" s="446"/>
      <c r="DO17" s="446"/>
      <c r="DP17" s="446"/>
      <c r="DQ17" s="446"/>
      <c r="DR17" s="446"/>
      <c r="DS17" s="446"/>
      <c r="DT17" s="446"/>
      <c r="DU17" s="446"/>
      <c r="DV17" s="110"/>
    </row>
    <row r="18" spans="1:127" ht="137.44999999999999" customHeight="1" thickBot="1" x14ac:dyDescent="0.3">
      <c r="A18" s="178" t="s">
        <v>132</v>
      </c>
      <c r="B18" s="103"/>
      <c r="C18" s="100">
        <v>45042</v>
      </c>
      <c r="D18" s="95">
        <f t="shared" si="6"/>
        <v>46</v>
      </c>
      <c r="E18" s="98">
        <v>45087</v>
      </c>
      <c r="F18" s="96">
        <v>130</v>
      </c>
      <c r="G18" s="97">
        <f t="shared" si="8"/>
        <v>2.8260869565217392</v>
      </c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5"/>
      <c r="Y18" s="83"/>
      <c r="Z18" s="83"/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4"/>
      <c r="AS18" s="84"/>
      <c r="AT18" s="84"/>
      <c r="AU18" s="84"/>
      <c r="AV18" s="84"/>
      <c r="AW18" s="84"/>
      <c r="AX18" s="84"/>
      <c r="AY18" s="84"/>
      <c r="AZ18" s="84"/>
      <c r="BA18" s="84"/>
      <c r="BB18" s="84"/>
      <c r="BC18" s="84"/>
      <c r="BD18" s="84"/>
      <c r="BE18" s="84"/>
      <c r="BF18" s="84"/>
      <c r="BG18" s="84"/>
      <c r="BH18" s="84"/>
      <c r="BI18" s="84"/>
      <c r="BJ18" s="84"/>
      <c r="BK18" s="84"/>
      <c r="BL18" s="108">
        <f>F18/7</f>
        <v>18.571428571428573</v>
      </c>
      <c r="BM18" s="108">
        <f>BL18</f>
        <v>18.571428571428573</v>
      </c>
      <c r="BN18" s="108">
        <f t="shared" ref="BN18:BR18" si="21">BM18</f>
        <v>18.571428571428573</v>
      </c>
      <c r="BO18" s="108">
        <f t="shared" si="21"/>
        <v>18.571428571428573</v>
      </c>
      <c r="BP18" s="108">
        <f t="shared" si="21"/>
        <v>18.571428571428573</v>
      </c>
      <c r="BQ18" s="108">
        <f t="shared" si="21"/>
        <v>18.571428571428573</v>
      </c>
      <c r="BR18" s="108">
        <f t="shared" si="21"/>
        <v>18.571428571428573</v>
      </c>
      <c r="BS18" s="84"/>
      <c r="BT18" s="84"/>
      <c r="BU18" s="84"/>
      <c r="BV18" s="84"/>
      <c r="BW18" s="84"/>
      <c r="BX18" s="84"/>
      <c r="BY18" s="84"/>
      <c r="BZ18" s="179"/>
      <c r="CA18" s="116"/>
      <c r="CB18" s="84"/>
      <c r="CC18" s="84"/>
      <c r="CD18" s="84"/>
      <c r="CE18" s="84"/>
      <c r="CF18" s="84"/>
      <c r="CG18" s="84"/>
      <c r="CH18" s="84"/>
      <c r="CI18" s="84"/>
      <c r="CJ18" s="84"/>
      <c r="CK18" s="84"/>
      <c r="CL18" s="84"/>
      <c r="CM18" s="84"/>
      <c r="CN18" s="84"/>
      <c r="CO18" s="84"/>
      <c r="CP18" s="84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  <c r="DF18" s="85"/>
      <c r="DG18" s="85"/>
      <c r="DH18" s="85"/>
      <c r="DI18" s="85"/>
      <c r="DJ18" s="85"/>
      <c r="DK18" s="85"/>
      <c r="DL18" s="86"/>
      <c r="DM18" s="446">
        <f>(BL18/6)/3</f>
        <v>1.0317460317460319</v>
      </c>
      <c r="DN18" s="446"/>
      <c r="DO18" s="446"/>
      <c r="DP18" s="446"/>
      <c r="DQ18" s="446"/>
      <c r="DR18" s="446"/>
      <c r="DS18" s="446"/>
      <c r="DT18" s="446"/>
      <c r="DU18" s="446"/>
      <c r="DV18" s="446"/>
      <c r="DW18" s="446"/>
    </row>
    <row r="19" spans="1:127" ht="137.44999999999999" hidden="1" customHeight="1" x14ac:dyDescent="0.25">
      <c r="A19" s="178"/>
      <c r="B19" s="94"/>
      <c r="C19" s="100"/>
      <c r="D19" s="95">
        <f t="shared" ref="D19:D43" si="22">E19-C19</f>
        <v>0</v>
      </c>
      <c r="E19" s="98"/>
      <c r="F19" s="96"/>
      <c r="G19" s="97" t="str">
        <f t="shared" si="8"/>
        <v/>
      </c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5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84"/>
      <c r="BS19" s="84"/>
      <c r="BT19" s="84"/>
      <c r="BU19" s="84"/>
      <c r="BV19" s="84"/>
      <c r="BW19" s="84"/>
      <c r="BX19" s="84"/>
      <c r="BY19" s="84"/>
      <c r="BZ19" s="179"/>
      <c r="CA19" s="116"/>
      <c r="CB19" s="84"/>
      <c r="CC19" s="84"/>
      <c r="CD19" s="84"/>
      <c r="CE19" s="84"/>
      <c r="CF19" s="84"/>
      <c r="CG19" s="84"/>
      <c r="CH19" s="84"/>
      <c r="CI19" s="84"/>
      <c r="CJ19" s="84"/>
      <c r="CK19" s="84"/>
      <c r="CL19" s="84"/>
      <c r="CM19" s="84"/>
      <c r="CN19" s="84"/>
      <c r="CO19" s="84"/>
      <c r="CP19" s="84"/>
      <c r="CQ19" s="85"/>
      <c r="CR19" s="85"/>
      <c r="CS19" s="85"/>
      <c r="CT19" s="85"/>
      <c r="CU19" s="85"/>
      <c r="CV19" s="85"/>
      <c r="CW19" s="85"/>
      <c r="CX19" s="85"/>
      <c r="CY19" s="85"/>
      <c r="CZ19" s="85"/>
      <c r="DA19" s="85"/>
      <c r="DB19" s="85"/>
      <c r="DC19" s="85"/>
      <c r="DD19" s="85"/>
      <c r="DE19" s="85"/>
      <c r="DF19" s="85"/>
      <c r="DG19" s="85"/>
      <c r="DH19" s="85"/>
      <c r="DI19" s="85"/>
      <c r="DJ19" s="85"/>
      <c r="DK19" s="85"/>
      <c r="DL19" s="86"/>
    </row>
    <row r="20" spans="1:127" ht="137.44999999999999" hidden="1" customHeight="1" x14ac:dyDescent="0.25">
      <c r="A20" s="178"/>
      <c r="B20" s="94"/>
      <c r="C20" s="100"/>
      <c r="D20" s="95">
        <f t="shared" si="22"/>
        <v>0</v>
      </c>
      <c r="E20" s="98"/>
      <c r="F20" s="96"/>
      <c r="G20" s="97" t="str">
        <f t="shared" si="8"/>
        <v/>
      </c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5"/>
      <c r="Y20" s="83"/>
      <c r="Z20" s="83"/>
      <c r="AA20" s="83"/>
      <c r="AB20" s="83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4"/>
      <c r="AS20" s="84"/>
      <c r="AT20" s="84"/>
      <c r="AU20" s="84"/>
      <c r="AV20" s="84"/>
      <c r="AW20" s="84"/>
      <c r="AX20" s="84"/>
      <c r="AY20" s="84"/>
      <c r="AZ20" s="84"/>
      <c r="BA20" s="84"/>
      <c r="BB20" s="84"/>
      <c r="BC20" s="84"/>
      <c r="BD20" s="84"/>
      <c r="BE20" s="84"/>
      <c r="BF20" s="84"/>
      <c r="BG20" s="84"/>
      <c r="BH20" s="84"/>
      <c r="BI20" s="84"/>
      <c r="BJ20" s="84"/>
      <c r="BK20" s="84"/>
      <c r="BL20" s="84"/>
      <c r="BM20" s="84"/>
      <c r="BN20" s="84"/>
      <c r="BO20" s="84"/>
      <c r="BP20" s="84"/>
      <c r="BQ20" s="84"/>
      <c r="BR20" s="84"/>
      <c r="BS20" s="84"/>
      <c r="BT20" s="84"/>
      <c r="BU20" s="84"/>
      <c r="BV20" s="84"/>
      <c r="BW20" s="84"/>
      <c r="BX20" s="84"/>
      <c r="BY20" s="84"/>
      <c r="BZ20" s="179"/>
      <c r="CA20" s="116"/>
      <c r="CB20" s="84"/>
      <c r="CC20" s="84"/>
      <c r="CD20" s="84"/>
      <c r="CE20" s="84"/>
      <c r="CF20" s="84"/>
      <c r="CG20" s="84"/>
      <c r="CH20" s="84"/>
      <c r="CI20" s="84"/>
      <c r="CJ20" s="84"/>
      <c r="CK20" s="84"/>
      <c r="CL20" s="84"/>
      <c r="CM20" s="84"/>
      <c r="CN20" s="84"/>
      <c r="CO20" s="84"/>
      <c r="CP20" s="84"/>
      <c r="CQ20" s="85"/>
      <c r="CR20" s="85"/>
      <c r="CS20" s="85"/>
      <c r="CT20" s="85"/>
      <c r="CU20" s="85"/>
      <c r="CV20" s="85"/>
      <c r="CW20" s="85"/>
      <c r="CX20" s="85"/>
      <c r="CY20" s="85"/>
      <c r="CZ20" s="85"/>
      <c r="DA20" s="85"/>
      <c r="DB20" s="85"/>
      <c r="DC20" s="85"/>
      <c r="DD20" s="85"/>
      <c r="DE20" s="85"/>
      <c r="DF20" s="85"/>
      <c r="DG20" s="85"/>
      <c r="DH20" s="85"/>
      <c r="DI20" s="85"/>
      <c r="DJ20" s="85"/>
      <c r="DK20" s="85"/>
      <c r="DL20" s="86"/>
    </row>
    <row r="21" spans="1:127" ht="137.44999999999999" hidden="1" customHeight="1" x14ac:dyDescent="0.25">
      <c r="A21" s="178"/>
      <c r="B21" s="103"/>
      <c r="C21" s="100"/>
      <c r="D21" s="95">
        <f t="shared" si="22"/>
        <v>0</v>
      </c>
      <c r="E21" s="98"/>
      <c r="F21" s="96"/>
      <c r="G21" s="97" t="str">
        <f t="shared" si="8"/>
        <v/>
      </c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5"/>
      <c r="Y21" s="83"/>
      <c r="Z21" s="83"/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84"/>
      <c r="BS21" s="84"/>
      <c r="BT21" s="84"/>
      <c r="BU21" s="84"/>
      <c r="BV21" s="84"/>
      <c r="BW21" s="84"/>
      <c r="BX21" s="84"/>
      <c r="BY21" s="84"/>
      <c r="BZ21" s="179"/>
      <c r="CA21" s="116"/>
      <c r="CB21" s="84"/>
      <c r="CC21" s="84"/>
      <c r="CD21" s="84"/>
      <c r="CE21" s="84"/>
      <c r="CF21" s="84"/>
      <c r="CG21" s="84"/>
      <c r="CH21" s="84"/>
      <c r="CI21" s="84"/>
      <c r="CJ21" s="84"/>
      <c r="CK21" s="84"/>
      <c r="CL21" s="84"/>
      <c r="CM21" s="84"/>
      <c r="CN21" s="84"/>
      <c r="CO21" s="84"/>
      <c r="CP21" s="84"/>
      <c r="CQ21" s="85"/>
      <c r="CR21" s="85"/>
      <c r="CS21" s="85"/>
      <c r="CT21" s="85"/>
      <c r="CU21" s="85"/>
      <c r="CV21" s="85"/>
      <c r="CW21" s="85"/>
      <c r="CX21" s="85"/>
      <c r="CY21" s="85"/>
      <c r="CZ21" s="85"/>
      <c r="DA21" s="85"/>
      <c r="DB21" s="85"/>
      <c r="DC21" s="85"/>
      <c r="DD21" s="85"/>
      <c r="DE21" s="85"/>
      <c r="DF21" s="85"/>
      <c r="DG21" s="85"/>
      <c r="DH21" s="85"/>
      <c r="DI21" s="85"/>
      <c r="DJ21" s="85"/>
      <c r="DK21" s="85"/>
      <c r="DL21" s="86"/>
    </row>
    <row r="22" spans="1:127" ht="137.44999999999999" hidden="1" customHeight="1" x14ac:dyDescent="0.25">
      <c r="A22" s="178"/>
      <c r="B22" s="94"/>
      <c r="C22" s="100"/>
      <c r="D22" s="95">
        <f t="shared" si="22"/>
        <v>0</v>
      </c>
      <c r="E22" s="98"/>
      <c r="F22" s="96"/>
      <c r="G22" s="97" t="str">
        <f t="shared" si="8"/>
        <v/>
      </c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5"/>
      <c r="Y22" s="83"/>
      <c r="Z22" s="83"/>
      <c r="AA22" s="83"/>
      <c r="AB22" s="83"/>
      <c r="AC22" s="83"/>
      <c r="AD22" s="83"/>
      <c r="AE22" s="83"/>
      <c r="AF22" s="83"/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  <c r="BQ22" s="84"/>
      <c r="BR22" s="84"/>
      <c r="BS22" s="84"/>
      <c r="BT22" s="84"/>
      <c r="BU22" s="84"/>
      <c r="BV22" s="84"/>
      <c r="BW22" s="84"/>
      <c r="BX22" s="84"/>
      <c r="BY22" s="84"/>
      <c r="BZ22" s="179"/>
      <c r="CA22" s="116"/>
      <c r="CB22" s="84"/>
      <c r="CC22" s="84"/>
      <c r="CD22" s="84"/>
      <c r="CE22" s="84"/>
      <c r="CF22" s="84"/>
      <c r="CG22" s="84"/>
      <c r="CH22" s="84"/>
      <c r="CI22" s="84"/>
      <c r="CJ22" s="84"/>
      <c r="CK22" s="84"/>
      <c r="CL22" s="84"/>
      <c r="CM22" s="84"/>
      <c r="CN22" s="84"/>
      <c r="CO22" s="84"/>
      <c r="CP22" s="84"/>
      <c r="CQ22" s="85"/>
      <c r="CR22" s="85"/>
      <c r="CS22" s="85"/>
      <c r="CT22" s="85"/>
      <c r="CU22" s="85"/>
      <c r="CV22" s="85"/>
      <c r="CW22" s="85"/>
      <c r="CX22" s="85"/>
      <c r="CY22" s="85"/>
      <c r="CZ22" s="85"/>
      <c r="DA22" s="85"/>
      <c r="DB22" s="85"/>
      <c r="DC22" s="85"/>
      <c r="DD22" s="85"/>
      <c r="DE22" s="85"/>
      <c r="DF22" s="85"/>
      <c r="DG22" s="85"/>
      <c r="DH22" s="85"/>
      <c r="DI22" s="85"/>
      <c r="DJ22" s="85"/>
      <c r="DK22" s="85"/>
      <c r="DL22" s="86"/>
    </row>
    <row r="23" spans="1:127" ht="137.44999999999999" hidden="1" customHeight="1" x14ac:dyDescent="0.25">
      <c r="A23" s="178"/>
      <c r="B23" s="94"/>
      <c r="C23" s="100"/>
      <c r="D23" s="95">
        <f t="shared" si="22"/>
        <v>0</v>
      </c>
      <c r="E23" s="98"/>
      <c r="F23" s="96"/>
      <c r="G23" s="97" t="str">
        <f t="shared" si="8"/>
        <v/>
      </c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5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4"/>
      <c r="AS23" s="84"/>
      <c r="AT23" s="84"/>
      <c r="AU23" s="84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  <c r="BP23" s="84"/>
      <c r="BQ23" s="84"/>
      <c r="BR23" s="84"/>
      <c r="BS23" s="84"/>
      <c r="BT23" s="84"/>
      <c r="BU23" s="84"/>
      <c r="BV23" s="84"/>
      <c r="BW23" s="84"/>
      <c r="BX23" s="84"/>
      <c r="BY23" s="84"/>
      <c r="BZ23" s="179"/>
      <c r="CA23" s="116"/>
      <c r="CB23" s="84"/>
      <c r="CC23" s="84"/>
      <c r="CD23" s="84"/>
      <c r="CE23" s="84"/>
      <c r="CF23" s="84"/>
      <c r="CG23" s="84"/>
      <c r="CH23" s="84"/>
      <c r="CI23" s="84"/>
      <c r="CJ23" s="84"/>
      <c r="CK23" s="84"/>
      <c r="CL23" s="84"/>
      <c r="CM23" s="84"/>
      <c r="CN23" s="84"/>
      <c r="CO23" s="84"/>
      <c r="CP23" s="84"/>
      <c r="CQ23" s="85"/>
      <c r="CR23" s="85"/>
      <c r="CS23" s="85"/>
      <c r="CT23" s="85"/>
      <c r="CU23" s="85"/>
      <c r="CV23" s="85"/>
      <c r="CW23" s="85"/>
      <c r="CX23" s="85"/>
      <c r="CY23" s="85"/>
      <c r="CZ23" s="85"/>
      <c r="DA23" s="85"/>
      <c r="DB23" s="85"/>
      <c r="DC23" s="85"/>
      <c r="DD23" s="85"/>
      <c r="DE23" s="85"/>
      <c r="DF23" s="85"/>
      <c r="DG23" s="85"/>
      <c r="DH23" s="85"/>
      <c r="DI23" s="85"/>
      <c r="DJ23" s="85"/>
      <c r="DK23" s="85"/>
      <c r="DL23" s="86"/>
    </row>
    <row r="24" spans="1:127" ht="137.44999999999999" hidden="1" customHeight="1" x14ac:dyDescent="0.25">
      <c r="A24" s="178"/>
      <c r="B24" s="103"/>
      <c r="C24" s="100"/>
      <c r="D24" s="95">
        <f t="shared" si="22"/>
        <v>0</v>
      </c>
      <c r="E24" s="98"/>
      <c r="F24" s="96"/>
      <c r="G24" s="97" t="str">
        <f t="shared" si="8"/>
        <v/>
      </c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5"/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4"/>
      <c r="AS24" s="84"/>
      <c r="AT24" s="84"/>
      <c r="AU24" s="84"/>
      <c r="AV24" s="84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84"/>
      <c r="BS24" s="84"/>
      <c r="BT24" s="84"/>
      <c r="BU24" s="84"/>
      <c r="BV24" s="84"/>
      <c r="BW24" s="84"/>
      <c r="BX24" s="84"/>
      <c r="BY24" s="84"/>
      <c r="BZ24" s="179"/>
      <c r="CA24" s="116"/>
      <c r="CB24" s="84"/>
      <c r="CC24" s="84"/>
      <c r="CD24" s="84"/>
      <c r="CE24" s="84"/>
      <c r="CF24" s="84"/>
      <c r="CG24" s="84"/>
      <c r="CH24" s="84"/>
      <c r="CI24" s="84"/>
      <c r="CJ24" s="84"/>
      <c r="CK24" s="84"/>
      <c r="CL24" s="84"/>
      <c r="CM24" s="84"/>
      <c r="CN24" s="84"/>
      <c r="CO24" s="84"/>
      <c r="CP24" s="84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  <c r="DF24" s="85"/>
      <c r="DG24" s="85"/>
      <c r="DH24" s="85"/>
      <c r="DI24" s="85"/>
      <c r="DJ24" s="85"/>
      <c r="DK24" s="85"/>
      <c r="DL24" s="86"/>
    </row>
    <row r="25" spans="1:127" ht="137.44999999999999" hidden="1" customHeight="1" x14ac:dyDescent="0.25">
      <c r="A25" s="178"/>
      <c r="B25" s="94"/>
      <c r="C25" s="100"/>
      <c r="D25" s="95">
        <f t="shared" si="22"/>
        <v>0</v>
      </c>
      <c r="E25" s="98"/>
      <c r="F25" s="96"/>
      <c r="G25" s="97" t="str">
        <f t="shared" si="8"/>
        <v/>
      </c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5"/>
      <c r="Y25" s="83"/>
      <c r="Z25" s="83"/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  <c r="BQ25" s="84"/>
      <c r="BR25" s="84"/>
      <c r="BS25" s="84"/>
      <c r="BT25" s="84"/>
      <c r="BU25" s="84"/>
      <c r="BV25" s="84"/>
      <c r="BW25" s="84"/>
      <c r="BX25" s="84"/>
      <c r="BY25" s="84"/>
      <c r="BZ25" s="179"/>
      <c r="CA25" s="116"/>
      <c r="CB25" s="84"/>
      <c r="CC25" s="84"/>
      <c r="CD25" s="84"/>
      <c r="CE25" s="84"/>
      <c r="CF25" s="84"/>
      <c r="CG25" s="84"/>
      <c r="CH25" s="84"/>
      <c r="CI25" s="84"/>
      <c r="CJ25" s="84"/>
      <c r="CK25" s="84"/>
      <c r="CL25" s="84"/>
      <c r="CM25" s="84"/>
      <c r="CN25" s="84"/>
      <c r="CO25" s="84"/>
      <c r="CP25" s="84"/>
      <c r="CQ25" s="85"/>
      <c r="CR25" s="85"/>
      <c r="CS25" s="85"/>
      <c r="CT25" s="85"/>
      <c r="CU25" s="85"/>
      <c r="CV25" s="85"/>
      <c r="CW25" s="85"/>
      <c r="CX25" s="85"/>
      <c r="CY25" s="85"/>
      <c r="CZ25" s="85"/>
      <c r="DA25" s="85"/>
      <c r="DB25" s="85"/>
      <c r="DC25" s="85"/>
      <c r="DD25" s="85"/>
      <c r="DE25" s="85"/>
      <c r="DF25" s="85"/>
      <c r="DG25" s="85"/>
      <c r="DH25" s="85"/>
      <c r="DI25" s="85"/>
      <c r="DJ25" s="85"/>
      <c r="DK25" s="85"/>
      <c r="DL25" s="86"/>
    </row>
    <row r="26" spans="1:127" ht="137.44999999999999" hidden="1" customHeight="1" x14ac:dyDescent="0.25">
      <c r="A26" s="178"/>
      <c r="B26" s="94"/>
      <c r="C26" s="100"/>
      <c r="D26" s="95">
        <f t="shared" si="22"/>
        <v>0</v>
      </c>
      <c r="E26" s="98"/>
      <c r="F26" s="96"/>
      <c r="G26" s="97" t="str">
        <f t="shared" si="8"/>
        <v/>
      </c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5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4"/>
      <c r="AS26" s="84"/>
      <c r="AT26" s="84"/>
      <c r="AU26" s="84"/>
      <c r="AV26" s="84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84"/>
      <c r="BS26" s="84"/>
      <c r="BT26" s="84"/>
      <c r="BU26" s="84"/>
      <c r="BV26" s="84"/>
      <c r="BW26" s="84"/>
      <c r="BX26" s="84"/>
      <c r="BY26" s="84"/>
      <c r="BZ26" s="179"/>
      <c r="CA26" s="116"/>
      <c r="CB26" s="84"/>
      <c r="CC26" s="84"/>
      <c r="CD26" s="84"/>
      <c r="CE26" s="84"/>
      <c r="CF26" s="84"/>
      <c r="CG26" s="84"/>
      <c r="CH26" s="84"/>
      <c r="CI26" s="84"/>
      <c r="CJ26" s="84"/>
      <c r="CK26" s="84"/>
      <c r="CL26" s="84"/>
      <c r="CM26" s="84"/>
      <c r="CN26" s="84"/>
      <c r="CO26" s="84"/>
      <c r="CP26" s="84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  <c r="DF26" s="85"/>
      <c r="DG26" s="85"/>
      <c r="DH26" s="85"/>
      <c r="DI26" s="85"/>
      <c r="DJ26" s="85"/>
      <c r="DK26" s="85"/>
      <c r="DL26" s="86"/>
    </row>
    <row r="27" spans="1:127" ht="137.44999999999999" hidden="1" customHeight="1" x14ac:dyDescent="0.25">
      <c r="A27" s="178"/>
      <c r="B27" s="103"/>
      <c r="C27" s="100"/>
      <c r="D27" s="95">
        <f t="shared" si="22"/>
        <v>0</v>
      </c>
      <c r="E27" s="98"/>
      <c r="F27" s="96"/>
      <c r="G27" s="97" t="str">
        <f t="shared" si="8"/>
        <v/>
      </c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5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4"/>
      <c r="AS27" s="84"/>
      <c r="AT27" s="84"/>
      <c r="AU27" s="84"/>
      <c r="AV27" s="84"/>
      <c r="AW27" s="84"/>
      <c r="AX27" s="84"/>
      <c r="AY27" s="84"/>
      <c r="AZ27" s="84"/>
      <c r="BA27" s="84"/>
      <c r="BB27" s="84"/>
      <c r="BC27" s="84"/>
      <c r="BD27" s="84"/>
      <c r="BE27" s="84"/>
      <c r="BF27" s="84"/>
      <c r="BG27" s="84"/>
      <c r="BH27" s="84"/>
      <c r="BI27" s="84"/>
      <c r="BJ27" s="84"/>
      <c r="BK27" s="84"/>
      <c r="BL27" s="84"/>
      <c r="BM27" s="84"/>
      <c r="BN27" s="84"/>
      <c r="BO27" s="84"/>
      <c r="BP27" s="84"/>
      <c r="BQ27" s="84"/>
      <c r="BR27" s="84"/>
      <c r="BS27" s="84"/>
      <c r="BT27" s="84"/>
      <c r="BU27" s="84"/>
      <c r="BV27" s="84"/>
      <c r="BW27" s="84"/>
      <c r="BX27" s="84"/>
      <c r="BY27" s="84"/>
      <c r="BZ27" s="179"/>
      <c r="CA27" s="116"/>
      <c r="CB27" s="84"/>
      <c r="CC27" s="84"/>
      <c r="CD27" s="84"/>
      <c r="CE27" s="84"/>
      <c r="CF27" s="84"/>
      <c r="CG27" s="84"/>
      <c r="CH27" s="84"/>
      <c r="CI27" s="84"/>
      <c r="CJ27" s="84"/>
      <c r="CK27" s="84"/>
      <c r="CL27" s="84"/>
      <c r="CM27" s="84"/>
      <c r="CN27" s="84"/>
      <c r="CO27" s="84"/>
      <c r="CP27" s="84"/>
      <c r="CQ27" s="85"/>
      <c r="CR27" s="85"/>
      <c r="CS27" s="85"/>
      <c r="CT27" s="85"/>
      <c r="CU27" s="85"/>
      <c r="CV27" s="85"/>
      <c r="CW27" s="85"/>
      <c r="CX27" s="85"/>
      <c r="CY27" s="85"/>
      <c r="CZ27" s="85"/>
      <c r="DA27" s="85"/>
      <c r="DB27" s="85"/>
      <c r="DC27" s="85"/>
      <c r="DD27" s="85"/>
      <c r="DE27" s="85"/>
      <c r="DF27" s="85"/>
      <c r="DG27" s="85"/>
      <c r="DH27" s="85"/>
      <c r="DI27" s="85"/>
      <c r="DJ27" s="85"/>
      <c r="DK27" s="85"/>
      <c r="DL27" s="86"/>
    </row>
    <row r="28" spans="1:127" ht="137.44999999999999" hidden="1" customHeight="1" x14ac:dyDescent="0.25">
      <c r="A28" s="178"/>
      <c r="B28" s="94"/>
      <c r="C28" s="100"/>
      <c r="D28" s="95">
        <f t="shared" si="22"/>
        <v>0</v>
      </c>
      <c r="E28" s="98"/>
      <c r="F28" s="96"/>
      <c r="G28" s="97" t="str">
        <f t="shared" si="8"/>
        <v/>
      </c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5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  <c r="BS28" s="84"/>
      <c r="BT28" s="84"/>
      <c r="BU28" s="84"/>
      <c r="BV28" s="84"/>
      <c r="BW28" s="84"/>
      <c r="BX28" s="84"/>
      <c r="BY28" s="84"/>
      <c r="BZ28" s="179"/>
      <c r="CA28" s="116"/>
      <c r="CB28" s="84"/>
      <c r="CC28" s="84"/>
      <c r="CD28" s="84"/>
      <c r="CE28" s="84"/>
      <c r="CF28" s="84"/>
      <c r="CG28" s="84"/>
      <c r="CH28" s="84"/>
      <c r="CI28" s="84"/>
      <c r="CJ28" s="84"/>
      <c r="CK28" s="84"/>
      <c r="CL28" s="84"/>
      <c r="CM28" s="84"/>
      <c r="CN28" s="84"/>
      <c r="CO28" s="84"/>
      <c r="CP28" s="84"/>
      <c r="CQ28" s="85"/>
      <c r="CR28" s="85"/>
      <c r="CS28" s="85"/>
      <c r="CT28" s="85"/>
      <c r="CU28" s="85"/>
      <c r="CV28" s="85"/>
      <c r="CW28" s="85"/>
      <c r="CX28" s="85"/>
      <c r="CY28" s="85"/>
      <c r="CZ28" s="85"/>
      <c r="DA28" s="85"/>
      <c r="DB28" s="85"/>
      <c r="DC28" s="85"/>
      <c r="DD28" s="85"/>
      <c r="DE28" s="85"/>
      <c r="DF28" s="85"/>
      <c r="DG28" s="85"/>
      <c r="DH28" s="85"/>
      <c r="DI28" s="85"/>
      <c r="DJ28" s="85"/>
      <c r="DK28" s="85"/>
      <c r="DL28" s="86"/>
    </row>
    <row r="29" spans="1:127" ht="137.44999999999999" hidden="1" customHeight="1" x14ac:dyDescent="0.25">
      <c r="A29" s="178"/>
      <c r="B29" s="94"/>
      <c r="C29" s="100"/>
      <c r="D29" s="95">
        <f t="shared" si="22"/>
        <v>0</v>
      </c>
      <c r="E29" s="98"/>
      <c r="F29" s="96"/>
      <c r="G29" s="97" t="str">
        <f t="shared" si="8"/>
        <v/>
      </c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5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4"/>
      <c r="AS29" s="84"/>
      <c r="AT29" s="84"/>
      <c r="AU29" s="84"/>
      <c r="AV29" s="84"/>
      <c r="AW29" s="84"/>
      <c r="AX29" s="84"/>
      <c r="AY29" s="84"/>
      <c r="AZ29" s="84"/>
      <c r="BA29" s="84"/>
      <c r="BB29" s="84"/>
      <c r="BC29" s="84"/>
      <c r="BD29" s="84"/>
      <c r="BE29" s="84"/>
      <c r="BF29" s="84"/>
      <c r="BG29" s="84"/>
      <c r="BH29" s="84"/>
      <c r="BI29" s="84"/>
      <c r="BJ29" s="84"/>
      <c r="BK29" s="84"/>
      <c r="BL29" s="84"/>
      <c r="BM29" s="84"/>
      <c r="BN29" s="84"/>
      <c r="BO29" s="84"/>
      <c r="BP29" s="84"/>
      <c r="BQ29" s="84"/>
      <c r="BR29" s="84"/>
      <c r="BS29" s="84"/>
      <c r="BT29" s="84"/>
      <c r="BU29" s="84"/>
      <c r="BV29" s="84"/>
      <c r="BW29" s="84"/>
      <c r="BX29" s="84"/>
      <c r="BY29" s="84"/>
      <c r="BZ29" s="179"/>
      <c r="CA29" s="116"/>
      <c r="CB29" s="84"/>
      <c r="CC29" s="84"/>
      <c r="CD29" s="84"/>
      <c r="CE29" s="84"/>
      <c r="CF29" s="84"/>
      <c r="CG29" s="84"/>
      <c r="CH29" s="84"/>
      <c r="CI29" s="84"/>
      <c r="CJ29" s="84"/>
      <c r="CK29" s="84"/>
      <c r="CL29" s="84"/>
      <c r="CM29" s="84"/>
      <c r="CN29" s="84"/>
      <c r="CO29" s="84"/>
      <c r="CP29" s="84"/>
      <c r="CQ29" s="85"/>
      <c r="CR29" s="85"/>
      <c r="CS29" s="85"/>
      <c r="CT29" s="85"/>
      <c r="CU29" s="85"/>
      <c r="CV29" s="85"/>
      <c r="CW29" s="85"/>
      <c r="CX29" s="85"/>
      <c r="CY29" s="85"/>
      <c r="CZ29" s="85"/>
      <c r="DA29" s="85"/>
      <c r="DB29" s="85"/>
      <c r="DC29" s="85"/>
      <c r="DD29" s="85"/>
      <c r="DE29" s="85"/>
      <c r="DF29" s="85"/>
      <c r="DG29" s="85"/>
      <c r="DH29" s="85"/>
      <c r="DI29" s="85"/>
      <c r="DJ29" s="85"/>
      <c r="DK29" s="85"/>
      <c r="DL29" s="86"/>
    </row>
    <row r="30" spans="1:127" ht="137.44999999999999" hidden="1" customHeight="1" x14ac:dyDescent="0.25">
      <c r="A30" s="178"/>
      <c r="B30" s="103"/>
      <c r="C30" s="100"/>
      <c r="D30" s="95">
        <f t="shared" si="22"/>
        <v>0</v>
      </c>
      <c r="E30" s="98"/>
      <c r="F30" s="96"/>
      <c r="G30" s="97" t="str">
        <f t="shared" si="8"/>
        <v/>
      </c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5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4"/>
      <c r="AS30" s="84"/>
      <c r="AT30" s="84"/>
      <c r="AU30" s="84"/>
      <c r="AV30" s="84"/>
      <c r="AW30" s="84"/>
      <c r="AX30" s="84"/>
      <c r="AY30" s="84"/>
      <c r="AZ30" s="84"/>
      <c r="BA30" s="84"/>
      <c r="BB30" s="84"/>
      <c r="BC30" s="84"/>
      <c r="BD30" s="84"/>
      <c r="BE30" s="84"/>
      <c r="BF30" s="84"/>
      <c r="BG30" s="84"/>
      <c r="BH30" s="84"/>
      <c r="BI30" s="84"/>
      <c r="BJ30" s="84"/>
      <c r="BK30" s="84"/>
      <c r="BL30" s="84"/>
      <c r="BM30" s="84"/>
      <c r="BN30" s="84"/>
      <c r="BO30" s="84"/>
      <c r="BP30" s="84"/>
      <c r="BQ30" s="84"/>
      <c r="BR30" s="84"/>
      <c r="BS30" s="84"/>
      <c r="BT30" s="84"/>
      <c r="BU30" s="84"/>
      <c r="BV30" s="84"/>
      <c r="BW30" s="84"/>
      <c r="BX30" s="84"/>
      <c r="BY30" s="84"/>
      <c r="BZ30" s="179"/>
      <c r="CA30" s="116"/>
      <c r="CB30" s="84"/>
      <c r="CC30" s="84"/>
      <c r="CD30" s="84"/>
      <c r="CE30" s="84"/>
      <c r="CF30" s="84"/>
      <c r="CG30" s="84"/>
      <c r="CH30" s="84"/>
      <c r="CI30" s="84"/>
      <c r="CJ30" s="84"/>
      <c r="CK30" s="84"/>
      <c r="CL30" s="84"/>
      <c r="CM30" s="84"/>
      <c r="CN30" s="84"/>
      <c r="CO30" s="84"/>
      <c r="CP30" s="84"/>
      <c r="CQ30" s="85"/>
      <c r="CR30" s="85"/>
      <c r="CS30" s="85"/>
      <c r="CT30" s="85"/>
      <c r="CU30" s="85"/>
      <c r="CV30" s="85"/>
      <c r="CW30" s="85"/>
      <c r="CX30" s="85"/>
      <c r="CY30" s="85"/>
      <c r="CZ30" s="85"/>
      <c r="DA30" s="85"/>
      <c r="DB30" s="85"/>
      <c r="DC30" s="85"/>
      <c r="DD30" s="85"/>
      <c r="DE30" s="85"/>
      <c r="DF30" s="85"/>
      <c r="DG30" s="85"/>
      <c r="DH30" s="85"/>
      <c r="DI30" s="85"/>
      <c r="DJ30" s="85"/>
      <c r="DK30" s="85"/>
      <c r="DL30" s="86"/>
    </row>
    <row r="31" spans="1:127" ht="137.44999999999999" hidden="1" customHeight="1" x14ac:dyDescent="0.25">
      <c r="A31" s="180"/>
      <c r="B31" s="94"/>
      <c r="C31" s="100"/>
      <c r="D31" s="95">
        <f t="shared" si="22"/>
        <v>0</v>
      </c>
      <c r="E31" s="98"/>
      <c r="F31" s="96"/>
      <c r="G31" s="97" t="str">
        <f t="shared" si="8"/>
        <v/>
      </c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5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4"/>
      <c r="AS31" s="84"/>
      <c r="AT31" s="84"/>
      <c r="AU31" s="84"/>
      <c r="AV31" s="84"/>
      <c r="AW31" s="84"/>
      <c r="AX31" s="84"/>
      <c r="AY31" s="84"/>
      <c r="AZ31" s="84"/>
      <c r="BA31" s="84"/>
      <c r="BB31" s="84"/>
      <c r="BC31" s="84"/>
      <c r="BD31" s="84"/>
      <c r="BE31" s="84"/>
      <c r="BF31" s="84"/>
      <c r="BG31" s="84"/>
      <c r="BH31" s="84"/>
      <c r="BI31" s="84"/>
      <c r="BJ31" s="84"/>
      <c r="BK31" s="84"/>
      <c r="BL31" s="84"/>
      <c r="BM31" s="84"/>
      <c r="BN31" s="84"/>
      <c r="BO31" s="84"/>
      <c r="BP31" s="84"/>
      <c r="BQ31" s="84"/>
      <c r="BR31" s="84"/>
      <c r="BS31" s="84"/>
      <c r="BT31" s="84"/>
      <c r="BU31" s="84"/>
      <c r="BV31" s="84"/>
      <c r="BW31" s="84"/>
      <c r="BX31" s="84"/>
      <c r="BY31" s="84"/>
      <c r="BZ31" s="179"/>
      <c r="CA31" s="116"/>
      <c r="CB31" s="84"/>
      <c r="CC31" s="84"/>
      <c r="CD31" s="84"/>
      <c r="CE31" s="84"/>
      <c r="CF31" s="84"/>
      <c r="CG31" s="84"/>
      <c r="CH31" s="84"/>
      <c r="CI31" s="84"/>
      <c r="CJ31" s="84"/>
      <c r="CK31" s="84"/>
      <c r="CL31" s="84"/>
      <c r="CM31" s="84"/>
      <c r="CN31" s="84"/>
      <c r="CO31" s="84"/>
      <c r="CP31" s="84"/>
      <c r="CQ31" s="85"/>
      <c r="CR31" s="85"/>
      <c r="CS31" s="85"/>
      <c r="CT31" s="85"/>
      <c r="CU31" s="85"/>
      <c r="CV31" s="85"/>
      <c r="CW31" s="85"/>
      <c r="CX31" s="85"/>
      <c r="CY31" s="85"/>
      <c r="CZ31" s="85"/>
      <c r="DA31" s="85"/>
      <c r="DB31" s="85"/>
      <c r="DC31" s="85"/>
      <c r="DD31" s="85"/>
      <c r="DE31" s="85"/>
      <c r="DF31" s="85"/>
      <c r="DG31" s="85"/>
      <c r="DH31" s="85"/>
      <c r="DI31" s="85"/>
      <c r="DJ31" s="85"/>
      <c r="DK31" s="85"/>
      <c r="DL31" s="86"/>
    </row>
    <row r="32" spans="1:127" ht="137.44999999999999" hidden="1" customHeight="1" x14ac:dyDescent="0.25">
      <c r="A32" s="180"/>
      <c r="B32" s="94"/>
      <c r="C32" s="100"/>
      <c r="D32" s="95">
        <f t="shared" si="22"/>
        <v>0</v>
      </c>
      <c r="E32" s="98"/>
      <c r="F32" s="96"/>
      <c r="G32" s="97" t="str">
        <f t="shared" si="8"/>
        <v/>
      </c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5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4"/>
      <c r="AS32" s="84"/>
      <c r="AT32" s="84"/>
      <c r="AU32" s="84"/>
      <c r="AV32" s="84"/>
      <c r="AW32" s="84"/>
      <c r="AX32" s="84"/>
      <c r="AY32" s="84"/>
      <c r="AZ32" s="84"/>
      <c r="BA32" s="84"/>
      <c r="BB32" s="84"/>
      <c r="BC32" s="84"/>
      <c r="BD32" s="84"/>
      <c r="BE32" s="84"/>
      <c r="BF32" s="84"/>
      <c r="BG32" s="84"/>
      <c r="BH32" s="84"/>
      <c r="BI32" s="84"/>
      <c r="BJ32" s="84"/>
      <c r="BK32" s="84"/>
      <c r="BL32" s="84"/>
      <c r="BM32" s="84"/>
      <c r="BN32" s="84"/>
      <c r="BO32" s="84"/>
      <c r="BP32" s="84"/>
      <c r="BQ32" s="84"/>
      <c r="BR32" s="84"/>
      <c r="BS32" s="84"/>
      <c r="BT32" s="84"/>
      <c r="BU32" s="84"/>
      <c r="BV32" s="84"/>
      <c r="BW32" s="84"/>
      <c r="BX32" s="84"/>
      <c r="BY32" s="84"/>
      <c r="BZ32" s="179"/>
      <c r="CA32" s="116"/>
      <c r="CB32" s="84"/>
      <c r="CC32" s="84"/>
      <c r="CD32" s="84"/>
      <c r="CE32" s="84"/>
      <c r="CF32" s="84"/>
      <c r="CG32" s="84"/>
      <c r="CH32" s="84"/>
      <c r="CI32" s="84"/>
      <c r="CJ32" s="84"/>
      <c r="CK32" s="84"/>
      <c r="CL32" s="84"/>
      <c r="CM32" s="84"/>
      <c r="CN32" s="84"/>
      <c r="CO32" s="84"/>
      <c r="CP32" s="84"/>
      <c r="CQ32" s="85"/>
      <c r="CR32" s="85"/>
      <c r="CS32" s="85"/>
      <c r="CT32" s="85"/>
      <c r="CU32" s="85"/>
      <c r="CV32" s="85"/>
      <c r="CW32" s="85"/>
      <c r="CX32" s="85"/>
      <c r="CY32" s="85"/>
      <c r="CZ32" s="85"/>
      <c r="DA32" s="85"/>
      <c r="DB32" s="85"/>
      <c r="DC32" s="85"/>
      <c r="DD32" s="85"/>
      <c r="DE32" s="85"/>
      <c r="DF32" s="85"/>
      <c r="DG32" s="85"/>
      <c r="DH32" s="85"/>
      <c r="DI32" s="85"/>
      <c r="DJ32" s="85"/>
      <c r="DK32" s="85"/>
      <c r="DL32" s="86"/>
    </row>
    <row r="33" spans="1:116" ht="137.44999999999999" hidden="1" customHeight="1" x14ac:dyDescent="0.25">
      <c r="A33" s="180"/>
      <c r="B33" s="102"/>
      <c r="C33" s="100"/>
      <c r="D33" s="95">
        <f t="shared" si="22"/>
        <v>0</v>
      </c>
      <c r="E33" s="98"/>
      <c r="F33" s="96"/>
      <c r="G33" s="97" t="str">
        <f t="shared" si="8"/>
        <v/>
      </c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5"/>
      <c r="Y33" s="83"/>
      <c r="Z33" s="83"/>
      <c r="AA33" s="83"/>
      <c r="AB33" s="83"/>
      <c r="AC33" s="83"/>
      <c r="AD33" s="83"/>
      <c r="AE33" s="83"/>
      <c r="AF33" s="83"/>
      <c r="AG33" s="83"/>
      <c r="AH33" s="83"/>
      <c r="AI33" s="83"/>
      <c r="AJ33" s="83"/>
      <c r="AK33" s="83"/>
      <c r="AL33" s="83"/>
      <c r="AM33" s="83"/>
      <c r="AN33" s="83"/>
      <c r="AO33" s="83"/>
      <c r="AP33" s="83"/>
      <c r="AQ33" s="83"/>
      <c r="AR33" s="84"/>
      <c r="AS33" s="84"/>
      <c r="AT33" s="84"/>
      <c r="AU33" s="84"/>
      <c r="AV33" s="84"/>
      <c r="AW33" s="84"/>
      <c r="AX33" s="84"/>
      <c r="AY33" s="84"/>
      <c r="AZ33" s="84"/>
      <c r="BA33" s="84"/>
      <c r="BB33" s="84"/>
      <c r="BC33" s="84"/>
      <c r="BD33" s="84"/>
      <c r="BE33" s="84"/>
      <c r="BF33" s="84"/>
      <c r="BG33" s="84"/>
      <c r="BH33" s="84"/>
      <c r="BI33" s="84"/>
      <c r="BJ33" s="84"/>
      <c r="BK33" s="84"/>
      <c r="BL33" s="84"/>
      <c r="BM33" s="84"/>
      <c r="BN33" s="84"/>
      <c r="BO33" s="84"/>
      <c r="BP33" s="84"/>
      <c r="BQ33" s="84"/>
      <c r="BR33" s="84"/>
      <c r="BS33" s="84"/>
      <c r="BT33" s="84"/>
      <c r="BU33" s="84"/>
      <c r="BV33" s="84"/>
      <c r="BW33" s="84"/>
      <c r="BX33" s="84"/>
      <c r="BY33" s="84"/>
      <c r="BZ33" s="179"/>
      <c r="CA33" s="116"/>
      <c r="CB33" s="84"/>
      <c r="CC33" s="84"/>
      <c r="CD33" s="84"/>
      <c r="CE33" s="84"/>
      <c r="CF33" s="84"/>
      <c r="CG33" s="84"/>
      <c r="CH33" s="84"/>
      <c r="CI33" s="84"/>
      <c r="CJ33" s="84"/>
      <c r="CK33" s="84"/>
      <c r="CL33" s="84"/>
      <c r="CM33" s="84"/>
      <c r="CN33" s="84"/>
      <c r="CO33" s="84"/>
      <c r="CP33" s="84"/>
      <c r="CQ33" s="85"/>
      <c r="CR33" s="85"/>
      <c r="CS33" s="85"/>
      <c r="CT33" s="85"/>
      <c r="CU33" s="85"/>
      <c r="CV33" s="85"/>
      <c r="CW33" s="85"/>
      <c r="CX33" s="85"/>
      <c r="CY33" s="85"/>
      <c r="CZ33" s="85"/>
      <c r="DA33" s="85"/>
      <c r="DB33" s="85"/>
      <c r="DC33" s="85"/>
      <c r="DD33" s="85"/>
      <c r="DE33" s="85"/>
      <c r="DF33" s="85"/>
      <c r="DG33" s="85"/>
      <c r="DH33" s="85"/>
      <c r="DI33" s="85"/>
      <c r="DJ33" s="85"/>
      <c r="DK33" s="85"/>
      <c r="DL33" s="86"/>
    </row>
    <row r="34" spans="1:116" ht="137.44999999999999" hidden="1" customHeight="1" x14ac:dyDescent="0.25">
      <c r="A34" s="180"/>
      <c r="B34" s="102"/>
      <c r="C34" s="100"/>
      <c r="D34" s="95">
        <f t="shared" si="22"/>
        <v>0</v>
      </c>
      <c r="E34" s="98"/>
      <c r="F34" s="96"/>
      <c r="G34" s="97" t="str">
        <f t="shared" si="8"/>
        <v/>
      </c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5"/>
      <c r="Y34" s="83"/>
      <c r="Z34" s="83"/>
      <c r="AA34" s="83"/>
      <c r="AB34" s="83"/>
      <c r="AC34" s="83"/>
      <c r="AD34" s="83"/>
      <c r="AE34" s="83"/>
      <c r="AF34" s="83"/>
      <c r="AG34" s="83"/>
      <c r="AH34" s="83"/>
      <c r="AI34" s="83"/>
      <c r="AJ34" s="83"/>
      <c r="AK34" s="83"/>
      <c r="AL34" s="83"/>
      <c r="AM34" s="83"/>
      <c r="AN34" s="83"/>
      <c r="AO34" s="83"/>
      <c r="AP34" s="83"/>
      <c r="AQ34" s="83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84"/>
      <c r="BS34" s="84"/>
      <c r="BT34" s="84"/>
      <c r="BU34" s="84"/>
      <c r="BV34" s="84"/>
      <c r="BW34" s="84"/>
      <c r="BX34" s="84"/>
      <c r="BY34" s="84"/>
      <c r="BZ34" s="179"/>
      <c r="CA34" s="116"/>
      <c r="CB34" s="84"/>
      <c r="CC34" s="84"/>
      <c r="CD34" s="84"/>
      <c r="CE34" s="84"/>
      <c r="CF34" s="84"/>
      <c r="CG34" s="84"/>
      <c r="CH34" s="84"/>
      <c r="CI34" s="84"/>
      <c r="CJ34" s="84"/>
      <c r="CK34" s="84"/>
      <c r="CL34" s="84"/>
      <c r="CM34" s="84"/>
      <c r="CN34" s="84"/>
      <c r="CO34" s="84"/>
      <c r="CP34" s="84"/>
      <c r="CQ34" s="85"/>
      <c r="CR34" s="85"/>
      <c r="CS34" s="85"/>
      <c r="CT34" s="85"/>
      <c r="CU34" s="85"/>
      <c r="CV34" s="85"/>
      <c r="CW34" s="85"/>
      <c r="CX34" s="85"/>
      <c r="CY34" s="85"/>
      <c r="CZ34" s="85"/>
      <c r="DA34" s="85"/>
      <c r="DB34" s="85"/>
      <c r="DC34" s="85"/>
      <c r="DD34" s="85"/>
      <c r="DE34" s="85"/>
      <c r="DF34" s="85"/>
      <c r="DG34" s="85"/>
      <c r="DH34" s="85"/>
      <c r="DI34" s="85"/>
      <c r="DJ34" s="85"/>
      <c r="DK34" s="85"/>
      <c r="DL34" s="86"/>
    </row>
    <row r="35" spans="1:116" ht="137.44999999999999" hidden="1" customHeight="1" x14ac:dyDescent="0.25">
      <c r="A35" s="180"/>
      <c r="B35" s="102"/>
      <c r="C35" s="100"/>
      <c r="D35" s="95">
        <f t="shared" si="22"/>
        <v>0</v>
      </c>
      <c r="E35" s="98"/>
      <c r="F35" s="96"/>
      <c r="G35" s="97" t="str">
        <f t="shared" si="8"/>
        <v/>
      </c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5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4"/>
      <c r="AS35" s="84"/>
      <c r="AT35" s="84"/>
      <c r="AU35" s="84"/>
      <c r="AV35" s="84"/>
      <c r="AW35" s="84"/>
      <c r="AX35" s="84"/>
      <c r="AY35" s="84"/>
      <c r="AZ35" s="84"/>
      <c r="BA35" s="84"/>
      <c r="BB35" s="84"/>
      <c r="BC35" s="84"/>
      <c r="BD35" s="84"/>
      <c r="BE35" s="84"/>
      <c r="BF35" s="84"/>
      <c r="BG35" s="84"/>
      <c r="BH35" s="84"/>
      <c r="BI35" s="84"/>
      <c r="BJ35" s="84"/>
      <c r="BK35" s="84"/>
      <c r="BL35" s="84"/>
      <c r="BM35" s="84"/>
      <c r="BN35" s="84"/>
      <c r="BO35" s="84"/>
      <c r="BP35" s="84"/>
      <c r="BQ35" s="84"/>
      <c r="BR35" s="84"/>
      <c r="BS35" s="84"/>
      <c r="BT35" s="84"/>
      <c r="BU35" s="84"/>
      <c r="BV35" s="84"/>
      <c r="BW35" s="84"/>
      <c r="BX35" s="84"/>
      <c r="BY35" s="84"/>
      <c r="BZ35" s="179"/>
      <c r="CA35" s="116"/>
      <c r="CB35" s="84"/>
      <c r="CC35" s="84"/>
      <c r="CD35" s="84"/>
      <c r="CE35" s="84"/>
      <c r="CF35" s="84"/>
      <c r="CG35" s="84"/>
      <c r="CH35" s="84"/>
      <c r="CI35" s="84"/>
      <c r="CJ35" s="84"/>
      <c r="CK35" s="84"/>
      <c r="CL35" s="84"/>
      <c r="CM35" s="84"/>
      <c r="CN35" s="84"/>
      <c r="CO35" s="84"/>
      <c r="CP35" s="84"/>
      <c r="CQ35" s="85"/>
      <c r="CR35" s="85"/>
      <c r="CS35" s="85"/>
      <c r="CT35" s="85"/>
      <c r="CU35" s="85"/>
      <c r="CV35" s="85"/>
      <c r="CW35" s="85"/>
      <c r="CX35" s="85"/>
      <c r="CY35" s="85"/>
      <c r="CZ35" s="85"/>
      <c r="DA35" s="85"/>
      <c r="DB35" s="85"/>
      <c r="DC35" s="85"/>
      <c r="DD35" s="85"/>
      <c r="DE35" s="85"/>
      <c r="DF35" s="85"/>
      <c r="DG35" s="85"/>
      <c r="DH35" s="85"/>
      <c r="DI35" s="85"/>
      <c r="DJ35" s="85"/>
      <c r="DK35" s="85"/>
      <c r="DL35" s="86"/>
    </row>
    <row r="36" spans="1:116" ht="137.44999999999999" hidden="1" customHeight="1" x14ac:dyDescent="0.25">
      <c r="A36" s="180"/>
      <c r="B36" s="102"/>
      <c r="C36" s="100"/>
      <c r="D36" s="95">
        <f t="shared" si="22"/>
        <v>0</v>
      </c>
      <c r="E36" s="98"/>
      <c r="F36" s="96"/>
      <c r="G36" s="97" t="str">
        <f t="shared" si="8"/>
        <v/>
      </c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5"/>
      <c r="Y36" s="83"/>
      <c r="Z36" s="83"/>
      <c r="AA36" s="83"/>
      <c r="AB36" s="83"/>
      <c r="AC36" s="83"/>
      <c r="AD36" s="83"/>
      <c r="AE36" s="83"/>
      <c r="AF36" s="83"/>
      <c r="AG36" s="83"/>
      <c r="AH36" s="83"/>
      <c r="AI36" s="83"/>
      <c r="AJ36" s="83"/>
      <c r="AK36" s="83"/>
      <c r="AL36" s="83"/>
      <c r="AM36" s="83"/>
      <c r="AN36" s="83"/>
      <c r="AO36" s="83"/>
      <c r="AP36" s="83"/>
      <c r="AQ36" s="83"/>
      <c r="AR36" s="84"/>
      <c r="AS36" s="84"/>
      <c r="AT36" s="84"/>
      <c r="AU36" s="84"/>
      <c r="AV36" s="84"/>
      <c r="AW36" s="84"/>
      <c r="AX36" s="84"/>
      <c r="AY36" s="84"/>
      <c r="AZ36" s="84"/>
      <c r="BA36" s="84"/>
      <c r="BB36" s="84"/>
      <c r="BC36" s="84"/>
      <c r="BD36" s="84"/>
      <c r="BE36" s="84"/>
      <c r="BF36" s="84"/>
      <c r="BG36" s="84"/>
      <c r="BH36" s="84"/>
      <c r="BI36" s="84"/>
      <c r="BJ36" s="84"/>
      <c r="BK36" s="84"/>
      <c r="BL36" s="84"/>
      <c r="BM36" s="84"/>
      <c r="BN36" s="84"/>
      <c r="BO36" s="84"/>
      <c r="BP36" s="84"/>
      <c r="BQ36" s="84"/>
      <c r="BR36" s="84"/>
      <c r="BS36" s="84"/>
      <c r="BT36" s="84"/>
      <c r="BU36" s="84"/>
      <c r="BV36" s="84"/>
      <c r="BW36" s="84"/>
      <c r="BX36" s="84"/>
      <c r="BY36" s="84"/>
      <c r="BZ36" s="179"/>
      <c r="CA36" s="116"/>
      <c r="CB36" s="84"/>
      <c r="CC36" s="84"/>
      <c r="CD36" s="84"/>
      <c r="CE36" s="84"/>
      <c r="CF36" s="84"/>
      <c r="CG36" s="84"/>
      <c r="CH36" s="84"/>
      <c r="CI36" s="84"/>
      <c r="CJ36" s="84"/>
      <c r="CK36" s="84"/>
      <c r="CL36" s="84"/>
      <c r="CM36" s="84"/>
      <c r="CN36" s="84"/>
      <c r="CO36" s="84"/>
      <c r="CP36" s="84"/>
      <c r="CQ36" s="85"/>
      <c r="CR36" s="85"/>
      <c r="CS36" s="85"/>
      <c r="CT36" s="85"/>
      <c r="CU36" s="85"/>
      <c r="CV36" s="85"/>
      <c r="CW36" s="85"/>
      <c r="CX36" s="85"/>
      <c r="CY36" s="85"/>
      <c r="CZ36" s="85"/>
      <c r="DA36" s="85"/>
      <c r="DB36" s="85"/>
      <c r="DC36" s="85"/>
      <c r="DD36" s="85"/>
      <c r="DE36" s="85"/>
      <c r="DF36" s="85"/>
      <c r="DG36" s="85"/>
      <c r="DH36" s="85"/>
      <c r="DI36" s="85"/>
      <c r="DJ36" s="85"/>
      <c r="DK36" s="85"/>
      <c r="DL36" s="86"/>
    </row>
    <row r="37" spans="1:116" ht="137.44999999999999" hidden="1" customHeight="1" x14ac:dyDescent="0.25">
      <c r="A37" s="180"/>
      <c r="B37" s="102"/>
      <c r="C37" s="100"/>
      <c r="D37" s="95">
        <f t="shared" si="22"/>
        <v>0</v>
      </c>
      <c r="E37" s="98"/>
      <c r="F37" s="96"/>
      <c r="G37" s="97" t="str">
        <f t="shared" si="8"/>
        <v/>
      </c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5"/>
      <c r="Y37" s="83"/>
      <c r="Z37" s="83"/>
      <c r="AA37" s="83"/>
      <c r="AB37" s="83"/>
      <c r="AC37" s="83"/>
      <c r="AD37" s="83"/>
      <c r="AE37" s="83"/>
      <c r="AF37" s="83"/>
      <c r="AG37" s="83"/>
      <c r="AH37" s="83"/>
      <c r="AI37" s="83"/>
      <c r="AJ37" s="83"/>
      <c r="AK37" s="83"/>
      <c r="AL37" s="83"/>
      <c r="AM37" s="83"/>
      <c r="AN37" s="83"/>
      <c r="AO37" s="83"/>
      <c r="AP37" s="83"/>
      <c r="AQ37" s="83"/>
      <c r="AR37" s="84"/>
      <c r="AS37" s="84"/>
      <c r="AT37" s="84"/>
      <c r="AU37" s="84"/>
      <c r="AV37" s="84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  <c r="BH37" s="84"/>
      <c r="BI37" s="84"/>
      <c r="BJ37" s="84"/>
      <c r="BK37" s="84"/>
      <c r="BL37" s="84"/>
      <c r="BM37" s="84"/>
      <c r="BN37" s="84"/>
      <c r="BO37" s="84"/>
      <c r="BP37" s="84"/>
      <c r="BQ37" s="84"/>
      <c r="BR37" s="84"/>
      <c r="BS37" s="84"/>
      <c r="BT37" s="84"/>
      <c r="BU37" s="84"/>
      <c r="BV37" s="84"/>
      <c r="BW37" s="84"/>
      <c r="BX37" s="84"/>
      <c r="BY37" s="84"/>
      <c r="BZ37" s="179"/>
      <c r="CA37" s="116"/>
      <c r="CB37" s="84"/>
      <c r="CC37" s="84"/>
      <c r="CD37" s="84"/>
      <c r="CE37" s="84"/>
      <c r="CF37" s="84"/>
      <c r="CG37" s="84"/>
      <c r="CH37" s="84"/>
      <c r="CI37" s="84"/>
      <c r="CJ37" s="84"/>
      <c r="CK37" s="84"/>
      <c r="CL37" s="84"/>
      <c r="CM37" s="84"/>
      <c r="CN37" s="84"/>
      <c r="CO37" s="84"/>
      <c r="CP37" s="84"/>
      <c r="CQ37" s="85"/>
      <c r="CR37" s="85"/>
      <c r="CS37" s="85"/>
      <c r="CT37" s="85"/>
      <c r="CU37" s="85"/>
      <c r="CV37" s="85"/>
      <c r="CW37" s="85"/>
      <c r="CX37" s="85"/>
      <c r="CY37" s="85"/>
      <c r="CZ37" s="85"/>
      <c r="DA37" s="85"/>
      <c r="DB37" s="85"/>
      <c r="DC37" s="85"/>
      <c r="DD37" s="85"/>
      <c r="DE37" s="85"/>
      <c r="DF37" s="85"/>
      <c r="DG37" s="85"/>
      <c r="DH37" s="85"/>
      <c r="DI37" s="85"/>
      <c r="DJ37" s="85"/>
      <c r="DK37" s="85"/>
      <c r="DL37" s="86"/>
    </row>
    <row r="38" spans="1:116" ht="137.44999999999999" hidden="1" customHeight="1" x14ac:dyDescent="0.25">
      <c r="A38" s="180"/>
      <c r="B38" s="102"/>
      <c r="C38" s="100"/>
      <c r="D38" s="95">
        <f t="shared" si="22"/>
        <v>0</v>
      </c>
      <c r="E38" s="98"/>
      <c r="F38" s="96"/>
      <c r="G38" s="97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5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4"/>
      <c r="AS38" s="84"/>
      <c r="AT38" s="84"/>
      <c r="AU38" s="84"/>
      <c r="AV38" s="84"/>
      <c r="AW38" s="84"/>
      <c r="AX38" s="84"/>
      <c r="AY38" s="84"/>
      <c r="AZ38" s="84"/>
      <c r="BA38" s="84"/>
      <c r="BB38" s="84"/>
      <c r="BC38" s="84"/>
      <c r="BD38" s="84"/>
      <c r="BE38" s="84"/>
      <c r="BF38" s="84"/>
      <c r="BG38" s="84"/>
      <c r="BH38" s="84"/>
      <c r="BI38" s="84"/>
      <c r="BJ38" s="84"/>
      <c r="BK38" s="84"/>
      <c r="BL38" s="84"/>
      <c r="BM38" s="84"/>
      <c r="BN38" s="84"/>
      <c r="BO38" s="84"/>
      <c r="BP38" s="84"/>
      <c r="BQ38" s="84"/>
      <c r="BR38" s="84"/>
      <c r="BS38" s="84"/>
      <c r="BT38" s="84"/>
      <c r="BU38" s="84"/>
      <c r="BV38" s="84"/>
      <c r="BW38" s="84"/>
      <c r="BX38" s="84"/>
      <c r="BY38" s="84"/>
      <c r="BZ38" s="179"/>
      <c r="CA38" s="116"/>
      <c r="CB38" s="84"/>
      <c r="CC38" s="84"/>
      <c r="CD38" s="84"/>
      <c r="CE38" s="84"/>
      <c r="CF38" s="84"/>
      <c r="CG38" s="84"/>
      <c r="CH38" s="84"/>
      <c r="CI38" s="84"/>
      <c r="CJ38" s="84"/>
      <c r="CK38" s="84"/>
      <c r="CL38" s="84"/>
      <c r="CM38" s="84"/>
      <c r="CN38" s="84"/>
      <c r="CO38" s="84"/>
      <c r="CP38" s="84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5"/>
      <c r="DC38" s="85"/>
      <c r="DD38" s="85"/>
      <c r="DE38" s="85"/>
      <c r="DF38" s="85"/>
      <c r="DG38" s="85"/>
      <c r="DH38" s="85"/>
      <c r="DI38" s="85"/>
      <c r="DJ38" s="85"/>
      <c r="DK38" s="85"/>
      <c r="DL38" s="86"/>
    </row>
    <row r="39" spans="1:116" ht="137.44999999999999" hidden="1" customHeight="1" x14ac:dyDescent="0.25">
      <c r="A39" s="180"/>
      <c r="B39" s="94"/>
      <c r="C39" s="100"/>
      <c r="D39" s="95">
        <f t="shared" si="22"/>
        <v>0</v>
      </c>
      <c r="E39" s="98"/>
      <c r="F39" s="96"/>
      <c r="G39" s="97" t="str">
        <f t="shared" si="8"/>
        <v/>
      </c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5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4"/>
      <c r="AS39" s="84"/>
      <c r="AT39" s="84"/>
      <c r="AU39" s="84"/>
      <c r="AV39" s="84"/>
      <c r="AW39" s="84"/>
      <c r="AX39" s="84"/>
      <c r="AY39" s="84"/>
      <c r="AZ39" s="84"/>
      <c r="BA39" s="84"/>
      <c r="BB39" s="84"/>
      <c r="BC39" s="84"/>
      <c r="BD39" s="84"/>
      <c r="BE39" s="84"/>
      <c r="BF39" s="84"/>
      <c r="BG39" s="84"/>
      <c r="BH39" s="84"/>
      <c r="BI39" s="84"/>
      <c r="BJ39" s="84"/>
      <c r="BK39" s="84"/>
      <c r="BL39" s="84"/>
      <c r="BM39" s="84"/>
      <c r="BN39" s="84"/>
      <c r="BO39" s="84"/>
      <c r="BP39" s="84"/>
      <c r="BQ39" s="84"/>
      <c r="BR39" s="84"/>
      <c r="BS39" s="84"/>
      <c r="BT39" s="84"/>
      <c r="BU39" s="84"/>
      <c r="BV39" s="84"/>
      <c r="BW39" s="84"/>
      <c r="BX39" s="84"/>
      <c r="BY39" s="84"/>
      <c r="BZ39" s="179"/>
      <c r="CA39" s="116"/>
      <c r="CB39" s="84"/>
      <c r="CC39" s="84"/>
      <c r="CD39" s="84"/>
      <c r="CE39" s="84"/>
      <c r="CF39" s="84"/>
      <c r="CG39" s="84"/>
      <c r="CH39" s="84"/>
      <c r="CI39" s="84"/>
      <c r="CJ39" s="84"/>
      <c r="CK39" s="84"/>
      <c r="CL39" s="84"/>
      <c r="CM39" s="84"/>
      <c r="CN39" s="84"/>
      <c r="CO39" s="84"/>
      <c r="CP39" s="84"/>
      <c r="CQ39" s="85"/>
      <c r="CR39" s="85"/>
      <c r="CS39" s="85"/>
      <c r="CT39" s="85"/>
      <c r="CU39" s="85"/>
      <c r="CV39" s="85"/>
      <c r="CW39" s="85"/>
      <c r="CX39" s="85"/>
      <c r="CY39" s="85"/>
      <c r="CZ39" s="85"/>
      <c r="DA39" s="85"/>
      <c r="DB39" s="85"/>
      <c r="DC39" s="85"/>
      <c r="DD39" s="85"/>
      <c r="DE39" s="85"/>
      <c r="DF39" s="85"/>
      <c r="DG39" s="85"/>
      <c r="DH39" s="85"/>
      <c r="DI39" s="85"/>
      <c r="DJ39" s="85"/>
      <c r="DK39" s="85"/>
      <c r="DL39" s="86"/>
    </row>
    <row r="40" spans="1:116" ht="137.44999999999999" hidden="1" customHeight="1" x14ac:dyDescent="0.25">
      <c r="A40" s="180"/>
      <c r="B40" s="102"/>
      <c r="C40" s="100"/>
      <c r="D40" s="95">
        <f t="shared" si="22"/>
        <v>0</v>
      </c>
      <c r="E40" s="98"/>
      <c r="F40" s="96"/>
      <c r="G40" s="97" t="str">
        <f t="shared" si="8"/>
        <v/>
      </c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5"/>
      <c r="Y40" s="83"/>
      <c r="Z40" s="83"/>
      <c r="AA40" s="83"/>
      <c r="AB40" s="83"/>
      <c r="AC40" s="83"/>
      <c r="AD40" s="83"/>
      <c r="AE40" s="83"/>
      <c r="AF40" s="83"/>
      <c r="AG40" s="83"/>
      <c r="AH40" s="83"/>
      <c r="AI40" s="83"/>
      <c r="AJ40" s="83"/>
      <c r="AK40" s="83"/>
      <c r="AL40" s="83"/>
      <c r="AM40" s="83"/>
      <c r="AN40" s="83"/>
      <c r="AO40" s="83"/>
      <c r="AP40" s="83"/>
      <c r="AQ40" s="83"/>
      <c r="AR40" s="84"/>
      <c r="AS40" s="84"/>
      <c r="AT40" s="84"/>
      <c r="AU40" s="84"/>
      <c r="AV40" s="84"/>
      <c r="AW40" s="84"/>
      <c r="AX40" s="84"/>
      <c r="AY40" s="84"/>
      <c r="AZ40" s="84"/>
      <c r="BA40" s="84"/>
      <c r="BB40" s="84"/>
      <c r="BC40" s="84"/>
      <c r="BD40" s="84"/>
      <c r="BE40" s="84"/>
      <c r="BF40" s="84"/>
      <c r="BG40" s="84"/>
      <c r="BH40" s="84"/>
      <c r="BI40" s="84"/>
      <c r="BJ40" s="84"/>
      <c r="BK40" s="84"/>
      <c r="BL40" s="84"/>
      <c r="BM40" s="84"/>
      <c r="BN40" s="84"/>
      <c r="BO40" s="84"/>
      <c r="BP40" s="84"/>
      <c r="BQ40" s="84"/>
      <c r="BR40" s="84"/>
      <c r="BS40" s="84"/>
      <c r="BT40" s="84"/>
      <c r="BU40" s="84"/>
      <c r="BV40" s="84"/>
      <c r="BW40" s="84"/>
      <c r="BX40" s="84"/>
      <c r="BY40" s="84"/>
      <c r="BZ40" s="179"/>
      <c r="CA40" s="116"/>
      <c r="CB40" s="84"/>
      <c r="CC40" s="84"/>
      <c r="CD40" s="84"/>
      <c r="CE40" s="84"/>
      <c r="CF40" s="84"/>
      <c r="CG40" s="84"/>
      <c r="CH40" s="84"/>
      <c r="CI40" s="84"/>
      <c r="CJ40" s="84"/>
      <c r="CK40" s="84"/>
      <c r="CL40" s="84"/>
      <c r="CM40" s="84"/>
      <c r="CN40" s="84"/>
      <c r="CO40" s="84"/>
      <c r="CP40" s="84"/>
      <c r="CQ40" s="85"/>
      <c r="CR40" s="85"/>
      <c r="CS40" s="85"/>
      <c r="CT40" s="85"/>
      <c r="CU40" s="85"/>
      <c r="CV40" s="85"/>
      <c r="CW40" s="85"/>
      <c r="CX40" s="85"/>
      <c r="CY40" s="85"/>
      <c r="CZ40" s="85"/>
      <c r="DA40" s="85"/>
      <c r="DB40" s="85"/>
      <c r="DC40" s="85"/>
      <c r="DD40" s="85"/>
      <c r="DE40" s="85"/>
      <c r="DF40" s="85"/>
      <c r="DG40" s="85"/>
      <c r="DH40" s="85"/>
      <c r="DI40" s="85"/>
      <c r="DJ40" s="85"/>
      <c r="DK40" s="85"/>
      <c r="DL40" s="86"/>
    </row>
    <row r="41" spans="1:116" ht="137.44999999999999" hidden="1" customHeight="1" x14ac:dyDescent="0.25">
      <c r="A41" s="180"/>
      <c r="B41" s="94"/>
      <c r="C41" s="100"/>
      <c r="D41" s="95">
        <f t="shared" si="22"/>
        <v>0</v>
      </c>
      <c r="E41" s="98"/>
      <c r="F41" s="96"/>
      <c r="G41" s="97" t="str">
        <f t="shared" si="8"/>
        <v/>
      </c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5"/>
      <c r="Y41" s="83"/>
      <c r="Z41" s="83"/>
      <c r="AA41" s="83"/>
      <c r="AB41" s="83"/>
      <c r="AC41" s="83"/>
      <c r="AD41" s="83"/>
      <c r="AE41" s="83"/>
      <c r="AF41" s="83"/>
      <c r="AG41" s="83"/>
      <c r="AH41" s="83"/>
      <c r="AI41" s="83"/>
      <c r="AJ41" s="83"/>
      <c r="AK41" s="83"/>
      <c r="AL41" s="83"/>
      <c r="AM41" s="83"/>
      <c r="AN41" s="83"/>
      <c r="AO41" s="83"/>
      <c r="AP41" s="83"/>
      <c r="AQ41" s="83"/>
      <c r="AR41" s="84"/>
      <c r="AS41" s="84"/>
      <c r="AT41" s="84"/>
      <c r="AU41" s="84"/>
      <c r="AV41" s="84"/>
      <c r="AW41" s="84"/>
      <c r="AX41" s="84"/>
      <c r="AY41" s="84"/>
      <c r="AZ41" s="84"/>
      <c r="BA41" s="84"/>
      <c r="BB41" s="84"/>
      <c r="BC41" s="84"/>
      <c r="BD41" s="84"/>
      <c r="BE41" s="84"/>
      <c r="BF41" s="84"/>
      <c r="BG41" s="84"/>
      <c r="BH41" s="84"/>
      <c r="BI41" s="84"/>
      <c r="BJ41" s="84"/>
      <c r="BK41" s="84"/>
      <c r="BL41" s="84"/>
      <c r="BM41" s="84"/>
      <c r="BN41" s="84"/>
      <c r="BO41" s="84"/>
      <c r="BP41" s="84"/>
      <c r="BQ41" s="84"/>
      <c r="BR41" s="84"/>
      <c r="BS41" s="84"/>
      <c r="BT41" s="84"/>
      <c r="BU41" s="84"/>
      <c r="BV41" s="84"/>
      <c r="BW41" s="84"/>
      <c r="BX41" s="84"/>
      <c r="BY41" s="84"/>
      <c r="BZ41" s="179"/>
      <c r="CA41" s="116"/>
      <c r="CB41" s="84"/>
      <c r="CC41" s="84"/>
      <c r="CD41" s="84"/>
      <c r="CE41" s="84"/>
      <c r="CF41" s="84"/>
      <c r="CG41" s="84"/>
      <c r="CH41" s="84"/>
      <c r="CI41" s="84"/>
      <c r="CJ41" s="84"/>
      <c r="CK41" s="84"/>
      <c r="CL41" s="84"/>
      <c r="CM41" s="84"/>
      <c r="CN41" s="84"/>
      <c r="CO41" s="84"/>
      <c r="CP41" s="84"/>
      <c r="CQ41" s="85"/>
      <c r="CR41" s="85"/>
      <c r="CS41" s="85"/>
      <c r="CT41" s="85"/>
      <c r="CU41" s="85"/>
      <c r="CV41" s="85"/>
      <c r="CW41" s="85"/>
      <c r="CX41" s="85"/>
      <c r="CY41" s="85"/>
      <c r="CZ41" s="85"/>
      <c r="DA41" s="85"/>
      <c r="DB41" s="85"/>
      <c r="DC41" s="85"/>
      <c r="DD41" s="85"/>
      <c r="DE41" s="85"/>
      <c r="DF41" s="85"/>
      <c r="DG41" s="85"/>
      <c r="DH41" s="85"/>
      <c r="DI41" s="85"/>
      <c r="DJ41" s="85"/>
      <c r="DK41" s="85"/>
      <c r="DL41" s="86"/>
    </row>
    <row r="42" spans="1:116" ht="137.44999999999999" hidden="1" customHeight="1" x14ac:dyDescent="0.25">
      <c r="A42" s="180"/>
      <c r="B42" s="94"/>
      <c r="C42" s="100"/>
      <c r="D42" s="95">
        <f t="shared" si="22"/>
        <v>0</v>
      </c>
      <c r="E42" s="98"/>
      <c r="F42" s="96"/>
      <c r="G42" s="97" t="str">
        <f t="shared" si="8"/>
        <v/>
      </c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5"/>
      <c r="Y42" s="83"/>
      <c r="Z42" s="83"/>
      <c r="AA42" s="83"/>
      <c r="AB42" s="83"/>
      <c r="AC42" s="83"/>
      <c r="AD42" s="83"/>
      <c r="AE42" s="83"/>
      <c r="AF42" s="83"/>
      <c r="AG42" s="83"/>
      <c r="AH42" s="83"/>
      <c r="AI42" s="83"/>
      <c r="AJ42" s="83"/>
      <c r="AK42" s="83"/>
      <c r="AL42" s="83"/>
      <c r="AM42" s="83"/>
      <c r="AN42" s="83"/>
      <c r="AO42" s="83"/>
      <c r="AP42" s="83"/>
      <c r="AQ42" s="83"/>
      <c r="AR42" s="84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  <c r="BN42" s="84"/>
      <c r="BO42" s="84"/>
      <c r="BP42" s="84"/>
      <c r="BQ42" s="84"/>
      <c r="BR42" s="84"/>
      <c r="BS42" s="84"/>
      <c r="BT42" s="84"/>
      <c r="BU42" s="84"/>
      <c r="BV42" s="84"/>
      <c r="BW42" s="84"/>
      <c r="BX42" s="84"/>
      <c r="BY42" s="84"/>
      <c r="BZ42" s="179"/>
      <c r="CA42" s="116"/>
      <c r="CB42" s="84"/>
      <c r="CC42" s="84"/>
      <c r="CD42" s="84"/>
      <c r="CE42" s="84"/>
      <c r="CF42" s="84"/>
      <c r="CG42" s="84"/>
      <c r="CH42" s="84"/>
      <c r="CI42" s="84"/>
      <c r="CJ42" s="84"/>
      <c r="CK42" s="84"/>
      <c r="CL42" s="84"/>
      <c r="CM42" s="84"/>
      <c r="CN42" s="84"/>
      <c r="CO42" s="84"/>
      <c r="CP42" s="84"/>
      <c r="CQ42" s="85"/>
      <c r="CR42" s="85"/>
      <c r="CS42" s="85"/>
      <c r="CT42" s="85"/>
      <c r="CU42" s="85"/>
      <c r="CV42" s="85"/>
      <c r="CW42" s="85"/>
      <c r="CX42" s="85"/>
      <c r="CY42" s="85"/>
      <c r="CZ42" s="85"/>
      <c r="DA42" s="85"/>
      <c r="DB42" s="85"/>
      <c r="DC42" s="85"/>
      <c r="DD42" s="85"/>
      <c r="DE42" s="85"/>
      <c r="DF42" s="85"/>
      <c r="DG42" s="85"/>
      <c r="DH42" s="85"/>
      <c r="DI42" s="85"/>
      <c r="DJ42" s="85"/>
      <c r="DK42" s="85"/>
      <c r="DL42" s="86"/>
    </row>
    <row r="43" spans="1:116" ht="137.44999999999999" hidden="1" customHeight="1" thickBot="1" x14ac:dyDescent="0.3">
      <c r="A43" s="180"/>
      <c r="B43" s="102"/>
      <c r="C43" s="101"/>
      <c r="D43" s="95">
        <f t="shared" si="22"/>
        <v>0</v>
      </c>
      <c r="E43" s="99"/>
      <c r="F43" s="96"/>
      <c r="G43" s="97" t="str">
        <f t="shared" si="8"/>
        <v/>
      </c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5"/>
      <c r="Y43" s="83"/>
      <c r="Z43" s="83"/>
      <c r="AA43" s="83"/>
      <c r="AB43" s="83"/>
      <c r="AC43" s="83"/>
      <c r="AD43" s="83"/>
      <c r="AE43" s="83"/>
      <c r="AF43" s="83"/>
      <c r="AG43" s="83"/>
      <c r="AH43" s="83"/>
      <c r="AI43" s="83"/>
      <c r="AJ43" s="83"/>
      <c r="AK43" s="83"/>
      <c r="AL43" s="83"/>
      <c r="AM43" s="83"/>
      <c r="AN43" s="83"/>
      <c r="AO43" s="83"/>
      <c r="AP43" s="83"/>
      <c r="AQ43" s="83"/>
      <c r="AR43" s="84"/>
      <c r="AS43" s="84"/>
      <c r="AT43" s="84"/>
      <c r="AU43" s="84"/>
      <c r="AV43" s="84"/>
      <c r="AW43" s="84"/>
      <c r="AX43" s="84"/>
      <c r="AY43" s="84"/>
      <c r="AZ43" s="84"/>
      <c r="BA43" s="84"/>
      <c r="BB43" s="84"/>
      <c r="BC43" s="84"/>
      <c r="BD43" s="84"/>
      <c r="BE43" s="84"/>
      <c r="BF43" s="84"/>
      <c r="BG43" s="84"/>
      <c r="BH43" s="84"/>
      <c r="BI43" s="84"/>
      <c r="BJ43" s="84"/>
      <c r="BK43" s="84"/>
      <c r="BL43" s="84"/>
      <c r="BM43" s="84"/>
      <c r="BN43" s="84"/>
      <c r="BO43" s="84"/>
      <c r="BP43" s="84"/>
      <c r="BQ43" s="84"/>
      <c r="BR43" s="84"/>
      <c r="BS43" s="84"/>
      <c r="BT43" s="84"/>
      <c r="BU43" s="84"/>
      <c r="BV43" s="84"/>
      <c r="BW43" s="84"/>
      <c r="BX43" s="84"/>
      <c r="BY43" s="84"/>
      <c r="BZ43" s="179"/>
      <c r="CA43" s="116"/>
      <c r="CB43" s="84"/>
      <c r="CC43" s="84"/>
      <c r="CD43" s="84"/>
      <c r="CE43" s="84"/>
      <c r="CF43" s="84"/>
      <c r="CG43" s="84"/>
      <c r="CH43" s="84"/>
      <c r="CI43" s="84"/>
      <c r="CJ43" s="84"/>
      <c r="CK43" s="84"/>
      <c r="CL43" s="84"/>
      <c r="CM43" s="84"/>
      <c r="CN43" s="84"/>
      <c r="CO43" s="84"/>
      <c r="CP43" s="84"/>
      <c r="CQ43" s="85"/>
      <c r="CR43" s="85"/>
      <c r="CS43" s="85"/>
      <c r="CT43" s="85"/>
      <c r="CU43" s="85"/>
      <c r="CV43" s="85"/>
      <c r="CW43" s="85"/>
      <c r="CX43" s="85"/>
      <c r="CY43" s="85"/>
      <c r="CZ43" s="85"/>
      <c r="DA43" s="85"/>
      <c r="DB43" s="85"/>
      <c r="DC43" s="85"/>
      <c r="DD43" s="85"/>
      <c r="DE43" s="85"/>
      <c r="DF43" s="85"/>
      <c r="DG43" s="85"/>
      <c r="DH43" s="85"/>
      <c r="DI43" s="85"/>
      <c r="DJ43" s="85"/>
      <c r="DK43" s="85"/>
      <c r="DL43" s="86"/>
    </row>
    <row r="44" spans="1:116" ht="147.6" customHeight="1" thickBot="1" x14ac:dyDescent="0.3">
      <c r="A44" s="181" t="s">
        <v>122</v>
      </c>
      <c r="B44" s="182"/>
      <c r="C44" s="183"/>
      <c r="D44" s="184"/>
      <c r="E44" s="185"/>
      <c r="F44" s="186">
        <f>SUBTOTAL(9,F9:F43)</f>
        <v>4255</v>
      </c>
      <c r="G44" s="187">
        <f>SUBTOTAL(9,G9:G43)</f>
        <v>34.073439274681633</v>
      </c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188"/>
      <c r="S44" s="188"/>
      <c r="T44" s="188"/>
      <c r="U44" s="188"/>
      <c r="V44" s="188"/>
      <c r="W44" s="188"/>
      <c r="X44" s="188"/>
      <c r="Y44" s="188"/>
      <c r="Z44" s="188"/>
      <c r="AA44" s="188"/>
      <c r="AB44" s="188"/>
      <c r="AC44" s="188"/>
      <c r="AD44" s="188"/>
      <c r="AE44" s="188"/>
      <c r="AF44" s="159"/>
      <c r="AG44" s="159"/>
      <c r="AH44" s="159"/>
      <c r="AI44" s="159"/>
      <c r="AJ44" s="159"/>
      <c r="AK44" s="159"/>
      <c r="AL44" s="159"/>
      <c r="AM44" s="159"/>
      <c r="AN44" s="159"/>
      <c r="AO44" s="159"/>
      <c r="AP44" s="159"/>
      <c r="AQ44" s="159"/>
      <c r="AR44" s="161"/>
      <c r="AS44" s="161"/>
      <c r="AT44" s="161"/>
      <c r="AU44" s="161"/>
      <c r="AV44" s="161"/>
      <c r="AW44" s="161"/>
      <c r="AX44" s="161"/>
      <c r="AY44" s="161"/>
      <c r="AZ44" s="161"/>
      <c r="BA44" s="161"/>
      <c r="BB44" s="161"/>
      <c r="BC44" s="161"/>
      <c r="BD44" s="161"/>
      <c r="BE44" s="161"/>
      <c r="BF44" s="161"/>
      <c r="BG44" s="161"/>
      <c r="BH44" s="161"/>
      <c r="BI44" s="161"/>
      <c r="BJ44" s="161"/>
      <c r="BK44" s="161"/>
      <c r="BL44" s="161"/>
      <c r="BM44" s="161"/>
      <c r="BN44" s="161"/>
      <c r="BO44" s="161"/>
      <c r="BP44" s="161"/>
      <c r="BQ44" s="161"/>
      <c r="BR44" s="161"/>
      <c r="BS44" s="161"/>
      <c r="BT44" s="161"/>
      <c r="BU44" s="161"/>
      <c r="BV44" s="161"/>
      <c r="BW44" s="161"/>
      <c r="BX44" s="161"/>
      <c r="BY44" s="161"/>
      <c r="BZ44" s="189"/>
      <c r="CA44" s="116"/>
      <c r="CB44" s="84"/>
      <c r="CC44" s="84"/>
      <c r="CD44" s="84"/>
      <c r="CE44" s="84"/>
      <c r="CF44" s="84"/>
      <c r="CG44" s="84"/>
      <c r="CH44" s="84"/>
      <c r="CI44" s="84"/>
      <c r="CJ44" s="84"/>
      <c r="CK44" s="84"/>
      <c r="CL44" s="84"/>
      <c r="CM44" s="84"/>
      <c r="CN44" s="84"/>
      <c r="CO44" s="84"/>
      <c r="CP44" s="84"/>
      <c r="CQ44" s="85"/>
      <c r="CR44" s="85"/>
      <c r="CS44" s="85"/>
      <c r="CT44" s="85"/>
      <c r="CU44" s="85"/>
      <c r="CV44" s="85"/>
      <c r="CW44" s="85"/>
      <c r="CX44" s="85"/>
      <c r="CY44" s="85"/>
      <c r="CZ44" s="85"/>
      <c r="DA44" s="85"/>
      <c r="DB44" s="85"/>
      <c r="DC44" s="85"/>
      <c r="DD44" s="85"/>
      <c r="DE44" s="85"/>
      <c r="DF44" s="85"/>
      <c r="DG44" s="85"/>
      <c r="DH44" s="85"/>
      <c r="DI44" s="85"/>
      <c r="DJ44" s="85"/>
      <c r="DK44" s="85"/>
      <c r="DL44" s="86"/>
    </row>
    <row r="45" spans="1:116" ht="111.75" hidden="1" customHeight="1" x14ac:dyDescent="0.25">
      <c r="B45" s="167"/>
      <c r="C45" s="168"/>
      <c r="D45" s="169"/>
      <c r="E45" s="170"/>
      <c r="F45" s="171"/>
      <c r="G45" s="171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6"/>
      <c r="AG45" s="76"/>
      <c r="AH45" s="76"/>
      <c r="AI45" s="76"/>
      <c r="AJ45" s="76"/>
      <c r="AK45" s="76"/>
      <c r="AL45" s="172"/>
      <c r="AM45" s="76"/>
      <c r="AN45" s="76"/>
      <c r="AO45" s="76"/>
      <c r="AP45" s="76"/>
      <c r="AQ45" s="76"/>
      <c r="AR45" s="77"/>
      <c r="AS45" s="77"/>
      <c r="AT45" s="77"/>
      <c r="AU45" s="77"/>
      <c r="AV45" s="77"/>
      <c r="AW45" s="77"/>
      <c r="AX45" s="77"/>
      <c r="AY45" s="77"/>
      <c r="AZ45" s="77"/>
      <c r="BA45" s="77"/>
      <c r="BB45" s="77"/>
      <c r="BC45" s="77"/>
      <c r="BD45" s="77"/>
      <c r="BE45" s="77"/>
      <c r="BF45" s="77"/>
      <c r="BG45" s="77"/>
      <c r="BH45" s="77"/>
      <c r="BI45" s="77"/>
      <c r="BJ45" s="77"/>
      <c r="BK45" s="77"/>
      <c r="BL45" s="77"/>
      <c r="BM45" s="77"/>
      <c r="BN45" s="77"/>
      <c r="BO45" s="77"/>
      <c r="BP45" s="77"/>
      <c r="BQ45" s="77"/>
      <c r="BR45" s="77"/>
      <c r="BS45" s="77"/>
      <c r="BT45" s="77"/>
      <c r="BU45" s="77"/>
      <c r="BV45" s="77"/>
      <c r="BW45" s="77"/>
      <c r="BX45" s="77"/>
      <c r="BY45" s="77"/>
      <c r="BZ45" s="77"/>
      <c r="CA45" s="84"/>
      <c r="CB45" s="84"/>
      <c r="CC45" s="84"/>
      <c r="CD45" s="84"/>
      <c r="CE45" s="84"/>
      <c r="CF45" s="116"/>
      <c r="CG45" s="84"/>
      <c r="CH45" s="84"/>
      <c r="CI45" s="84"/>
      <c r="CJ45" s="84"/>
      <c r="CK45" s="84"/>
      <c r="CL45" s="84"/>
      <c r="CM45" s="84"/>
      <c r="CN45" s="84"/>
      <c r="CO45" s="84"/>
      <c r="CP45" s="84"/>
      <c r="CQ45" s="85"/>
      <c r="CR45" s="85"/>
      <c r="CS45" s="85"/>
      <c r="CT45" s="85"/>
      <c r="CU45" s="85"/>
      <c r="CV45" s="85"/>
      <c r="CW45" s="85"/>
      <c r="CX45" s="85"/>
      <c r="CY45" s="85"/>
      <c r="CZ45" s="85"/>
      <c r="DA45" s="85"/>
      <c r="DB45" s="85"/>
      <c r="DC45" s="85"/>
      <c r="DD45" s="85"/>
      <c r="DE45" s="85"/>
      <c r="DF45" s="85"/>
      <c r="DG45" s="85"/>
      <c r="DH45" s="85"/>
      <c r="DI45" s="85"/>
      <c r="DJ45" s="85"/>
      <c r="DK45" s="85"/>
      <c r="DL45" s="86"/>
    </row>
    <row r="46" spans="1:116" ht="78" hidden="1" customHeight="1" x14ac:dyDescent="0.25">
      <c r="B46" s="130"/>
      <c r="C46" s="131"/>
      <c r="D46" s="132"/>
      <c r="E46" s="133"/>
      <c r="F46" s="134"/>
      <c r="G46" s="134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  <c r="AC46" s="135"/>
      <c r="AD46" s="135"/>
      <c r="AE46" s="135"/>
      <c r="AF46" s="136"/>
      <c r="AG46" s="136"/>
      <c r="AH46" s="136"/>
      <c r="AI46" s="136"/>
      <c r="AJ46" s="136"/>
      <c r="AK46" s="136"/>
      <c r="AL46" s="137"/>
      <c r="AM46" s="136"/>
      <c r="AN46" s="136"/>
      <c r="AO46" s="136"/>
      <c r="AP46" s="136"/>
      <c r="AQ46" s="136"/>
      <c r="AR46" s="85"/>
      <c r="AS46" s="85"/>
      <c r="AT46" s="85"/>
      <c r="AU46" s="85"/>
      <c r="AV46" s="85"/>
      <c r="AW46" s="85"/>
      <c r="AX46" s="85"/>
      <c r="AY46" s="85"/>
      <c r="AZ46" s="85"/>
      <c r="BA46" s="85"/>
      <c r="BB46" s="85"/>
      <c r="BC46" s="85"/>
      <c r="BD46" s="85"/>
      <c r="BE46" s="85"/>
      <c r="BF46" s="85"/>
      <c r="BG46" s="85"/>
      <c r="BH46" s="85"/>
      <c r="BI46" s="85"/>
      <c r="BJ46" s="85"/>
      <c r="BK46" s="85"/>
      <c r="BL46" s="85"/>
      <c r="BM46" s="85"/>
      <c r="BN46" s="85"/>
      <c r="BO46" s="85"/>
      <c r="BP46" s="85"/>
      <c r="BQ46" s="85"/>
      <c r="BR46" s="85"/>
      <c r="BS46" s="85"/>
      <c r="BT46" s="85"/>
      <c r="BU46" s="85"/>
      <c r="BV46" s="85"/>
      <c r="BW46" s="85"/>
      <c r="BX46" s="85"/>
      <c r="BY46" s="85"/>
      <c r="BZ46" s="85"/>
      <c r="CA46" s="84"/>
      <c r="CB46" s="84"/>
      <c r="CC46" s="84"/>
      <c r="CD46" s="84"/>
      <c r="CE46" s="84"/>
      <c r="CF46" s="116"/>
      <c r="CG46" s="84"/>
      <c r="CH46" s="84"/>
      <c r="CI46" s="84"/>
      <c r="CJ46" s="84"/>
      <c r="CK46" s="84"/>
      <c r="CL46" s="84"/>
      <c r="CM46" s="84"/>
      <c r="CN46" s="84"/>
      <c r="CO46" s="84"/>
      <c r="CP46" s="84"/>
      <c r="CQ46" s="85"/>
      <c r="CR46" s="85"/>
      <c r="CS46" s="85"/>
      <c r="CT46" s="85"/>
      <c r="CU46" s="85"/>
      <c r="CV46" s="85"/>
      <c r="CW46" s="85"/>
      <c r="CX46" s="85"/>
      <c r="CY46" s="85"/>
      <c r="CZ46" s="85"/>
      <c r="DA46" s="85"/>
      <c r="DB46" s="85"/>
      <c r="DC46" s="85"/>
      <c r="DD46" s="85"/>
      <c r="DE46" s="85"/>
      <c r="DF46" s="85"/>
      <c r="DG46" s="85"/>
      <c r="DH46" s="85"/>
      <c r="DI46" s="85"/>
      <c r="DJ46" s="85"/>
      <c r="DK46" s="85"/>
      <c r="DL46" s="86"/>
    </row>
    <row r="47" spans="1:116" ht="108.75" customHeight="1" x14ac:dyDescent="0.55000000000000004">
      <c r="A47" s="144" t="s">
        <v>123</v>
      </c>
      <c r="B47" s="145"/>
      <c r="C47" s="146"/>
      <c r="D47" s="147"/>
      <c r="E47" s="147"/>
      <c r="F47" s="148"/>
      <c r="G47" s="148"/>
      <c r="H47" s="149"/>
      <c r="I47" s="149"/>
      <c r="J47" s="149"/>
      <c r="K47" s="149"/>
      <c r="L47" s="149"/>
      <c r="M47" s="149"/>
      <c r="N47" s="149"/>
      <c r="O47" s="149"/>
      <c r="P47" s="149"/>
      <c r="Q47" s="149"/>
      <c r="R47" s="149"/>
      <c r="S47" s="149"/>
      <c r="T47" s="149"/>
      <c r="U47" s="149"/>
      <c r="V47" s="149"/>
      <c r="W47" s="149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50"/>
      <c r="AN47" s="151"/>
      <c r="AO47" s="151"/>
      <c r="AP47" s="151"/>
      <c r="AQ47" s="151"/>
      <c r="AR47" s="152">
        <v>1</v>
      </c>
      <c r="AS47" s="152">
        <v>1</v>
      </c>
      <c r="AT47" s="152">
        <v>1</v>
      </c>
      <c r="AU47" s="152">
        <v>1</v>
      </c>
      <c r="AV47" s="152">
        <v>1</v>
      </c>
      <c r="AW47" s="152">
        <v>1</v>
      </c>
      <c r="AX47" s="152">
        <v>1</v>
      </c>
      <c r="AY47" s="152">
        <v>1</v>
      </c>
      <c r="AZ47" s="152">
        <v>1</v>
      </c>
      <c r="BA47" s="152">
        <v>1</v>
      </c>
      <c r="BB47" s="152">
        <v>1</v>
      </c>
      <c r="BC47" s="152">
        <v>1</v>
      </c>
      <c r="BD47" s="152">
        <v>1</v>
      </c>
      <c r="BE47" s="152">
        <v>1</v>
      </c>
      <c r="BF47" s="152">
        <v>1</v>
      </c>
      <c r="BG47" s="152">
        <v>1</v>
      </c>
      <c r="BH47" s="152">
        <v>1</v>
      </c>
      <c r="BI47" s="152">
        <v>1</v>
      </c>
      <c r="BJ47" s="152">
        <v>1</v>
      </c>
      <c r="BK47" s="152">
        <v>1</v>
      </c>
      <c r="BL47" s="152">
        <v>1</v>
      </c>
      <c r="BM47" s="152">
        <v>1</v>
      </c>
      <c r="BN47" s="152">
        <v>1</v>
      </c>
      <c r="BO47" s="152"/>
      <c r="BP47" s="152"/>
      <c r="BQ47" s="152"/>
      <c r="BR47" s="152"/>
      <c r="BS47" s="152"/>
      <c r="BT47" s="152"/>
      <c r="BU47" s="152"/>
      <c r="BV47" s="152"/>
      <c r="BW47" s="152"/>
      <c r="BX47" s="152"/>
      <c r="BY47" s="152"/>
      <c r="BZ47" s="153"/>
      <c r="CA47" s="129"/>
      <c r="CB47" s="126"/>
      <c r="CC47" s="126"/>
      <c r="CD47" s="126"/>
      <c r="CE47" s="126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</row>
    <row r="48" spans="1:116" ht="108.75" customHeight="1" x14ac:dyDescent="0.55000000000000004">
      <c r="A48" s="154" t="s">
        <v>124</v>
      </c>
      <c r="B48" s="113"/>
      <c r="C48" s="114"/>
      <c r="D48" s="83"/>
      <c r="E48" s="83"/>
      <c r="F48" s="115"/>
      <c r="G48" s="115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3"/>
      <c r="Y48" s="83"/>
      <c r="Z48" s="83"/>
      <c r="AA48" s="83"/>
      <c r="AB48" s="83"/>
      <c r="AC48" s="83"/>
      <c r="AD48" s="83"/>
      <c r="AE48" s="83"/>
      <c r="AF48" s="83"/>
      <c r="AG48" s="83"/>
      <c r="AH48" s="83"/>
      <c r="AI48" s="83"/>
      <c r="AJ48" s="83"/>
      <c r="AK48" s="83"/>
      <c r="AL48" s="83"/>
      <c r="AM48" s="123"/>
      <c r="AN48" s="124"/>
      <c r="AO48" s="124"/>
      <c r="AP48" s="124">
        <v>1</v>
      </c>
      <c r="AQ48" s="124">
        <v>1</v>
      </c>
      <c r="AR48" s="125">
        <v>1</v>
      </c>
      <c r="AS48" s="125">
        <v>1</v>
      </c>
      <c r="AT48" s="125">
        <v>1</v>
      </c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55"/>
      <c r="CA48" s="129"/>
      <c r="CB48" s="126"/>
      <c r="CC48" s="126"/>
      <c r="CD48" s="126"/>
      <c r="CE48" s="126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</row>
    <row r="49" spans="1:94" ht="108.75" customHeight="1" x14ac:dyDescent="0.55000000000000004">
      <c r="A49" s="154" t="s">
        <v>125</v>
      </c>
      <c r="B49" s="113"/>
      <c r="C49" s="114"/>
      <c r="D49" s="83"/>
      <c r="E49" s="83"/>
      <c r="F49" s="115"/>
      <c r="G49" s="115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3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83"/>
      <c r="AJ49" s="83"/>
      <c r="AK49" s="83"/>
      <c r="AL49" s="83"/>
      <c r="AM49" s="123"/>
      <c r="AN49" s="124"/>
      <c r="AO49" s="124"/>
      <c r="AP49" s="124"/>
      <c r="AQ49" s="124"/>
      <c r="AR49" s="125"/>
      <c r="AS49" s="125"/>
      <c r="AT49" s="125"/>
      <c r="AU49" s="125"/>
      <c r="AV49" s="125"/>
      <c r="AW49" s="125"/>
      <c r="AX49" s="125">
        <v>1</v>
      </c>
      <c r="AY49" s="125">
        <v>1</v>
      </c>
      <c r="AZ49" s="125">
        <v>1</v>
      </c>
      <c r="BA49" s="125">
        <v>1</v>
      </c>
      <c r="BB49" s="125">
        <v>1</v>
      </c>
      <c r="BC49" s="125">
        <v>1</v>
      </c>
      <c r="BD49" s="125">
        <v>1</v>
      </c>
      <c r="BE49" s="125">
        <v>1</v>
      </c>
      <c r="BF49" s="125">
        <v>1</v>
      </c>
      <c r="BG49" s="125">
        <v>1</v>
      </c>
      <c r="BH49" s="125">
        <v>1</v>
      </c>
      <c r="BI49" s="125">
        <v>1</v>
      </c>
      <c r="BJ49" s="125">
        <v>1</v>
      </c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55"/>
      <c r="CA49" s="129"/>
      <c r="CB49" s="126"/>
      <c r="CC49" s="126"/>
      <c r="CD49" s="126"/>
      <c r="CE49" s="126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</row>
    <row r="50" spans="1:94" ht="108.75" customHeight="1" x14ac:dyDescent="0.55000000000000004">
      <c r="A50" s="154" t="s">
        <v>126</v>
      </c>
      <c r="B50" s="113"/>
      <c r="C50" s="114"/>
      <c r="D50" s="83"/>
      <c r="E50" s="83"/>
      <c r="F50" s="115"/>
      <c r="G50" s="115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3"/>
      <c r="Y50" s="83"/>
      <c r="Z50" s="83"/>
      <c r="AA50" s="83"/>
      <c r="AB50" s="83"/>
      <c r="AC50" s="83"/>
      <c r="AD50" s="83"/>
      <c r="AE50" s="83"/>
      <c r="AF50" s="83"/>
      <c r="AG50" s="83"/>
      <c r="AH50" s="83"/>
      <c r="AI50" s="83"/>
      <c r="AJ50" s="83"/>
      <c r="AK50" s="83"/>
      <c r="AL50" s="83"/>
      <c r="AM50" s="123"/>
      <c r="AN50" s="124"/>
      <c r="AO50" s="124"/>
      <c r="AP50" s="124"/>
      <c r="AQ50" s="124"/>
      <c r="AR50" s="125"/>
      <c r="AS50" s="125"/>
      <c r="AT50" s="125"/>
      <c r="AU50" s="125">
        <v>3</v>
      </c>
      <c r="AV50" s="125">
        <v>3</v>
      </c>
      <c r="AW50" s="125">
        <v>3</v>
      </c>
      <c r="AX50" s="125">
        <v>3</v>
      </c>
      <c r="AY50" s="125">
        <v>3</v>
      </c>
      <c r="AZ50" s="125">
        <v>3</v>
      </c>
      <c r="BA50" s="125">
        <v>3</v>
      </c>
      <c r="BB50" s="125">
        <v>3</v>
      </c>
      <c r="BC50" s="125">
        <v>3</v>
      </c>
      <c r="BD50" s="125">
        <v>3</v>
      </c>
      <c r="BE50" s="125">
        <v>3</v>
      </c>
      <c r="BF50" s="125">
        <v>3</v>
      </c>
      <c r="BG50" s="125">
        <v>3</v>
      </c>
      <c r="BH50" s="125">
        <v>3</v>
      </c>
      <c r="BI50" s="125">
        <v>3</v>
      </c>
      <c r="BJ50" s="125">
        <v>3</v>
      </c>
      <c r="BK50" s="125">
        <v>3</v>
      </c>
      <c r="BL50" s="125">
        <v>3</v>
      </c>
      <c r="BM50" s="125">
        <v>3</v>
      </c>
      <c r="BN50" s="125">
        <v>3</v>
      </c>
      <c r="BO50" s="125">
        <v>3</v>
      </c>
      <c r="BP50" s="125">
        <v>3</v>
      </c>
      <c r="BQ50" s="125">
        <v>3</v>
      </c>
      <c r="BR50" s="125">
        <v>3</v>
      </c>
      <c r="BS50" s="125">
        <v>3</v>
      </c>
      <c r="BT50" s="125">
        <v>3</v>
      </c>
      <c r="BU50" s="125">
        <v>3</v>
      </c>
      <c r="BV50" s="125">
        <v>3</v>
      </c>
      <c r="BW50" s="125">
        <v>3</v>
      </c>
      <c r="BX50" s="125">
        <v>3</v>
      </c>
      <c r="BY50" s="125">
        <v>3</v>
      </c>
      <c r="BZ50" s="155"/>
      <c r="CA50" s="129"/>
      <c r="CB50" s="126"/>
      <c r="CC50" s="126"/>
      <c r="CD50" s="126"/>
      <c r="CE50" s="126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</row>
    <row r="51" spans="1:94" ht="108.75" customHeight="1" x14ac:dyDescent="0.55000000000000004">
      <c r="A51" s="154" t="s">
        <v>127</v>
      </c>
      <c r="B51" s="113"/>
      <c r="C51" s="114"/>
      <c r="D51" s="83"/>
      <c r="E51" s="83"/>
      <c r="F51" s="115"/>
      <c r="G51" s="115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3"/>
      <c r="Y51" s="83"/>
      <c r="Z51" s="83"/>
      <c r="AA51" s="83"/>
      <c r="AB51" s="83"/>
      <c r="AC51" s="83"/>
      <c r="AD51" s="83"/>
      <c r="AE51" s="83"/>
      <c r="AF51" s="83"/>
      <c r="AG51" s="83"/>
      <c r="AH51" s="83"/>
      <c r="AI51" s="83"/>
      <c r="AJ51" s="83"/>
      <c r="AK51" s="83"/>
      <c r="AL51" s="83"/>
      <c r="AM51" s="123"/>
      <c r="AN51" s="124"/>
      <c r="AO51" s="124"/>
      <c r="AP51" s="124"/>
      <c r="AQ51" s="124"/>
      <c r="AR51" s="125"/>
      <c r="AS51" s="125"/>
      <c r="AT51" s="125"/>
      <c r="AU51" s="125"/>
      <c r="AV51" s="125"/>
      <c r="AW51" s="125"/>
      <c r="AX51" s="125"/>
      <c r="AY51" s="125"/>
      <c r="AZ51" s="125"/>
      <c r="BA51" s="125"/>
      <c r="BB51" s="125"/>
      <c r="BC51" s="125"/>
      <c r="BD51" s="125"/>
      <c r="BE51" s="125"/>
      <c r="BF51" s="127">
        <f>DM13</f>
        <v>1.9861111111111109</v>
      </c>
      <c r="BG51" s="127">
        <v>1.9861111111111109</v>
      </c>
      <c r="BH51" s="125">
        <v>1.9861111111111109</v>
      </c>
      <c r="BI51" s="125">
        <v>1.9861111111111109</v>
      </c>
      <c r="BJ51" s="125">
        <v>1.9861111111111109</v>
      </c>
      <c r="BK51" s="125">
        <v>1.9861111111111109</v>
      </c>
      <c r="BL51" s="125">
        <v>1.9861111111111109</v>
      </c>
      <c r="BM51" s="125">
        <v>1.9861111111111109</v>
      </c>
      <c r="BN51" s="125">
        <v>1.9861111111111109</v>
      </c>
      <c r="BO51" s="125">
        <v>1.9861111111111109</v>
      </c>
      <c r="BP51" s="125">
        <v>1.9861111111111109</v>
      </c>
      <c r="BQ51" s="125">
        <v>1.9861111111111109</v>
      </c>
      <c r="BR51" s="125">
        <v>1.9861111111111109</v>
      </c>
      <c r="BS51" s="125">
        <v>1.9861111111111109</v>
      </c>
      <c r="BT51" s="125">
        <v>1.9861111111111109</v>
      </c>
      <c r="BU51" s="125">
        <v>1.9861111111111109</v>
      </c>
      <c r="BV51" s="125">
        <v>1.9861111111111109</v>
      </c>
      <c r="BW51" s="125">
        <v>1.9861111111111109</v>
      </c>
      <c r="BX51" s="125">
        <v>1.9861111111111109</v>
      </c>
      <c r="BY51" s="125">
        <v>1.9861111111111109</v>
      </c>
      <c r="BZ51" s="155"/>
      <c r="CA51" s="129"/>
      <c r="CB51" s="126"/>
      <c r="CC51" s="126"/>
      <c r="CD51" s="126"/>
      <c r="CE51" s="126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</row>
    <row r="52" spans="1:94" ht="108.75" customHeight="1" x14ac:dyDescent="0.55000000000000004">
      <c r="A52" s="154" t="s">
        <v>128</v>
      </c>
      <c r="B52" s="113"/>
      <c r="C52" s="114"/>
      <c r="D52" s="83"/>
      <c r="E52" s="83"/>
      <c r="F52" s="115"/>
      <c r="G52" s="115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3"/>
      <c r="Y52" s="83"/>
      <c r="Z52" s="83"/>
      <c r="AA52" s="83"/>
      <c r="AB52" s="83"/>
      <c r="AC52" s="83"/>
      <c r="AD52" s="83"/>
      <c r="AE52" s="83"/>
      <c r="AF52" s="83"/>
      <c r="AG52" s="83"/>
      <c r="AH52" s="83"/>
      <c r="AI52" s="83"/>
      <c r="AJ52" s="83"/>
      <c r="AK52" s="83"/>
      <c r="AL52" s="83"/>
      <c r="AM52" s="123"/>
      <c r="AN52" s="124"/>
      <c r="AO52" s="124"/>
      <c r="AP52" s="124"/>
      <c r="AQ52" s="124"/>
      <c r="AR52" s="125"/>
      <c r="AS52" s="125"/>
      <c r="AT52" s="125"/>
      <c r="AU52" s="125"/>
      <c r="AV52" s="125"/>
      <c r="AW52" s="125"/>
      <c r="AX52" s="125"/>
      <c r="AY52" s="125"/>
      <c r="AZ52" s="125">
        <v>0.99707602339181278</v>
      </c>
      <c r="BA52" s="125">
        <v>0.99707602339181278</v>
      </c>
      <c r="BB52" s="125">
        <v>0.99707602339181278</v>
      </c>
      <c r="BC52" s="125">
        <v>0.99707602339181278</v>
      </c>
      <c r="BD52" s="125">
        <v>0.99707602339181278</v>
      </c>
      <c r="BE52" s="125">
        <v>0.99707602339181278</v>
      </c>
      <c r="BF52" s="125">
        <v>0.99707602339181278</v>
      </c>
      <c r="BG52" s="125">
        <v>0.99707602339181278</v>
      </c>
      <c r="BH52" s="125">
        <v>0.99707602339181278</v>
      </c>
      <c r="BI52" s="125">
        <v>0.99707602339181278</v>
      </c>
      <c r="BJ52" s="125">
        <v>0.99707602339181278</v>
      </c>
      <c r="BK52" s="125">
        <v>0.99707602339181278</v>
      </c>
      <c r="BL52" s="125">
        <v>0.99707602339181278</v>
      </c>
      <c r="BM52" s="125">
        <v>0.99707602339181278</v>
      </c>
      <c r="BN52" s="125">
        <v>0.99707602339181278</v>
      </c>
      <c r="BO52" s="125">
        <v>0.99707602339181278</v>
      </c>
      <c r="BP52" s="125">
        <v>0.99707602339181278</v>
      </c>
      <c r="BQ52" s="125">
        <v>0.99707602339181278</v>
      </c>
      <c r="BR52" s="127">
        <f>DM14</f>
        <v>0.99707602339181278</v>
      </c>
      <c r="BS52" s="125"/>
      <c r="BT52" s="125"/>
      <c r="BU52" s="125"/>
      <c r="BV52" s="125"/>
      <c r="BW52" s="125"/>
      <c r="BX52" s="125"/>
      <c r="BY52" s="125"/>
      <c r="BZ52" s="155"/>
      <c r="CA52" s="129"/>
      <c r="CB52" s="126"/>
      <c r="CC52" s="126"/>
      <c r="CD52" s="126"/>
      <c r="CE52" s="126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</row>
    <row r="53" spans="1:94" ht="108.75" customHeight="1" x14ac:dyDescent="0.55000000000000004">
      <c r="A53" s="154" t="s">
        <v>129</v>
      </c>
      <c r="B53" s="113"/>
      <c r="C53" s="114"/>
      <c r="D53" s="83"/>
      <c r="E53" s="83"/>
      <c r="F53" s="115"/>
      <c r="G53" s="115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3"/>
      <c r="Y53" s="83"/>
      <c r="Z53" s="83"/>
      <c r="AA53" s="83"/>
      <c r="AB53" s="83"/>
      <c r="AC53" s="83"/>
      <c r="AD53" s="83"/>
      <c r="AE53" s="83"/>
      <c r="AF53" s="83"/>
      <c r="AG53" s="83"/>
      <c r="AH53" s="83"/>
      <c r="AI53" s="83"/>
      <c r="AJ53" s="83"/>
      <c r="AK53" s="83"/>
      <c r="AL53" s="83"/>
      <c r="AM53" s="123"/>
      <c r="AN53" s="124"/>
      <c r="AO53" s="124"/>
      <c r="AP53" s="124"/>
      <c r="AQ53" s="124"/>
      <c r="AR53" s="125">
        <v>1</v>
      </c>
      <c r="AS53" s="125">
        <v>1</v>
      </c>
      <c r="AT53" s="125">
        <v>1</v>
      </c>
      <c r="AU53" s="125">
        <v>1</v>
      </c>
      <c r="AV53" s="125">
        <v>1</v>
      </c>
      <c r="AW53" s="125">
        <v>1</v>
      </c>
      <c r="AX53" s="125">
        <v>1</v>
      </c>
      <c r="AY53" s="125">
        <v>1</v>
      </c>
      <c r="AZ53" s="127">
        <v>1</v>
      </c>
      <c r="BA53" s="125"/>
      <c r="BB53" s="125"/>
      <c r="BC53" s="125"/>
      <c r="BD53" s="125"/>
      <c r="BE53" s="125"/>
      <c r="BF53" s="125"/>
      <c r="BG53" s="125"/>
      <c r="BH53" s="125"/>
      <c r="BI53" s="125"/>
      <c r="BJ53" s="125"/>
      <c r="BK53" s="125"/>
      <c r="BL53" s="125"/>
      <c r="BM53" s="125"/>
      <c r="BN53" s="125"/>
      <c r="BO53" s="125"/>
      <c r="BP53" s="125"/>
      <c r="BQ53" s="125"/>
      <c r="BR53" s="125"/>
      <c r="BS53" s="125"/>
      <c r="BT53" s="125"/>
      <c r="BU53" s="125"/>
      <c r="BV53" s="125"/>
      <c r="BW53" s="125"/>
      <c r="BX53" s="125"/>
      <c r="BY53" s="125"/>
      <c r="BZ53" s="155"/>
      <c r="CA53" s="129"/>
      <c r="CB53" s="126"/>
      <c r="CC53" s="126"/>
      <c r="CD53" s="126"/>
      <c r="CE53" s="126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</row>
    <row r="54" spans="1:94" ht="108.75" customHeight="1" x14ac:dyDescent="0.55000000000000004">
      <c r="A54" s="154" t="s">
        <v>130</v>
      </c>
      <c r="B54" s="113"/>
      <c r="C54" s="114"/>
      <c r="D54" s="83"/>
      <c r="E54" s="83"/>
      <c r="F54" s="115"/>
      <c r="G54" s="115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3"/>
      <c r="Y54" s="83"/>
      <c r="Z54" s="83"/>
      <c r="AA54" s="83"/>
      <c r="AB54" s="83"/>
      <c r="AC54" s="83"/>
      <c r="AD54" s="83"/>
      <c r="AE54" s="83"/>
      <c r="AF54" s="83"/>
      <c r="AG54" s="83"/>
      <c r="AH54" s="83"/>
      <c r="AI54" s="83"/>
      <c r="AJ54" s="83"/>
      <c r="AK54" s="83"/>
      <c r="AL54" s="83"/>
      <c r="AM54" s="123"/>
      <c r="AN54" s="124"/>
      <c r="AO54" s="124"/>
      <c r="AP54" s="124"/>
      <c r="AQ54" s="124"/>
      <c r="AR54" s="125"/>
      <c r="AS54" s="125"/>
      <c r="AT54" s="125"/>
      <c r="AU54" s="125"/>
      <c r="AV54" s="125"/>
      <c r="AW54" s="125"/>
      <c r="AX54" s="125"/>
      <c r="AY54" s="127">
        <f>DM16</f>
        <v>1.2373737373737375</v>
      </c>
      <c r="AZ54" s="127">
        <f>AY54</f>
        <v>1.2373737373737375</v>
      </c>
      <c r="BA54" s="127">
        <f t="shared" ref="BA54:BT54" si="23">AZ54</f>
        <v>1.2373737373737375</v>
      </c>
      <c r="BB54" s="127">
        <f t="shared" si="23"/>
        <v>1.2373737373737375</v>
      </c>
      <c r="BC54" s="127">
        <f t="shared" si="23"/>
        <v>1.2373737373737375</v>
      </c>
      <c r="BD54" s="127">
        <f t="shared" si="23"/>
        <v>1.2373737373737375</v>
      </c>
      <c r="BE54" s="127">
        <f t="shared" si="23"/>
        <v>1.2373737373737375</v>
      </c>
      <c r="BF54" s="127">
        <f t="shared" si="23"/>
        <v>1.2373737373737375</v>
      </c>
      <c r="BG54" s="127">
        <f t="shared" si="23"/>
        <v>1.2373737373737375</v>
      </c>
      <c r="BH54" s="127">
        <f t="shared" si="23"/>
        <v>1.2373737373737375</v>
      </c>
      <c r="BI54" s="127">
        <f t="shared" si="23"/>
        <v>1.2373737373737375</v>
      </c>
      <c r="BJ54" s="127">
        <f t="shared" si="23"/>
        <v>1.2373737373737375</v>
      </c>
      <c r="BK54" s="127">
        <f t="shared" si="23"/>
        <v>1.2373737373737375</v>
      </c>
      <c r="BL54" s="127">
        <f t="shared" si="23"/>
        <v>1.2373737373737375</v>
      </c>
      <c r="BM54" s="127">
        <f t="shared" si="23"/>
        <v>1.2373737373737375</v>
      </c>
      <c r="BN54" s="127">
        <f t="shared" si="23"/>
        <v>1.2373737373737375</v>
      </c>
      <c r="BO54" s="127">
        <f t="shared" si="23"/>
        <v>1.2373737373737375</v>
      </c>
      <c r="BP54" s="127">
        <f t="shared" si="23"/>
        <v>1.2373737373737375</v>
      </c>
      <c r="BQ54" s="127">
        <f t="shared" si="23"/>
        <v>1.2373737373737375</v>
      </c>
      <c r="BR54" s="127">
        <f t="shared" si="23"/>
        <v>1.2373737373737375</v>
      </c>
      <c r="BS54" s="127">
        <f t="shared" si="23"/>
        <v>1.2373737373737375</v>
      </c>
      <c r="BT54" s="127">
        <f t="shared" si="23"/>
        <v>1.2373737373737375</v>
      </c>
      <c r="BU54" s="125"/>
      <c r="BV54" s="125"/>
      <c r="BW54" s="125"/>
      <c r="BX54" s="125"/>
      <c r="BY54" s="125"/>
      <c r="BZ54" s="155"/>
      <c r="CA54" s="129"/>
      <c r="CB54" s="126"/>
      <c r="CC54" s="126"/>
      <c r="CD54" s="126"/>
      <c r="CE54" s="126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</row>
    <row r="55" spans="1:94" ht="108.75" customHeight="1" x14ac:dyDescent="0.55000000000000004">
      <c r="A55" s="154" t="s">
        <v>131</v>
      </c>
      <c r="B55" s="113"/>
      <c r="C55" s="114"/>
      <c r="D55" s="83"/>
      <c r="E55" s="83"/>
      <c r="F55" s="115"/>
      <c r="G55" s="115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3"/>
      <c r="Y55" s="83"/>
      <c r="Z55" s="83"/>
      <c r="AA55" s="83"/>
      <c r="AB55" s="83"/>
      <c r="AC55" s="83"/>
      <c r="AD55" s="83"/>
      <c r="AE55" s="83"/>
      <c r="AF55" s="83"/>
      <c r="AG55" s="83"/>
      <c r="AH55" s="83"/>
      <c r="AI55" s="83"/>
      <c r="AJ55" s="83"/>
      <c r="AK55" s="83"/>
      <c r="AL55" s="83"/>
      <c r="AM55" s="123"/>
      <c r="AN55" s="124"/>
      <c r="AO55" s="124"/>
      <c r="AP55" s="124"/>
      <c r="AQ55" s="124"/>
      <c r="AR55" s="125"/>
      <c r="AS55" s="125"/>
      <c r="AT55" s="125"/>
      <c r="AU55" s="125"/>
      <c r="AV55" s="125">
        <v>1</v>
      </c>
      <c r="AW55" s="125">
        <v>1</v>
      </c>
      <c r="AX55" s="125">
        <v>1</v>
      </c>
      <c r="AY55" s="125">
        <v>1</v>
      </c>
      <c r="AZ55" s="125">
        <f>DM17</f>
        <v>1.0333333333333334</v>
      </c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55"/>
      <c r="CA55" s="129"/>
      <c r="CB55" s="126"/>
      <c r="CC55" s="126"/>
      <c r="CD55" s="126"/>
      <c r="CE55" s="126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</row>
    <row r="56" spans="1:94" ht="108.75" customHeight="1" thickBot="1" x14ac:dyDescent="0.6">
      <c r="A56" s="156" t="s">
        <v>132</v>
      </c>
      <c r="B56" s="157"/>
      <c r="C56" s="158"/>
      <c r="D56" s="159"/>
      <c r="E56" s="159"/>
      <c r="F56" s="160"/>
      <c r="G56" s="160"/>
      <c r="H56" s="161"/>
      <c r="I56" s="161"/>
      <c r="J56" s="161"/>
      <c r="K56" s="161"/>
      <c r="L56" s="161"/>
      <c r="M56" s="161"/>
      <c r="N56" s="161"/>
      <c r="O56" s="161"/>
      <c r="P56" s="161"/>
      <c r="Q56" s="161"/>
      <c r="R56" s="161"/>
      <c r="S56" s="161"/>
      <c r="T56" s="161"/>
      <c r="U56" s="161"/>
      <c r="V56" s="161"/>
      <c r="W56" s="161"/>
      <c r="X56" s="159"/>
      <c r="Y56" s="159"/>
      <c r="Z56" s="159"/>
      <c r="AA56" s="159"/>
      <c r="AB56" s="159"/>
      <c r="AC56" s="159"/>
      <c r="AD56" s="159"/>
      <c r="AE56" s="159"/>
      <c r="AF56" s="159"/>
      <c r="AG56" s="159"/>
      <c r="AH56" s="159"/>
      <c r="AI56" s="159"/>
      <c r="AJ56" s="159"/>
      <c r="AK56" s="159"/>
      <c r="AL56" s="159"/>
      <c r="AM56" s="162"/>
      <c r="AN56" s="163"/>
      <c r="AO56" s="163"/>
      <c r="AP56" s="163"/>
      <c r="AQ56" s="163"/>
      <c r="AR56" s="164"/>
      <c r="AS56" s="164"/>
      <c r="AT56" s="164"/>
      <c r="AU56" s="164"/>
      <c r="AV56" s="164"/>
      <c r="AW56" s="164"/>
      <c r="AX56" s="164"/>
      <c r="AY56" s="164"/>
      <c r="AZ56" s="164"/>
      <c r="BA56" s="164"/>
      <c r="BB56" s="164"/>
      <c r="BC56" s="164"/>
      <c r="BD56" s="164"/>
      <c r="BE56" s="164"/>
      <c r="BF56" s="164"/>
      <c r="BG56" s="164"/>
      <c r="BH56" s="164"/>
      <c r="BI56" s="164"/>
      <c r="BJ56" s="164"/>
      <c r="BK56" s="164"/>
      <c r="BL56" s="164">
        <f>DM18</f>
        <v>1.0317460317460319</v>
      </c>
      <c r="BM56" s="164">
        <v>1</v>
      </c>
      <c r="BN56" s="164">
        <v>1</v>
      </c>
      <c r="BO56" s="164">
        <v>1</v>
      </c>
      <c r="BP56" s="164">
        <v>1</v>
      </c>
      <c r="BQ56" s="164">
        <v>1</v>
      </c>
      <c r="BR56" s="164">
        <v>1</v>
      </c>
      <c r="BS56" s="164"/>
      <c r="BT56" s="164"/>
      <c r="BU56" s="164"/>
      <c r="BV56" s="164"/>
      <c r="BW56" s="164"/>
      <c r="BX56" s="164"/>
      <c r="BY56" s="164"/>
      <c r="BZ56" s="165"/>
      <c r="CA56" s="129"/>
      <c r="CB56" s="126"/>
      <c r="CC56" s="126"/>
      <c r="CD56" s="126"/>
      <c r="CE56" s="126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</row>
    <row r="57" spans="1:94" ht="108.75" customHeight="1" x14ac:dyDescent="0.25">
      <c r="A57" s="138" t="s">
        <v>134</v>
      </c>
      <c r="B57" s="139"/>
      <c r="C57" s="140"/>
      <c r="D57" s="141"/>
      <c r="E57" s="141"/>
      <c r="F57" s="142"/>
      <c r="G57" s="142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6"/>
      <c r="Y57" s="76"/>
      <c r="Z57" s="76"/>
      <c r="AA57" s="76"/>
      <c r="AB57" s="76"/>
      <c r="AC57" s="76"/>
      <c r="AD57" s="76"/>
      <c r="AE57" s="76"/>
      <c r="AF57" s="76"/>
      <c r="AG57" s="76"/>
      <c r="AH57" s="76"/>
      <c r="AI57" s="76"/>
      <c r="AJ57" s="76"/>
      <c r="AK57" s="76"/>
      <c r="AL57" s="76"/>
      <c r="AM57" s="143">
        <f>SUM(AM47:AM56)</f>
        <v>0</v>
      </c>
      <c r="AN57" s="143">
        <f t="shared" ref="AN57:CE57" si="24">SUM(AN47:AN56)</f>
        <v>0</v>
      </c>
      <c r="AO57" s="143">
        <f t="shared" si="24"/>
        <v>0</v>
      </c>
      <c r="AP57" s="143">
        <f t="shared" si="24"/>
        <v>1</v>
      </c>
      <c r="AQ57" s="143">
        <f t="shared" si="24"/>
        <v>1</v>
      </c>
      <c r="AR57" s="143">
        <f t="shared" si="24"/>
        <v>3</v>
      </c>
      <c r="AS57" s="143">
        <f t="shared" si="24"/>
        <v>3</v>
      </c>
      <c r="AT57" s="143">
        <f t="shared" si="24"/>
        <v>3</v>
      </c>
      <c r="AU57" s="143">
        <f t="shared" si="24"/>
        <v>5</v>
      </c>
      <c r="AV57" s="143">
        <f t="shared" si="24"/>
        <v>6</v>
      </c>
      <c r="AW57" s="143">
        <f t="shared" si="24"/>
        <v>6</v>
      </c>
      <c r="AX57" s="143">
        <f t="shared" si="24"/>
        <v>7</v>
      </c>
      <c r="AY57" s="143">
        <f t="shared" si="24"/>
        <v>8.237373737373737</v>
      </c>
      <c r="AZ57" s="143">
        <f t="shared" si="24"/>
        <v>9.267783094098883</v>
      </c>
      <c r="BA57" s="143">
        <f t="shared" si="24"/>
        <v>7.2344497607655498</v>
      </c>
      <c r="BB57" s="143">
        <f t="shared" si="24"/>
        <v>7.2344497607655498</v>
      </c>
      <c r="BC57" s="143">
        <f t="shared" si="24"/>
        <v>7.2344497607655498</v>
      </c>
      <c r="BD57" s="143">
        <f t="shared" si="24"/>
        <v>7.2344497607655498</v>
      </c>
      <c r="BE57" s="143">
        <f t="shared" si="24"/>
        <v>7.2344497607655498</v>
      </c>
      <c r="BF57" s="143">
        <f t="shared" si="24"/>
        <v>9.2205608718766605</v>
      </c>
      <c r="BG57" s="143">
        <f t="shared" si="24"/>
        <v>9.2205608718766605</v>
      </c>
      <c r="BH57" s="143">
        <f t="shared" si="24"/>
        <v>9.2205608718766605</v>
      </c>
      <c r="BI57" s="143">
        <f t="shared" si="24"/>
        <v>9.2205608718766605</v>
      </c>
      <c r="BJ57" s="143">
        <f t="shared" si="24"/>
        <v>9.2205608718766605</v>
      </c>
      <c r="BK57" s="143">
        <f t="shared" si="24"/>
        <v>8.2205608718766605</v>
      </c>
      <c r="BL57" s="143">
        <f t="shared" si="24"/>
        <v>9.2523069036226921</v>
      </c>
      <c r="BM57" s="143">
        <f t="shared" si="24"/>
        <v>9.2205608718766605</v>
      </c>
      <c r="BN57" s="143">
        <f t="shared" si="24"/>
        <v>9.2205608718766605</v>
      </c>
      <c r="BO57" s="143">
        <f t="shared" si="24"/>
        <v>8.2205608718766605</v>
      </c>
      <c r="BP57" s="143">
        <f t="shared" si="24"/>
        <v>8.2205608718766605</v>
      </c>
      <c r="BQ57" s="143">
        <f t="shared" si="24"/>
        <v>8.2205608718766605</v>
      </c>
      <c r="BR57" s="143">
        <f t="shared" si="24"/>
        <v>8.2205608718766605</v>
      </c>
      <c r="BS57" s="143">
        <f t="shared" si="24"/>
        <v>6.2234848484848477</v>
      </c>
      <c r="BT57" s="143">
        <f t="shared" si="24"/>
        <v>6.2234848484848477</v>
      </c>
      <c r="BU57" s="143">
        <f t="shared" si="24"/>
        <v>4.9861111111111107</v>
      </c>
      <c r="BV57" s="143">
        <f t="shared" si="24"/>
        <v>4.9861111111111107</v>
      </c>
      <c r="BW57" s="143">
        <f t="shared" si="24"/>
        <v>4.9861111111111107</v>
      </c>
      <c r="BX57" s="143">
        <f t="shared" si="24"/>
        <v>4.9861111111111107</v>
      </c>
      <c r="BY57" s="143">
        <f t="shared" si="24"/>
        <v>4.9861111111111107</v>
      </c>
      <c r="BZ57" s="143">
        <f t="shared" si="24"/>
        <v>0</v>
      </c>
      <c r="CA57" s="128">
        <f t="shared" si="24"/>
        <v>0</v>
      </c>
      <c r="CB57" s="128">
        <f t="shared" si="24"/>
        <v>0</v>
      </c>
      <c r="CC57" s="128">
        <f t="shared" si="24"/>
        <v>0</v>
      </c>
      <c r="CD57" s="128">
        <f t="shared" si="24"/>
        <v>0</v>
      </c>
      <c r="CE57" s="128">
        <f t="shared" si="24"/>
        <v>0</v>
      </c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</row>
    <row r="58" spans="1:94" ht="65.25" customHeight="1" x14ac:dyDescent="0.25">
      <c r="A58" s="117" t="s">
        <v>135</v>
      </c>
      <c r="B58" s="113"/>
      <c r="C58" s="114"/>
      <c r="D58" s="83"/>
      <c r="E58" s="83"/>
      <c r="F58" s="115"/>
      <c r="G58" s="115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3"/>
      <c r="Y58" s="83"/>
      <c r="Z58" s="83"/>
      <c r="AA58" s="83"/>
      <c r="AB58" s="83"/>
      <c r="AC58" s="83"/>
      <c r="AD58" s="83"/>
      <c r="AE58" s="83"/>
      <c r="AF58" s="83"/>
      <c r="AG58" s="83"/>
      <c r="AH58" s="83"/>
      <c r="AI58" s="83"/>
      <c r="AJ58" s="83"/>
      <c r="AK58" s="83"/>
      <c r="AL58" s="83"/>
      <c r="AM58" s="125">
        <f t="shared" ref="AM58:AO58" si="25">AM57*1</f>
        <v>0</v>
      </c>
      <c r="AN58" s="125">
        <f t="shared" si="25"/>
        <v>0</v>
      </c>
      <c r="AO58" s="125">
        <f t="shared" si="25"/>
        <v>0</v>
      </c>
      <c r="AP58" s="125">
        <f>AP57*1</f>
        <v>1</v>
      </c>
      <c r="AQ58" s="125">
        <f t="shared" ref="AQ58:CE58" si="26">AQ57*1</f>
        <v>1</v>
      </c>
      <c r="AR58" s="125">
        <f t="shared" si="26"/>
        <v>3</v>
      </c>
      <c r="AS58" s="125">
        <f t="shared" si="26"/>
        <v>3</v>
      </c>
      <c r="AT58" s="125">
        <f t="shared" si="26"/>
        <v>3</v>
      </c>
      <c r="AU58" s="125">
        <f t="shared" si="26"/>
        <v>5</v>
      </c>
      <c r="AV58" s="125">
        <f t="shared" si="26"/>
        <v>6</v>
      </c>
      <c r="AW58" s="125">
        <f t="shared" si="26"/>
        <v>6</v>
      </c>
      <c r="AX58" s="125">
        <f t="shared" si="26"/>
        <v>7</v>
      </c>
      <c r="AY58" s="125">
        <f t="shared" si="26"/>
        <v>8.237373737373737</v>
      </c>
      <c r="AZ58" s="125">
        <f t="shared" si="26"/>
        <v>9.267783094098883</v>
      </c>
      <c r="BA58" s="125">
        <f t="shared" si="26"/>
        <v>7.2344497607655498</v>
      </c>
      <c r="BB58" s="125">
        <f t="shared" si="26"/>
        <v>7.2344497607655498</v>
      </c>
      <c r="BC58" s="125">
        <f t="shared" si="26"/>
        <v>7.2344497607655498</v>
      </c>
      <c r="BD58" s="125">
        <f t="shared" si="26"/>
        <v>7.2344497607655498</v>
      </c>
      <c r="BE58" s="125">
        <f t="shared" si="26"/>
        <v>7.2344497607655498</v>
      </c>
      <c r="BF58" s="125">
        <f t="shared" si="26"/>
        <v>9.2205608718766605</v>
      </c>
      <c r="BG58" s="125">
        <f t="shared" si="26"/>
        <v>9.2205608718766605</v>
      </c>
      <c r="BH58" s="125">
        <f t="shared" si="26"/>
        <v>9.2205608718766605</v>
      </c>
      <c r="BI58" s="125">
        <f t="shared" si="26"/>
        <v>9.2205608718766605</v>
      </c>
      <c r="BJ58" s="125">
        <f t="shared" si="26"/>
        <v>9.2205608718766605</v>
      </c>
      <c r="BK58" s="125">
        <f t="shared" si="26"/>
        <v>8.2205608718766605</v>
      </c>
      <c r="BL58" s="125">
        <f t="shared" si="26"/>
        <v>9.2523069036226921</v>
      </c>
      <c r="BM58" s="125">
        <f t="shared" si="26"/>
        <v>9.2205608718766605</v>
      </c>
      <c r="BN58" s="125">
        <f t="shared" si="26"/>
        <v>9.2205608718766605</v>
      </c>
      <c r="BO58" s="125">
        <f t="shared" si="26"/>
        <v>8.2205608718766605</v>
      </c>
      <c r="BP58" s="125">
        <f t="shared" si="26"/>
        <v>8.2205608718766605</v>
      </c>
      <c r="BQ58" s="125">
        <f t="shared" si="26"/>
        <v>8.2205608718766605</v>
      </c>
      <c r="BR58" s="125">
        <f t="shared" si="26"/>
        <v>8.2205608718766605</v>
      </c>
      <c r="BS58" s="125">
        <f t="shared" si="26"/>
        <v>6.2234848484848477</v>
      </c>
      <c r="BT58" s="125">
        <f t="shared" si="26"/>
        <v>6.2234848484848477</v>
      </c>
      <c r="BU58" s="125">
        <f t="shared" si="26"/>
        <v>4.9861111111111107</v>
      </c>
      <c r="BV58" s="125">
        <f t="shared" si="26"/>
        <v>4.9861111111111107</v>
      </c>
      <c r="BW58" s="125">
        <f t="shared" si="26"/>
        <v>4.9861111111111107</v>
      </c>
      <c r="BX58" s="125">
        <f t="shared" si="26"/>
        <v>4.9861111111111107</v>
      </c>
      <c r="BY58" s="125">
        <f t="shared" si="26"/>
        <v>4.9861111111111107</v>
      </c>
      <c r="BZ58" s="125">
        <f t="shared" si="26"/>
        <v>0</v>
      </c>
      <c r="CA58" s="125">
        <f t="shared" si="26"/>
        <v>0</v>
      </c>
      <c r="CB58" s="125">
        <f t="shared" si="26"/>
        <v>0</v>
      </c>
      <c r="CC58" s="125">
        <f t="shared" si="26"/>
        <v>0</v>
      </c>
      <c r="CD58" s="125">
        <f t="shared" si="26"/>
        <v>0</v>
      </c>
      <c r="CE58" s="125">
        <f t="shared" si="26"/>
        <v>0</v>
      </c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</row>
    <row r="59" spans="1:94" ht="65.25" customHeight="1" x14ac:dyDescent="0.25">
      <c r="A59" s="117" t="s">
        <v>136</v>
      </c>
      <c r="B59" s="113"/>
      <c r="C59" s="114"/>
      <c r="D59" s="83"/>
      <c r="E59" s="83"/>
      <c r="F59" s="115"/>
      <c r="G59" s="115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3"/>
      <c r="AK59" s="83"/>
      <c r="AL59" s="83"/>
      <c r="AM59" s="125">
        <f t="shared" ref="AM59:AO59" si="27">AM57*2</f>
        <v>0</v>
      </c>
      <c r="AN59" s="125">
        <f t="shared" si="27"/>
        <v>0</v>
      </c>
      <c r="AO59" s="125">
        <f t="shared" si="27"/>
        <v>0</v>
      </c>
      <c r="AP59" s="125">
        <f>AP57*2</f>
        <v>2</v>
      </c>
      <c r="AQ59" s="125">
        <f t="shared" ref="AQ59:CE59" si="28">AQ57*2</f>
        <v>2</v>
      </c>
      <c r="AR59" s="125">
        <f t="shared" si="28"/>
        <v>6</v>
      </c>
      <c r="AS59" s="125">
        <f t="shared" si="28"/>
        <v>6</v>
      </c>
      <c r="AT59" s="125">
        <f t="shared" si="28"/>
        <v>6</v>
      </c>
      <c r="AU59" s="125">
        <f t="shared" si="28"/>
        <v>10</v>
      </c>
      <c r="AV59" s="125">
        <f t="shared" si="28"/>
        <v>12</v>
      </c>
      <c r="AW59" s="125">
        <f t="shared" si="28"/>
        <v>12</v>
      </c>
      <c r="AX59" s="125">
        <f t="shared" si="28"/>
        <v>14</v>
      </c>
      <c r="AY59" s="125">
        <f t="shared" si="28"/>
        <v>16.474747474747474</v>
      </c>
      <c r="AZ59" s="125">
        <f t="shared" si="28"/>
        <v>18.535566188197766</v>
      </c>
      <c r="BA59" s="125">
        <f t="shared" si="28"/>
        <v>14.4688995215311</v>
      </c>
      <c r="BB59" s="125">
        <f t="shared" si="28"/>
        <v>14.4688995215311</v>
      </c>
      <c r="BC59" s="125">
        <f t="shared" si="28"/>
        <v>14.4688995215311</v>
      </c>
      <c r="BD59" s="125">
        <f t="shared" si="28"/>
        <v>14.4688995215311</v>
      </c>
      <c r="BE59" s="125">
        <f t="shared" si="28"/>
        <v>14.4688995215311</v>
      </c>
      <c r="BF59" s="125">
        <f t="shared" si="28"/>
        <v>18.441121743753321</v>
      </c>
      <c r="BG59" s="125">
        <f t="shared" si="28"/>
        <v>18.441121743753321</v>
      </c>
      <c r="BH59" s="125">
        <f t="shared" si="28"/>
        <v>18.441121743753321</v>
      </c>
      <c r="BI59" s="125">
        <f t="shared" si="28"/>
        <v>18.441121743753321</v>
      </c>
      <c r="BJ59" s="125">
        <f t="shared" si="28"/>
        <v>18.441121743753321</v>
      </c>
      <c r="BK59" s="125">
        <f t="shared" si="28"/>
        <v>16.441121743753321</v>
      </c>
      <c r="BL59" s="125">
        <f t="shared" si="28"/>
        <v>18.504613807245384</v>
      </c>
      <c r="BM59" s="125">
        <f t="shared" si="28"/>
        <v>18.441121743753321</v>
      </c>
      <c r="BN59" s="125">
        <f t="shared" si="28"/>
        <v>18.441121743753321</v>
      </c>
      <c r="BO59" s="125">
        <f t="shared" si="28"/>
        <v>16.441121743753321</v>
      </c>
      <c r="BP59" s="125">
        <f t="shared" si="28"/>
        <v>16.441121743753321</v>
      </c>
      <c r="BQ59" s="125">
        <f t="shared" si="28"/>
        <v>16.441121743753321</v>
      </c>
      <c r="BR59" s="125">
        <f t="shared" si="28"/>
        <v>16.441121743753321</v>
      </c>
      <c r="BS59" s="125">
        <f t="shared" si="28"/>
        <v>12.446969696969695</v>
      </c>
      <c r="BT59" s="125">
        <f t="shared" si="28"/>
        <v>12.446969696969695</v>
      </c>
      <c r="BU59" s="125">
        <f t="shared" si="28"/>
        <v>9.9722222222222214</v>
      </c>
      <c r="BV59" s="125">
        <f t="shared" si="28"/>
        <v>9.9722222222222214</v>
      </c>
      <c r="BW59" s="125">
        <f t="shared" si="28"/>
        <v>9.9722222222222214</v>
      </c>
      <c r="BX59" s="125">
        <f t="shared" si="28"/>
        <v>9.9722222222222214</v>
      </c>
      <c r="BY59" s="125">
        <f t="shared" si="28"/>
        <v>9.9722222222222214</v>
      </c>
      <c r="BZ59" s="125">
        <f t="shared" si="28"/>
        <v>0</v>
      </c>
      <c r="CA59" s="125">
        <f t="shared" si="28"/>
        <v>0</v>
      </c>
      <c r="CB59" s="125">
        <f t="shared" si="28"/>
        <v>0</v>
      </c>
      <c r="CC59" s="125">
        <f t="shared" si="28"/>
        <v>0</v>
      </c>
      <c r="CD59" s="125">
        <f t="shared" si="28"/>
        <v>0</v>
      </c>
      <c r="CE59" s="125">
        <f t="shared" si="28"/>
        <v>0</v>
      </c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</row>
    <row r="60" spans="1:94" ht="65.25" customHeight="1" x14ac:dyDescent="0.25">
      <c r="A60" s="117" t="s">
        <v>137</v>
      </c>
      <c r="B60" s="113"/>
      <c r="C60" s="114"/>
      <c r="D60" s="83"/>
      <c r="E60" s="83"/>
      <c r="F60" s="115"/>
      <c r="G60" s="115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125">
        <f t="shared" ref="AM60:AO60" si="29">3*AM57</f>
        <v>0</v>
      </c>
      <c r="AN60" s="125">
        <f t="shared" si="29"/>
        <v>0</v>
      </c>
      <c r="AO60" s="125">
        <f t="shared" si="29"/>
        <v>0</v>
      </c>
      <c r="AP60" s="125">
        <f>3*AP57</f>
        <v>3</v>
      </c>
      <c r="AQ60" s="125">
        <f t="shared" ref="AQ60:CE60" si="30">3*AQ57</f>
        <v>3</v>
      </c>
      <c r="AR60" s="125">
        <f t="shared" si="30"/>
        <v>9</v>
      </c>
      <c r="AS60" s="125">
        <f t="shared" si="30"/>
        <v>9</v>
      </c>
      <c r="AT60" s="125">
        <f t="shared" si="30"/>
        <v>9</v>
      </c>
      <c r="AU60" s="125">
        <f t="shared" si="30"/>
        <v>15</v>
      </c>
      <c r="AV60" s="125">
        <f t="shared" si="30"/>
        <v>18</v>
      </c>
      <c r="AW60" s="125">
        <f t="shared" si="30"/>
        <v>18</v>
      </c>
      <c r="AX60" s="125">
        <f t="shared" si="30"/>
        <v>21</v>
      </c>
      <c r="AY60" s="125">
        <f t="shared" si="30"/>
        <v>24.712121212121211</v>
      </c>
      <c r="AZ60" s="125">
        <f t="shared" si="30"/>
        <v>27.803349282296651</v>
      </c>
      <c r="BA60" s="125">
        <f t="shared" si="30"/>
        <v>21.703349282296649</v>
      </c>
      <c r="BB60" s="125">
        <f t="shared" si="30"/>
        <v>21.703349282296649</v>
      </c>
      <c r="BC60" s="125">
        <f t="shared" si="30"/>
        <v>21.703349282296649</v>
      </c>
      <c r="BD60" s="125">
        <f t="shared" si="30"/>
        <v>21.703349282296649</v>
      </c>
      <c r="BE60" s="125">
        <f t="shared" si="30"/>
        <v>21.703349282296649</v>
      </c>
      <c r="BF60" s="125">
        <f t="shared" si="30"/>
        <v>27.661682615629982</v>
      </c>
      <c r="BG60" s="125">
        <f t="shared" si="30"/>
        <v>27.661682615629982</v>
      </c>
      <c r="BH60" s="125">
        <f t="shared" si="30"/>
        <v>27.661682615629982</v>
      </c>
      <c r="BI60" s="125">
        <f t="shared" si="30"/>
        <v>27.661682615629982</v>
      </c>
      <c r="BJ60" s="125">
        <f t="shared" si="30"/>
        <v>27.661682615629982</v>
      </c>
      <c r="BK60" s="125">
        <f t="shared" si="30"/>
        <v>24.661682615629982</v>
      </c>
      <c r="BL60" s="125">
        <f t="shared" si="30"/>
        <v>27.756920710868076</v>
      </c>
      <c r="BM60" s="125">
        <f t="shared" si="30"/>
        <v>27.661682615629982</v>
      </c>
      <c r="BN60" s="125">
        <f t="shared" si="30"/>
        <v>27.661682615629982</v>
      </c>
      <c r="BO60" s="125">
        <f t="shared" si="30"/>
        <v>24.661682615629982</v>
      </c>
      <c r="BP60" s="125">
        <f t="shared" si="30"/>
        <v>24.661682615629982</v>
      </c>
      <c r="BQ60" s="125">
        <f t="shared" si="30"/>
        <v>24.661682615629982</v>
      </c>
      <c r="BR60" s="125">
        <f t="shared" si="30"/>
        <v>24.661682615629982</v>
      </c>
      <c r="BS60" s="125">
        <f t="shared" si="30"/>
        <v>18.670454545454543</v>
      </c>
      <c r="BT60" s="125">
        <f t="shared" si="30"/>
        <v>18.670454545454543</v>
      </c>
      <c r="BU60" s="125">
        <f t="shared" si="30"/>
        <v>14.958333333333332</v>
      </c>
      <c r="BV60" s="125">
        <f t="shared" si="30"/>
        <v>14.958333333333332</v>
      </c>
      <c r="BW60" s="125">
        <f t="shared" si="30"/>
        <v>14.958333333333332</v>
      </c>
      <c r="BX60" s="125">
        <f t="shared" si="30"/>
        <v>14.958333333333332</v>
      </c>
      <c r="BY60" s="125">
        <f t="shared" si="30"/>
        <v>14.958333333333332</v>
      </c>
      <c r="BZ60" s="125">
        <f t="shared" si="30"/>
        <v>0</v>
      </c>
      <c r="CA60" s="125">
        <f t="shared" si="30"/>
        <v>0</v>
      </c>
      <c r="CB60" s="125">
        <f t="shared" si="30"/>
        <v>0</v>
      </c>
      <c r="CC60" s="125">
        <f t="shared" si="30"/>
        <v>0</v>
      </c>
      <c r="CD60" s="125">
        <f t="shared" si="30"/>
        <v>0</v>
      </c>
      <c r="CE60" s="125">
        <f t="shared" si="30"/>
        <v>0</v>
      </c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</row>
    <row r="61" spans="1:94" ht="65.25" customHeight="1" x14ac:dyDescent="0.25">
      <c r="A61" s="117" t="s">
        <v>138</v>
      </c>
      <c r="B61" s="113"/>
      <c r="C61" s="114"/>
      <c r="D61" s="83"/>
      <c r="E61" s="83"/>
      <c r="F61" s="115"/>
      <c r="G61" s="115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125">
        <f t="shared" ref="AM61:AO61" si="31">AM58</f>
        <v>0</v>
      </c>
      <c r="AN61" s="125">
        <f t="shared" si="31"/>
        <v>0</v>
      </c>
      <c r="AO61" s="125">
        <f t="shared" si="31"/>
        <v>0</v>
      </c>
      <c r="AP61" s="125">
        <f>AP58</f>
        <v>1</v>
      </c>
      <c r="AQ61" s="125">
        <f t="shared" ref="AQ61:CE61" si="32">AQ58</f>
        <v>1</v>
      </c>
      <c r="AR61" s="125">
        <f t="shared" si="32"/>
        <v>3</v>
      </c>
      <c r="AS61" s="125">
        <f t="shared" si="32"/>
        <v>3</v>
      </c>
      <c r="AT61" s="125">
        <f t="shared" si="32"/>
        <v>3</v>
      </c>
      <c r="AU61" s="125">
        <f t="shared" si="32"/>
        <v>5</v>
      </c>
      <c r="AV61" s="125">
        <f t="shared" si="32"/>
        <v>6</v>
      </c>
      <c r="AW61" s="125">
        <f t="shared" si="32"/>
        <v>6</v>
      </c>
      <c r="AX61" s="125">
        <f t="shared" si="32"/>
        <v>7</v>
      </c>
      <c r="AY61" s="125">
        <f t="shared" si="32"/>
        <v>8.237373737373737</v>
      </c>
      <c r="AZ61" s="125">
        <f t="shared" si="32"/>
        <v>9.267783094098883</v>
      </c>
      <c r="BA61" s="125">
        <f t="shared" si="32"/>
        <v>7.2344497607655498</v>
      </c>
      <c r="BB61" s="125">
        <f t="shared" si="32"/>
        <v>7.2344497607655498</v>
      </c>
      <c r="BC61" s="125">
        <f t="shared" si="32"/>
        <v>7.2344497607655498</v>
      </c>
      <c r="BD61" s="125">
        <f t="shared" si="32"/>
        <v>7.2344497607655498</v>
      </c>
      <c r="BE61" s="125">
        <f t="shared" si="32"/>
        <v>7.2344497607655498</v>
      </c>
      <c r="BF61" s="125">
        <f t="shared" si="32"/>
        <v>9.2205608718766605</v>
      </c>
      <c r="BG61" s="125">
        <f t="shared" si="32"/>
        <v>9.2205608718766605</v>
      </c>
      <c r="BH61" s="125">
        <f t="shared" si="32"/>
        <v>9.2205608718766605</v>
      </c>
      <c r="BI61" s="125">
        <f t="shared" si="32"/>
        <v>9.2205608718766605</v>
      </c>
      <c r="BJ61" s="125">
        <f t="shared" si="32"/>
        <v>9.2205608718766605</v>
      </c>
      <c r="BK61" s="125">
        <f t="shared" si="32"/>
        <v>8.2205608718766605</v>
      </c>
      <c r="BL61" s="125">
        <f t="shared" si="32"/>
        <v>9.2523069036226921</v>
      </c>
      <c r="BM61" s="125">
        <f t="shared" si="32"/>
        <v>9.2205608718766605</v>
      </c>
      <c r="BN61" s="125">
        <f t="shared" si="32"/>
        <v>9.2205608718766605</v>
      </c>
      <c r="BO61" s="125">
        <f t="shared" si="32"/>
        <v>8.2205608718766605</v>
      </c>
      <c r="BP61" s="125">
        <f t="shared" si="32"/>
        <v>8.2205608718766605</v>
      </c>
      <c r="BQ61" s="125">
        <f t="shared" si="32"/>
        <v>8.2205608718766605</v>
      </c>
      <c r="BR61" s="125">
        <f t="shared" si="32"/>
        <v>8.2205608718766605</v>
      </c>
      <c r="BS61" s="125">
        <f t="shared" si="32"/>
        <v>6.2234848484848477</v>
      </c>
      <c r="BT61" s="125">
        <f t="shared" si="32"/>
        <v>6.2234848484848477</v>
      </c>
      <c r="BU61" s="125">
        <f t="shared" si="32"/>
        <v>4.9861111111111107</v>
      </c>
      <c r="BV61" s="125">
        <f t="shared" si="32"/>
        <v>4.9861111111111107</v>
      </c>
      <c r="BW61" s="125">
        <f t="shared" si="32"/>
        <v>4.9861111111111107</v>
      </c>
      <c r="BX61" s="125">
        <f t="shared" si="32"/>
        <v>4.9861111111111107</v>
      </c>
      <c r="BY61" s="125">
        <f t="shared" si="32"/>
        <v>4.9861111111111107</v>
      </c>
      <c r="BZ61" s="125">
        <f t="shared" si="32"/>
        <v>0</v>
      </c>
      <c r="CA61" s="125">
        <f t="shared" si="32"/>
        <v>0</v>
      </c>
      <c r="CB61" s="125">
        <f t="shared" si="32"/>
        <v>0</v>
      </c>
      <c r="CC61" s="125">
        <f t="shared" si="32"/>
        <v>0</v>
      </c>
      <c r="CD61" s="125">
        <f t="shared" si="32"/>
        <v>0</v>
      </c>
      <c r="CE61" s="125">
        <f t="shared" si="32"/>
        <v>0</v>
      </c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</row>
    <row r="62" spans="1:94" ht="65.25" customHeight="1" x14ac:dyDescent="0.25">
      <c r="A62" s="117" t="s">
        <v>139</v>
      </c>
      <c r="B62" s="113"/>
      <c r="C62" s="114"/>
      <c r="D62" s="83"/>
      <c r="E62" s="83"/>
      <c r="F62" s="115"/>
      <c r="G62" s="115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125">
        <f t="shared" ref="AM62:AO62" si="33">AM57</f>
        <v>0</v>
      </c>
      <c r="AN62" s="125">
        <f t="shared" si="33"/>
        <v>0</v>
      </c>
      <c r="AO62" s="125">
        <f t="shared" si="33"/>
        <v>0</v>
      </c>
      <c r="AP62" s="125">
        <f>AP57</f>
        <v>1</v>
      </c>
      <c r="AQ62" s="125">
        <f t="shared" ref="AQ62:CE62" si="34">AQ57</f>
        <v>1</v>
      </c>
      <c r="AR62" s="125">
        <f t="shared" si="34"/>
        <v>3</v>
      </c>
      <c r="AS62" s="125">
        <f t="shared" si="34"/>
        <v>3</v>
      </c>
      <c r="AT62" s="125">
        <f t="shared" si="34"/>
        <v>3</v>
      </c>
      <c r="AU62" s="125">
        <f t="shared" si="34"/>
        <v>5</v>
      </c>
      <c r="AV62" s="125">
        <f t="shared" si="34"/>
        <v>6</v>
      </c>
      <c r="AW62" s="125">
        <f t="shared" si="34"/>
        <v>6</v>
      </c>
      <c r="AX62" s="125">
        <f t="shared" si="34"/>
        <v>7</v>
      </c>
      <c r="AY62" s="125">
        <f t="shared" si="34"/>
        <v>8.237373737373737</v>
      </c>
      <c r="AZ62" s="125">
        <f t="shared" si="34"/>
        <v>9.267783094098883</v>
      </c>
      <c r="BA62" s="125">
        <f t="shared" si="34"/>
        <v>7.2344497607655498</v>
      </c>
      <c r="BB62" s="125">
        <f t="shared" si="34"/>
        <v>7.2344497607655498</v>
      </c>
      <c r="BC62" s="125">
        <f t="shared" si="34"/>
        <v>7.2344497607655498</v>
      </c>
      <c r="BD62" s="125">
        <f t="shared" si="34"/>
        <v>7.2344497607655498</v>
      </c>
      <c r="BE62" s="125">
        <f t="shared" si="34"/>
        <v>7.2344497607655498</v>
      </c>
      <c r="BF62" s="125">
        <f t="shared" si="34"/>
        <v>9.2205608718766605</v>
      </c>
      <c r="BG62" s="125">
        <f t="shared" si="34"/>
        <v>9.2205608718766605</v>
      </c>
      <c r="BH62" s="125">
        <f t="shared" si="34"/>
        <v>9.2205608718766605</v>
      </c>
      <c r="BI62" s="125">
        <f t="shared" si="34"/>
        <v>9.2205608718766605</v>
      </c>
      <c r="BJ62" s="125">
        <f t="shared" si="34"/>
        <v>9.2205608718766605</v>
      </c>
      <c r="BK62" s="125">
        <f t="shared" si="34"/>
        <v>8.2205608718766605</v>
      </c>
      <c r="BL62" s="125">
        <f t="shared" si="34"/>
        <v>9.2523069036226921</v>
      </c>
      <c r="BM62" s="125">
        <f t="shared" si="34"/>
        <v>9.2205608718766605</v>
      </c>
      <c r="BN62" s="125">
        <f t="shared" si="34"/>
        <v>9.2205608718766605</v>
      </c>
      <c r="BO62" s="125">
        <f t="shared" si="34"/>
        <v>8.2205608718766605</v>
      </c>
      <c r="BP62" s="125">
        <f t="shared" si="34"/>
        <v>8.2205608718766605</v>
      </c>
      <c r="BQ62" s="125">
        <f t="shared" si="34"/>
        <v>8.2205608718766605</v>
      </c>
      <c r="BR62" s="125">
        <f t="shared" si="34"/>
        <v>8.2205608718766605</v>
      </c>
      <c r="BS62" s="125">
        <f t="shared" si="34"/>
        <v>6.2234848484848477</v>
      </c>
      <c r="BT62" s="125">
        <f t="shared" si="34"/>
        <v>6.2234848484848477</v>
      </c>
      <c r="BU62" s="125">
        <f t="shared" si="34"/>
        <v>4.9861111111111107</v>
      </c>
      <c r="BV62" s="125">
        <f t="shared" si="34"/>
        <v>4.9861111111111107</v>
      </c>
      <c r="BW62" s="125">
        <f t="shared" si="34"/>
        <v>4.9861111111111107</v>
      </c>
      <c r="BX62" s="125">
        <f t="shared" si="34"/>
        <v>4.9861111111111107</v>
      </c>
      <c r="BY62" s="125">
        <f t="shared" si="34"/>
        <v>4.9861111111111107</v>
      </c>
      <c r="BZ62" s="125">
        <f t="shared" si="34"/>
        <v>0</v>
      </c>
      <c r="CA62" s="125">
        <f t="shared" si="34"/>
        <v>0</v>
      </c>
      <c r="CB62" s="125">
        <f t="shared" si="34"/>
        <v>0</v>
      </c>
      <c r="CC62" s="125">
        <f t="shared" si="34"/>
        <v>0</v>
      </c>
      <c r="CD62" s="125">
        <f t="shared" si="34"/>
        <v>0</v>
      </c>
      <c r="CE62" s="125">
        <f t="shared" si="34"/>
        <v>0</v>
      </c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</row>
    <row r="63" spans="1:94" ht="65.25" customHeight="1" x14ac:dyDescent="0.25">
      <c r="A63" s="117" t="s">
        <v>140</v>
      </c>
      <c r="B63" s="113"/>
      <c r="C63" s="114"/>
      <c r="D63" s="83"/>
      <c r="E63" s="83"/>
      <c r="F63" s="115"/>
      <c r="G63" s="115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3"/>
      <c r="Y63" s="83"/>
      <c r="Z63" s="83"/>
      <c r="AA63" s="83"/>
      <c r="AB63" s="83"/>
      <c r="AC63" s="83"/>
      <c r="AD63" s="83"/>
      <c r="AE63" s="83"/>
      <c r="AF63" s="83"/>
      <c r="AG63" s="83"/>
      <c r="AH63" s="83"/>
      <c r="AI63" s="83"/>
      <c r="AJ63" s="83"/>
      <c r="AK63" s="83"/>
      <c r="AL63" s="83"/>
      <c r="AM63" s="125">
        <f t="shared" ref="AM63:AO63" si="35">AM61</f>
        <v>0</v>
      </c>
      <c r="AN63" s="125">
        <f t="shared" si="35"/>
        <v>0</v>
      </c>
      <c r="AO63" s="125">
        <f t="shared" si="35"/>
        <v>0</v>
      </c>
      <c r="AP63" s="125">
        <f>AP61</f>
        <v>1</v>
      </c>
      <c r="AQ63" s="125">
        <f t="shared" ref="AQ63:CE63" si="36">AQ61</f>
        <v>1</v>
      </c>
      <c r="AR63" s="125">
        <f t="shared" si="36"/>
        <v>3</v>
      </c>
      <c r="AS63" s="125">
        <f t="shared" si="36"/>
        <v>3</v>
      </c>
      <c r="AT63" s="125">
        <f t="shared" si="36"/>
        <v>3</v>
      </c>
      <c r="AU63" s="125">
        <f t="shared" si="36"/>
        <v>5</v>
      </c>
      <c r="AV63" s="125">
        <f t="shared" si="36"/>
        <v>6</v>
      </c>
      <c r="AW63" s="125">
        <f t="shared" si="36"/>
        <v>6</v>
      </c>
      <c r="AX63" s="125">
        <f t="shared" si="36"/>
        <v>7</v>
      </c>
      <c r="AY63" s="125">
        <f t="shared" si="36"/>
        <v>8.237373737373737</v>
      </c>
      <c r="AZ63" s="125">
        <f t="shared" si="36"/>
        <v>9.267783094098883</v>
      </c>
      <c r="BA63" s="125">
        <f t="shared" si="36"/>
        <v>7.2344497607655498</v>
      </c>
      <c r="BB63" s="125">
        <f t="shared" si="36"/>
        <v>7.2344497607655498</v>
      </c>
      <c r="BC63" s="125">
        <f t="shared" si="36"/>
        <v>7.2344497607655498</v>
      </c>
      <c r="BD63" s="125">
        <f t="shared" si="36"/>
        <v>7.2344497607655498</v>
      </c>
      <c r="BE63" s="125">
        <f t="shared" si="36"/>
        <v>7.2344497607655498</v>
      </c>
      <c r="BF63" s="125">
        <f t="shared" si="36"/>
        <v>9.2205608718766605</v>
      </c>
      <c r="BG63" s="125">
        <f t="shared" si="36"/>
        <v>9.2205608718766605</v>
      </c>
      <c r="BH63" s="125">
        <f t="shared" si="36"/>
        <v>9.2205608718766605</v>
      </c>
      <c r="BI63" s="125">
        <f t="shared" si="36"/>
        <v>9.2205608718766605</v>
      </c>
      <c r="BJ63" s="125">
        <f t="shared" si="36"/>
        <v>9.2205608718766605</v>
      </c>
      <c r="BK63" s="125">
        <f t="shared" si="36"/>
        <v>8.2205608718766605</v>
      </c>
      <c r="BL63" s="125">
        <f t="shared" si="36"/>
        <v>9.2523069036226921</v>
      </c>
      <c r="BM63" s="125">
        <f t="shared" si="36"/>
        <v>9.2205608718766605</v>
      </c>
      <c r="BN63" s="125">
        <f t="shared" si="36"/>
        <v>9.2205608718766605</v>
      </c>
      <c r="BO63" s="125">
        <f t="shared" si="36"/>
        <v>8.2205608718766605</v>
      </c>
      <c r="BP63" s="125">
        <f t="shared" si="36"/>
        <v>8.2205608718766605</v>
      </c>
      <c r="BQ63" s="125">
        <f t="shared" si="36"/>
        <v>8.2205608718766605</v>
      </c>
      <c r="BR63" s="125">
        <f t="shared" si="36"/>
        <v>8.2205608718766605</v>
      </c>
      <c r="BS63" s="125">
        <f t="shared" si="36"/>
        <v>6.2234848484848477</v>
      </c>
      <c r="BT63" s="125">
        <f t="shared" si="36"/>
        <v>6.2234848484848477</v>
      </c>
      <c r="BU63" s="125">
        <f t="shared" si="36"/>
        <v>4.9861111111111107</v>
      </c>
      <c r="BV63" s="125">
        <f t="shared" si="36"/>
        <v>4.9861111111111107</v>
      </c>
      <c r="BW63" s="125">
        <f t="shared" si="36"/>
        <v>4.9861111111111107</v>
      </c>
      <c r="BX63" s="125">
        <f t="shared" si="36"/>
        <v>4.9861111111111107</v>
      </c>
      <c r="BY63" s="125">
        <f t="shared" si="36"/>
        <v>4.9861111111111107</v>
      </c>
      <c r="BZ63" s="125">
        <f t="shared" si="36"/>
        <v>0</v>
      </c>
      <c r="CA63" s="125">
        <f t="shared" si="36"/>
        <v>0</v>
      </c>
      <c r="CB63" s="125">
        <f t="shared" si="36"/>
        <v>0</v>
      </c>
      <c r="CC63" s="125">
        <f t="shared" si="36"/>
        <v>0</v>
      </c>
      <c r="CD63" s="125">
        <f t="shared" si="36"/>
        <v>0</v>
      </c>
      <c r="CE63" s="125">
        <f t="shared" si="36"/>
        <v>0</v>
      </c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</row>
    <row r="64" spans="1:94" ht="108.75" customHeight="1" x14ac:dyDescent="0.25">
      <c r="A64" s="122" t="s">
        <v>141</v>
      </c>
      <c r="B64" s="118"/>
      <c r="C64" s="119"/>
      <c r="D64" s="120"/>
      <c r="E64" s="120"/>
      <c r="F64" s="121"/>
      <c r="G64" s="121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3"/>
      <c r="Y64" s="83"/>
      <c r="Z64" s="83"/>
      <c r="AA64" s="83"/>
      <c r="AB64" s="83"/>
      <c r="AC64" s="83"/>
      <c r="AD64" s="83"/>
      <c r="AE64" s="83"/>
      <c r="AF64" s="83"/>
      <c r="AG64" s="83"/>
      <c r="AH64" s="83"/>
      <c r="AI64" s="83"/>
      <c r="AJ64" s="83"/>
      <c r="AK64" s="83"/>
      <c r="AL64" s="83"/>
      <c r="AM64" s="128"/>
      <c r="AN64" s="128"/>
      <c r="AO64" s="128"/>
      <c r="AP64" s="128">
        <f>AP57*3</f>
        <v>3</v>
      </c>
      <c r="AQ64" s="128">
        <f t="shared" ref="AQ64:BZ64" si="37">AQ57*3</f>
        <v>3</v>
      </c>
      <c r="AR64" s="128">
        <f t="shared" si="37"/>
        <v>9</v>
      </c>
      <c r="AS64" s="128">
        <f t="shared" si="37"/>
        <v>9</v>
      </c>
      <c r="AT64" s="128">
        <f t="shared" si="37"/>
        <v>9</v>
      </c>
      <c r="AU64" s="128">
        <f t="shared" si="37"/>
        <v>15</v>
      </c>
      <c r="AV64" s="128">
        <f t="shared" si="37"/>
        <v>18</v>
      </c>
      <c r="AW64" s="128">
        <f t="shared" si="37"/>
        <v>18</v>
      </c>
      <c r="AX64" s="128">
        <f t="shared" si="37"/>
        <v>21</v>
      </c>
      <c r="AY64" s="128">
        <f t="shared" si="37"/>
        <v>24.712121212121211</v>
      </c>
      <c r="AZ64" s="128">
        <f t="shared" si="37"/>
        <v>27.803349282296651</v>
      </c>
      <c r="BA64" s="128">
        <f t="shared" si="37"/>
        <v>21.703349282296649</v>
      </c>
      <c r="BB64" s="128">
        <f t="shared" si="37"/>
        <v>21.703349282296649</v>
      </c>
      <c r="BC64" s="128">
        <f t="shared" si="37"/>
        <v>21.703349282296649</v>
      </c>
      <c r="BD64" s="128">
        <f t="shared" si="37"/>
        <v>21.703349282296649</v>
      </c>
      <c r="BE64" s="128">
        <f t="shared" si="37"/>
        <v>21.703349282296649</v>
      </c>
      <c r="BF64" s="128">
        <f t="shared" si="37"/>
        <v>27.661682615629982</v>
      </c>
      <c r="BG64" s="128">
        <f t="shared" si="37"/>
        <v>27.661682615629982</v>
      </c>
      <c r="BH64" s="128">
        <f t="shared" si="37"/>
        <v>27.661682615629982</v>
      </c>
      <c r="BI64" s="128">
        <f t="shared" si="37"/>
        <v>27.661682615629982</v>
      </c>
      <c r="BJ64" s="128">
        <f t="shared" si="37"/>
        <v>27.661682615629982</v>
      </c>
      <c r="BK64" s="128">
        <f t="shared" si="37"/>
        <v>24.661682615629982</v>
      </c>
      <c r="BL64" s="128">
        <f t="shared" si="37"/>
        <v>27.756920710868076</v>
      </c>
      <c r="BM64" s="128">
        <f t="shared" si="37"/>
        <v>27.661682615629982</v>
      </c>
      <c r="BN64" s="128">
        <f t="shared" si="37"/>
        <v>27.661682615629982</v>
      </c>
      <c r="BO64" s="128">
        <f t="shared" si="37"/>
        <v>24.661682615629982</v>
      </c>
      <c r="BP64" s="128">
        <f t="shared" si="37"/>
        <v>24.661682615629982</v>
      </c>
      <c r="BQ64" s="128">
        <f t="shared" si="37"/>
        <v>24.661682615629982</v>
      </c>
      <c r="BR64" s="128">
        <f t="shared" si="37"/>
        <v>24.661682615629982</v>
      </c>
      <c r="BS64" s="128">
        <f t="shared" si="37"/>
        <v>18.670454545454543</v>
      </c>
      <c r="BT64" s="128">
        <f t="shared" si="37"/>
        <v>18.670454545454543</v>
      </c>
      <c r="BU64" s="128">
        <f t="shared" si="37"/>
        <v>14.958333333333332</v>
      </c>
      <c r="BV64" s="128">
        <f t="shared" si="37"/>
        <v>14.958333333333332</v>
      </c>
      <c r="BW64" s="128">
        <f t="shared" si="37"/>
        <v>14.958333333333332</v>
      </c>
      <c r="BX64" s="128">
        <f t="shared" si="37"/>
        <v>14.958333333333332</v>
      </c>
      <c r="BY64" s="128">
        <f t="shared" si="37"/>
        <v>14.958333333333332</v>
      </c>
      <c r="BZ64" s="128">
        <f t="shared" si="37"/>
        <v>0</v>
      </c>
      <c r="CA64" s="128"/>
      <c r="CB64" s="128"/>
      <c r="CC64" s="128"/>
      <c r="CD64" s="128"/>
      <c r="CE64" s="128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</row>
    <row r="65" spans="1:94" ht="65.25" hidden="1" customHeight="1" x14ac:dyDescent="0.25">
      <c r="A65" s="117"/>
      <c r="B65" s="113"/>
      <c r="C65" s="114"/>
      <c r="D65" s="83"/>
      <c r="E65" s="83"/>
      <c r="F65" s="115"/>
      <c r="G65" s="115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3"/>
      <c r="Y65" s="83"/>
      <c r="Z65" s="83"/>
      <c r="AA65" s="83"/>
      <c r="AB65" s="83"/>
      <c r="AC65" s="83"/>
      <c r="AD65" s="83"/>
      <c r="AE65" s="83"/>
      <c r="AF65" s="83"/>
      <c r="AG65" s="83"/>
      <c r="AH65" s="83"/>
      <c r="AI65" s="83"/>
      <c r="AJ65" s="83"/>
      <c r="AK65" s="83"/>
      <c r="AL65" s="83"/>
      <c r="AM65" s="83"/>
      <c r="AN65" s="83"/>
      <c r="AO65" s="83"/>
      <c r="AP65" s="83"/>
      <c r="AQ65" s="83"/>
      <c r="AR65" s="83"/>
      <c r="AS65" s="83"/>
      <c r="AT65" s="83"/>
      <c r="AU65" s="83"/>
      <c r="AV65" s="83"/>
      <c r="AW65" s="83"/>
      <c r="AX65" s="83"/>
      <c r="AY65" s="83"/>
      <c r="AZ65" s="83"/>
      <c r="BA65" s="83"/>
      <c r="BB65" s="83"/>
      <c r="BC65" s="83"/>
      <c r="BD65" s="83"/>
      <c r="BE65" s="83"/>
      <c r="BF65" s="83"/>
      <c r="BG65" s="83"/>
      <c r="BH65" s="83"/>
      <c r="BI65" s="83"/>
      <c r="BJ65" s="83"/>
      <c r="BK65" s="83"/>
      <c r="BL65" s="83"/>
      <c r="BM65" s="83"/>
      <c r="BN65" s="83"/>
      <c r="BO65" s="83"/>
      <c r="BP65" s="83"/>
      <c r="BQ65" s="83"/>
      <c r="BR65" s="83"/>
      <c r="BS65" s="83"/>
      <c r="BT65" s="83"/>
      <c r="BU65" s="83"/>
      <c r="BV65" s="83"/>
      <c r="BW65" s="83"/>
      <c r="BX65" s="83"/>
      <c r="BY65" s="83"/>
      <c r="BZ65" s="83"/>
      <c r="CA65" s="84"/>
      <c r="CB65" s="84"/>
      <c r="CC65" s="84"/>
      <c r="CD65" s="84"/>
      <c r="CE65" s="84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</row>
    <row r="66" spans="1:94" ht="65.25" hidden="1" customHeight="1" x14ac:dyDescent="0.25">
      <c r="A66" s="117"/>
      <c r="B66" s="113"/>
      <c r="C66" s="114"/>
      <c r="D66" s="83"/>
      <c r="E66" s="83"/>
      <c r="F66" s="115"/>
      <c r="G66" s="115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3"/>
      <c r="Y66" s="83"/>
      <c r="Z66" s="83"/>
      <c r="AA66" s="83"/>
      <c r="AB66" s="83"/>
      <c r="AC66" s="83"/>
      <c r="AD66" s="83"/>
      <c r="AE66" s="83"/>
      <c r="AF66" s="83"/>
      <c r="AG66" s="83"/>
      <c r="AH66" s="83"/>
      <c r="AI66" s="83"/>
      <c r="AJ66" s="83"/>
      <c r="AK66" s="83"/>
      <c r="AL66" s="83"/>
      <c r="AM66" s="83"/>
      <c r="AN66" s="83"/>
      <c r="AO66" s="83"/>
      <c r="AP66" s="83"/>
      <c r="AQ66" s="83"/>
      <c r="AR66" s="84"/>
      <c r="AS66" s="84"/>
      <c r="AT66" s="84"/>
      <c r="AU66" s="84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  <c r="BN66" s="84"/>
      <c r="BO66" s="84"/>
      <c r="BP66" s="84"/>
      <c r="BQ66" s="84"/>
      <c r="BR66" s="84"/>
      <c r="BS66" s="84"/>
      <c r="BT66" s="84"/>
      <c r="BU66" s="84"/>
      <c r="BV66" s="84"/>
      <c r="BW66" s="84"/>
      <c r="BX66" s="84"/>
      <c r="BY66" s="84"/>
      <c r="BZ66" s="84"/>
      <c r="CA66" s="84"/>
      <c r="CB66" s="84"/>
      <c r="CC66" s="84"/>
      <c r="CD66" s="84"/>
      <c r="CE66" s="84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</row>
    <row r="67" spans="1:94" ht="65.25" hidden="1" customHeight="1" x14ac:dyDescent="0.25">
      <c r="A67" s="117"/>
      <c r="B67" s="113"/>
      <c r="C67" s="114"/>
      <c r="D67" s="83"/>
      <c r="E67" s="83"/>
      <c r="F67" s="115"/>
      <c r="G67" s="115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3"/>
      <c r="Y67" s="83"/>
      <c r="Z67" s="83"/>
      <c r="AA67" s="83"/>
      <c r="AB67" s="83"/>
      <c r="AC67" s="83"/>
      <c r="AD67" s="83"/>
      <c r="AE67" s="83"/>
      <c r="AF67" s="83"/>
      <c r="AG67" s="83"/>
      <c r="AH67" s="83"/>
      <c r="AI67" s="83"/>
      <c r="AJ67" s="83"/>
      <c r="AK67" s="83"/>
      <c r="AL67" s="83"/>
      <c r="AM67" s="83"/>
      <c r="AN67" s="83"/>
      <c r="AO67" s="83"/>
      <c r="AP67" s="83"/>
      <c r="AQ67" s="83"/>
      <c r="AR67" s="84"/>
      <c r="AS67" s="84"/>
      <c r="AT67" s="84"/>
      <c r="AU67" s="84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  <c r="BP67" s="84"/>
      <c r="BQ67" s="84"/>
      <c r="BR67" s="84"/>
      <c r="BS67" s="84"/>
      <c r="BT67" s="84"/>
      <c r="BU67" s="84"/>
      <c r="BV67" s="84"/>
      <c r="BW67" s="84"/>
      <c r="BX67" s="84"/>
      <c r="BY67" s="84"/>
      <c r="BZ67" s="84"/>
      <c r="CA67" s="84"/>
      <c r="CB67" s="84"/>
      <c r="CC67" s="84"/>
      <c r="CD67" s="84"/>
      <c r="CE67" s="84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</row>
    <row r="68" spans="1:94" x14ac:dyDescent="0.25">
      <c r="A68" s="40"/>
      <c r="B68" s="40"/>
      <c r="C68" s="41"/>
      <c r="D68" s="42"/>
      <c r="E68" s="42"/>
      <c r="F68" s="92"/>
      <c r="G68" s="9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  <c r="CA68" s="43"/>
      <c r="CB68" s="43"/>
      <c r="CC68" s="4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</row>
    <row r="69" spans="1:94" x14ac:dyDescent="0.25">
      <c r="A69" s="40"/>
      <c r="B69" s="40"/>
      <c r="C69" s="41"/>
      <c r="D69" s="42"/>
      <c r="E69" s="42"/>
      <c r="F69" s="92"/>
      <c r="G69" s="9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43"/>
      <c r="BO69" s="43"/>
      <c r="BP69" s="43"/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  <c r="CC69" s="4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</row>
    <row r="70" spans="1:94" x14ac:dyDescent="0.25">
      <c r="A70" s="40"/>
      <c r="B70" s="40"/>
      <c r="C70" s="41"/>
      <c r="D70" s="42"/>
      <c r="E70" s="42"/>
      <c r="F70" s="92"/>
      <c r="G70" s="9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  <c r="CA70" s="43"/>
      <c r="CB70" s="43"/>
      <c r="CC70" s="4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</row>
    <row r="71" spans="1:94" x14ac:dyDescent="0.25">
      <c r="A71" s="40"/>
      <c r="B71" s="40"/>
      <c r="C71" s="41"/>
      <c r="D71" s="42"/>
      <c r="E71" s="42"/>
      <c r="F71" s="92"/>
      <c r="G71" s="9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</row>
    <row r="72" spans="1:94" x14ac:dyDescent="0.25">
      <c r="A72" s="40"/>
      <c r="B72" s="40"/>
      <c r="C72" s="41"/>
      <c r="D72" s="42"/>
      <c r="E72" s="42"/>
      <c r="F72" s="92"/>
      <c r="G72" s="9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  <c r="BY72" s="43"/>
      <c r="BZ72" s="43"/>
      <c r="CA72" s="43"/>
      <c r="CB72" s="43"/>
      <c r="CC72" s="4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</row>
    <row r="73" spans="1:94" x14ac:dyDescent="0.25">
      <c r="A73" s="40"/>
      <c r="B73" s="40"/>
      <c r="C73" s="41"/>
      <c r="D73" s="42"/>
      <c r="E73" s="42"/>
      <c r="F73" s="92"/>
      <c r="G73" s="9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</row>
    <row r="74" spans="1:94" x14ac:dyDescent="0.25">
      <c r="A74" s="40"/>
      <c r="B74" s="40"/>
      <c r="C74" s="41"/>
      <c r="D74" s="42"/>
      <c r="E74" s="42"/>
      <c r="F74" s="92"/>
      <c r="G74" s="9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43"/>
      <c r="BO74" s="43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  <c r="CA74" s="43"/>
      <c r="CB74" s="43"/>
      <c r="CC74" s="4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</row>
    <row r="75" spans="1:94" x14ac:dyDescent="0.25">
      <c r="A75" s="40"/>
      <c r="B75" s="40"/>
      <c r="C75" s="41"/>
      <c r="D75" s="42"/>
      <c r="E75" s="42"/>
      <c r="F75" s="92"/>
      <c r="G75" s="9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</row>
    <row r="76" spans="1:94" x14ac:dyDescent="0.25">
      <c r="A76" s="40"/>
      <c r="B76" s="40"/>
      <c r="C76" s="41"/>
      <c r="D76" s="42"/>
      <c r="E76" s="42"/>
      <c r="F76" s="92"/>
      <c r="G76" s="9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43"/>
      <c r="BO76" s="43"/>
      <c r="BP76" s="43"/>
      <c r="BQ76" s="43"/>
      <c r="BR76" s="43"/>
      <c r="BS76" s="43"/>
      <c r="BT76" s="43"/>
      <c r="BU76" s="43"/>
      <c r="BV76" s="43"/>
      <c r="BW76" s="43"/>
      <c r="BX76" s="43"/>
      <c r="BY76" s="43"/>
      <c r="BZ76" s="43"/>
      <c r="CA76" s="43"/>
      <c r="CB76" s="43"/>
      <c r="CC76" s="4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</row>
    <row r="77" spans="1:94" x14ac:dyDescent="0.25">
      <c r="A77" s="40"/>
      <c r="B77" s="40"/>
      <c r="C77" s="41"/>
      <c r="D77" s="42"/>
      <c r="E77" s="42"/>
      <c r="F77" s="92"/>
      <c r="G77" s="9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43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</row>
    <row r="78" spans="1:94" x14ac:dyDescent="0.25">
      <c r="A78" s="40"/>
      <c r="B78" s="40"/>
      <c r="C78" s="41"/>
      <c r="D78" s="42"/>
      <c r="E78" s="42"/>
      <c r="F78" s="92"/>
      <c r="G78" s="9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43"/>
      <c r="BO78" s="43"/>
      <c r="BP78" s="43"/>
      <c r="BQ78" s="43"/>
      <c r="BR78" s="43"/>
      <c r="BS78" s="43"/>
      <c r="BT78" s="43"/>
      <c r="BU78" s="43"/>
      <c r="BV78" s="43"/>
      <c r="BW78" s="43"/>
      <c r="BX78" s="43"/>
      <c r="BY78" s="43"/>
      <c r="BZ78" s="43"/>
      <c r="CA78" s="43"/>
      <c r="CB78" s="43"/>
      <c r="CC78" s="43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</row>
    <row r="79" spans="1:94" x14ac:dyDescent="0.25">
      <c r="A79" s="40"/>
      <c r="B79" s="40"/>
      <c r="C79" s="41"/>
      <c r="D79" s="42"/>
      <c r="E79" s="42"/>
      <c r="F79" s="92"/>
      <c r="G79" s="9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</row>
    <row r="80" spans="1:94" x14ac:dyDescent="0.25">
      <c r="A80" s="40"/>
      <c r="B80" s="40"/>
      <c r="C80" s="41"/>
      <c r="D80" s="42"/>
      <c r="E80" s="42"/>
      <c r="F80" s="92"/>
      <c r="G80" s="9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43"/>
      <c r="BO80" s="43"/>
      <c r="BP80" s="43"/>
      <c r="BQ80" s="43"/>
      <c r="BR80" s="43"/>
      <c r="BS80" s="43"/>
      <c r="BT80" s="43"/>
      <c r="BU80" s="43"/>
      <c r="BV80" s="43"/>
      <c r="BW80" s="43"/>
      <c r="BX80" s="43"/>
      <c r="BY80" s="43"/>
      <c r="BZ80" s="43"/>
      <c r="CA80" s="43"/>
      <c r="CB80" s="43"/>
      <c r="CC80" s="43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</row>
    <row r="81" spans="1:94" x14ac:dyDescent="0.25">
      <c r="A81" s="40"/>
      <c r="B81" s="40"/>
      <c r="C81" s="41"/>
      <c r="D81" s="42"/>
      <c r="E81" s="42"/>
      <c r="F81" s="92"/>
      <c r="G81" s="9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43"/>
      <c r="BN81" s="43"/>
      <c r="BO81" s="43"/>
      <c r="BP81" s="43"/>
      <c r="BQ81" s="43"/>
      <c r="BR81" s="43"/>
      <c r="BS81" s="43"/>
      <c r="BT81" s="43"/>
      <c r="BU81" s="43"/>
      <c r="BV81" s="43"/>
      <c r="BW81" s="43"/>
      <c r="BX81" s="43"/>
      <c r="BY81" s="43"/>
      <c r="BZ81" s="43"/>
      <c r="CA81" s="43"/>
      <c r="CB81" s="43"/>
      <c r="CC81" s="43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</row>
    <row r="82" spans="1:94" x14ac:dyDescent="0.25">
      <c r="A82" s="40"/>
      <c r="B82" s="40"/>
      <c r="C82" s="41"/>
      <c r="D82" s="42"/>
      <c r="E82" s="42"/>
      <c r="F82" s="92"/>
      <c r="G82" s="9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43"/>
      <c r="BN82" s="43"/>
      <c r="BO82" s="43"/>
      <c r="BP82" s="43"/>
      <c r="BQ82" s="43"/>
      <c r="BR82" s="43"/>
      <c r="BS82" s="43"/>
      <c r="BT82" s="43"/>
      <c r="BU82" s="43"/>
      <c r="BV82" s="43"/>
      <c r="BW82" s="43"/>
      <c r="BX82" s="43"/>
      <c r="BY82" s="43"/>
      <c r="BZ82" s="43"/>
      <c r="CA82" s="43"/>
      <c r="CB82" s="43"/>
      <c r="CC82" s="43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</row>
    <row r="83" spans="1:94" x14ac:dyDescent="0.25">
      <c r="A83" s="40"/>
      <c r="B83" s="40"/>
      <c r="C83" s="41"/>
      <c r="D83" s="42"/>
      <c r="E83" s="42"/>
      <c r="F83" s="92"/>
      <c r="G83" s="9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43"/>
      <c r="BO83" s="43"/>
      <c r="BP83" s="43"/>
      <c r="BQ83" s="43"/>
      <c r="BR83" s="43"/>
      <c r="BS83" s="43"/>
      <c r="BT83" s="43"/>
      <c r="BU83" s="43"/>
      <c r="BV83" s="43"/>
      <c r="BW83" s="43"/>
      <c r="BX83" s="43"/>
      <c r="BY83" s="43"/>
      <c r="BZ83" s="43"/>
      <c r="CA83" s="43"/>
      <c r="CB83" s="43"/>
      <c r="CC83" s="43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</row>
    <row r="84" spans="1:94" x14ac:dyDescent="0.25">
      <c r="A84" s="40"/>
      <c r="B84" s="40"/>
      <c r="C84" s="41"/>
      <c r="D84" s="42"/>
      <c r="E84" s="42"/>
      <c r="F84" s="92"/>
      <c r="G84" s="9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43"/>
      <c r="BN84" s="43"/>
      <c r="BO84" s="43"/>
      <c r="BP84" s="43"/>
      <c r="BQ84" s="43"/>
      <c r="BR84" s="43"/>
      <c r="BS84" s="43"/>
      <c r="BT84" s="43"/>
      <c r="BU84" s="43"/>
      <c r="BV84" s="43"/>
      <c r="BW84" s="43"/>
      <c r="BX84" s="43"/>
      <c r="BY84" s="43"/>
      <c r="BZ84" s="43"/>
      <c r="CA84" s="43"/>
      <c r="CB84" s="43"/>
      <c r="CC84" s="43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</row>
    <row r="85" spans="1:94" x14ac:dyDescent="0.25">
      <c r="A85" s="40"/>
      <c r="B85" s="40"/>
      <c r="C85" s="41"/>
      <c r="D85" s="42"/>
      <c r="E85" s="42"/>
      <c r="F85" s="92"/>
      <c r="G85" s="9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43"/>
      <c r="BN85" s="43"/>
      <c r="BO85" s="43"/>
      <c r="BP85" s="43"/>
      <c r="BQ85" s="43"/>
      <c r="BR85" s="43"/>
      <c r="BS85" s="43"/>
      <c r="BT85" s="43"/>
      <c r="BU85" s="43"/>
      <c r="BV85" s="43"/>
      <c r="BW85" s="43"/>
      <c r="BX85" s="43"/>
      <c r="BY85" s="43"/>
      <c r="BZ85" s="43"/>
      <c r="CA85" s="43"/>
      <c r="CB85" s="43"/>
      <c r="CC85" s="43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</row>
    <row r="86" spans="1:94" x14ac:dyDescent="0.25">
      <c r="A86" s="40"/>
      <c r="B86" s="40"/>
      <c r="C86" s="41"/>
      <c r="D86" s="42"/>
      <c r="E86" s="42"/>
      <c r="F86" s="92"/>
      <c r="G86" s="9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43"/>
      <c r="BN86" s="43"/>
      <c r="BO86" s="43"/>
      <c r="BP86" s="43"/>
      <c r="BQ86" s="43"/>
      <c r="BR86" s="43"/>
      <c r="BS86" s="43"/>
      <c r="BT86" s="43"/>
      <c r="BU86" s="43"/>
      <c r="BV86" s="43"/>
      <c r="BW86" s="43"/>
      <c r="BX86" s="43"/>
      <c r="BY86" s="43"/>
      <c r="BZ86" s="43"/>
      <c r="CA86" s="43"/>
      <c r="CB86" s="43"/>
      <c r="CC86" s="43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</row>
    <row r="87" spans="1:94" x14ac:dyDescent="0.25">
      <c r="A87" s="40"/>
      <c r="B87" s="40"/>
      <c r="C87" s="41"/>
      <c r="D87" s="42"/>
      <c r="E87" s="42"/>
      <c r="F87" s="92"/>
      <c r="G87" s="9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43"/>
      <c r="BF87" s="43"/>
      <c r="BG87" s="43"/>
      <c r="BH87" s="43"/>
      <c r="BI87" s="43"/>
      <c r="BJ87" s="43"/>
      <c r="BK87" s="43"/>
      <c r="BL87" s="43"/>
      <c r="BM87" s="43"/>
      <c r="BN87" s="43"/>
      <c r="BO87" s="43"/>
      <c r="BP87" s="43"/>
      <c r="BQ87" s="43"/>
      <c r="BR87" s="43"/>
      <c r="BS87" s="43"/>
      <c r="BT87" s="43"/>
      <c r="BU87" s="43"/>
      <c r="BV87" s="43"/>
      <c r="BW87" s="43"/>
      <c r="BX87" s="43"/>
      <c r="BY87" s="43"/>
      <c r="BZ87" s="43"/>
      <c r="CA87" s="43"/>
      <c r="CB87" s="43"/>
      <c r="CC87" s="43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</row>
    <row r="88" spans="1:94" x14ac:dyDescent="0.25">
      <c r="A88" s="40"/>
      <c r="B88" s="40"/>
      <c r="C88" s="41"/>
      <c r="D88" s="42"/>
      <c r="E88" s="42"/>
      <c r="F88" s="92"/>
      <c r="G88" s="9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43"/>
      <c r="BN88" s="43"/>
      <c r="BO88" s="43"/>
      <c r="BP88" s="43"/>
      <c r="BQ88" s="43"/>
      <c r="BR88" s="43"/>
      <c r="BS88" s="43"/>
      <c r="BT88" s="43"/>
      <c r="BU88" s="43"/>
      <c r="BV88" s="43"/>
      <c r="BW88" s="43"/>
      <c r="BX88" s="43"/>
      <c r="BY88" s="43"/>
      <c r="BZ88" s="43"/>
      <c r="CA88" s="43"/>
      <c r="CB88" s="43"/>
      <c r="CC88" s="43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</row>
    <row r="89" spans="1:94" x14ac:dyDescent="0.25">
      <c r="A89" s="40"/>
      <c r="B89" s="40"/>
      <c r="C89" s="41"/>
      <c r="D89" s="42"/>
      <c r="E89" s="42"/>
      <c r="F89" s="92"/>
      <c r="G89" s="9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  <c r="BC89" s="43"/>
      <c r="BD89" s="43"/>
      <c r="BE89" s="43"/>
      <c r="BF89" s="43"/>
      <c r="BG89" s="43"/>
      <c r="BH89" s="43"/>
      <c r="BI89" s="43"/>
      <c r="BJ89" s="43"/>
      <c r="BK89" s="43"/>
      <c r="BL89" s="43"/>
      <c r="BM89" s="43"/>
      <c r="BN89" s="43"/>
      <c r="BO89" s="43"/>
      <c r="BP89" s="43"/>
      <c r="BQ89" s="43"/>
      <c r="BR89" s="43"/>
      <c r="BS89" s="43"/>
      <c r="BT89" s="43"/>
      <c r="BU89" s="43"/>
      <c r="BV89" s="43"/>
      <c r="BW89" s="43"/>
      <c r="BX89" s="43"/>
      <c r="BY89" s="43"/>
      <c r="BZ89" s="43"/>
      <c r="CA89" s="43"/>
      <c r="CB89" s="43"/>
      <c r="CC89" s="43"/>
      <c r="CD89" s="43"/>
      <c r="CE89" s="43"/>
      <c r="CF89" s="43"/>
      <c r="CG89" s="43"/>
      <c r="CH89" s="43"/>
      <c r="CI89" s="43"/>
      <c r="CJ89" s="43"/>
      <c r="CK89" s="43"/>
      <c r="CL89" s="43"/>
      <c r="CM89" s="43"/>
      <c r="CN89" s="43"/>
      <c r="CO89" s="43"/>
      <c r="CP89" s="43"/>
    </row>
    <row r="90" spans="1:94" x14ac:dyDescent="0.25">
      <c r="A90" s="40"/>
      <c r="B90" s="40"/>
      <c r="C90" s="41"/>
      <c r="D90" s="42"/>
      <c r="E90" s="42"/>
      <c r="F90" s="92"/>
      <c r="G90" s="9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  <c r="BC90" s="43"/>
      <c r="BD90" s="43"/>
      <c r="BE90" s="43"/>
      <c r="BF90" s="43"/>
      <c r="BG90" s="43"/>
      <c r="BH90" s="43"/>
      <c r="BI90" s="43"/>
      <c r="BJ90" s="43"/>
      <c r="BK90" s="43"/>
      <c r="BL90" s="43"/>
      <c r="BM90" s="43"/>
      <c r="BN90" s="43"/>
      <c r="BO90" s="43"/>
      <c r="BP90" s="43"/>
      <c r="BQ90" s="43"/>
      <c r="BR90" s="43"/>
      <c r="BS90" s="43"/>
      <c r="BT90" s="43"/>
      <c r="BU90" s="43"/>
      <c r="BV90" s="43"/>
      <c r="BW90" s="43"/>
      <c r="BX90" s="43"/>
      <c r="BY90" s="43"/>
      <c r="BZ90" s="43"/>
      <c r="CA90" s="43"/>
      <c r="CB90" s="43"/>
      <c r="CC90" s="43"/>
      <c r="CD90" s="43"/>
      <c r="CE90" s="43"/>
      <c r="CF90" s="43"/>
      <c r="CG90" s="43"/>
      <c r="CH90" s="43"/>
      <c r="CI90" s="43"/>
      <c r="CJ90" s="43"/>
      <c r="CK90" s="43"/>
      <c r="CL90" s="43"/>
      <c r="CM90" s="43"/>
      <c r="CN90" s="43"/>
      <c r="CO90" s="43"/>
      <c r="CP90" s="43"/>
    </row>
    <row r="91" spans="1:94" x14ac:dyDescent="0.25">
      <c r="A91" s="40"/>
      <c r="B91" s="40"/>
      <c r="C91" s="41"/>
      <c r="D91" s="42"/>
      <c r="E91" s="42"/>
      <c r="F91" s="92"/>
      <c r="G91" s="9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  <c r="BC91" s="43"/>
      <c r="BD91" s="43"/>
      <c r="BE91" s="43"/>
      <c r="BF91" s="43"/>
      <c r="BG91" s="43"/>
      <c r="BH91" s="43"/>
      <c r="BI91" s="43"/>
      <c r="BJ91" s="43"/>
      <c r="BK91" s="43"/>
      <c r="BL91" s="43"/>
      <c r="BM91" s="43"/>
      <c r="BN91" s="43"/>
      <c r="BO91" s="43"/>
      <c r="BP91" s="43"/>
      <c r="BQ91" s="43"/>
      <c r="BR91" s="43"/>
      <c r="BS91" s="43"/>
      <c r="BT91" s="43"/>
      <c r="BU91" s="43"/>
      <c r="BV91" s="43"/>
      <c r="BW91" s="43"/>
      <c r="BX91" s="43"/>
      <c r="BY91" s="43"/>
      <c r="BZ91" s="43"/>
      <c r="CA91" s="43"/>
      <c r="CB91" s="43"/>
      <c r="CC91" s="43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</row>
    <row r="92" spans="1:94" x14ac:dyDescent="0.25">
      <c r="A92" s="40"/>
      <c r="B92" s="40"/>
      <c r="C92" s="41"/>
      <c r="D92" s="42"/>
      <c r="E92" s="42"/>
      <c r="F92" s="92"/>
      <c r="G92" s="9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  <c r="BC92" s="43"/>
      <c r="BD92" s="43"/>
      <c r="BE92" s="43"/>
      <c r="BF92" s="43"/>
      <c r="BG92" s="43"/>
      <c r="BH92" s="43"/>
      <c r="BI92" s="43"/>
      <c r="BJ92" s="43"/>
      <c r="BK92" s="43"/>
      <c r="BL92" s="43"/>
      <c r="BM92" s="43"/>
      <c r="BN92" s="43"/>
      <c r="BO92" s="43"/>
      <c r="BP92" s="43"/>
      <c r="BQ92" s="43"/>
      <c r="BR92" s="43"/>
      <c r="BS92" s="43"/>
      <c r="BT92" s="43"/>
      <c r="BU92" s="43"/>
      <c r="BV92" s="43"/>
      <c r="BW92" s="43"/>
      <c r="BX92" s="43"/>
      <c r="BY92" s="43"/>
      <c r="BZ92" s="43"/>
      <c r="CA92" s="43"/>
      <c r="CB92" s="43"/>
      <c r="CC92" s="43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</row>
    <row r="93" spans="1:94" x14ac:dyDescent="0.25">
      <c r="A93" s="40"/>
      <c r="B93" s="40"/>
      <c r="C93" s="41"/>
      <c r="D93" s="42"/>
      <c r="E93" s="42"/>
      <c r="F93" s="92"/>
      <c r="G93" s="9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43"/>
      <c r="BI93" s="43"/>
      <c r="BJ93" s="43"/>
      <c r="BK93" s="43"/>
      <c r="BL93" s="43"/>
      <c r="BM93" s="43"/>
      <c r="BN93" s="43"/>
      <c r="BO93" s="43"/>
      <c r="BP93" s="43"/>
      <c r="BQ93" s="43"/>
      <c r="BR93" s="43"/>
      <c r="BS93" s="43"/>
      <c r="BT93" s="43"/>
      <c r="BU93" s="43"/>
      <c r="BV93" s="43"/>
      <c r="BW93" s="43"/>
      <c r="BX93" s="43"/>
      <c r="BY93" s="43"/>
      <c r="BZ93" s="43"/>
      <c r="CA93" s="43"/>
      <c r="CB93" s="43"/>
      <c r="CC93" s="43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</row>
    <row r="94" spans="1:94" x14ac:dyDescent="0.25">
      <c r="A94" s="40"/>
      <c r="B94" s="40"/>
      <c r="C94" s="41"/>
      <c r="D94" s="42"/>
      <c r="E94" s="42"/>
      <c r="F94" s="92"/>
      <c r="G94" s="9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43"/>
      <c r="BK94" s="43"/>
      <c r="BL94" s="43"/>
      <c r="BM94" s="43"/>
      <c r="BN94" s="43"/>
      <c r="BO94" s="43"/>
      <c r="BP94" s="43"/>
      <c r="BQ94" s="43"/>
      <c r="BR94" s="43"/>
      <c r="BS94" s="43"/>
      <c r="BT94" s="43"/>
      <c r="BU94" s="43"/>
      <c r="BV94" s="43"/>
      <c r="BW94" s="43"/>
      <c r="BX94" s="43"/>
      <c r="BY94" s="43"/>
      <c r="BZ94" s="43"/>
      <c r="CA94" s="43"/>
      <c r="CB94" s="43"/>
      <c r="CC94" s="43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</row>
    <row r="95" spans="1:94" x14ac:dyDescent="0.25">
      <c r="A95" s="40"/>
      <c r="B95" s="40"/>
      <c r="C95" s="41"/>
      <c r="D95" s="42"/>
      <c r="E95" s="42"/>
      <c r="F95" s="92"/>
      <c r="G95" s="9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3"/>
      <c r="BK95" s="43"/>
      <c r="BL95" s="43"/>
      <c r="BM95" s="43"/>
      <c r="BN95" s="43"/>
      <c r="BO95" s="43"/>
      <c r="BP95" s="43"/>
      <c r="BQ95" s="43"/>
      <c r="BR95" s="43"/>
      <c r="BS95" s="43"/>
      <c r="BT95" s="43"/>
      <c r="BU95" s="43"/>
      <c r="BV95" s="43"/>
      <c r="BW95" s="43"/>
      <c r="BX95" s="43"/>
      <c r="BY95" s="43"/>
      <c r="BZ95" s="43"/>
      <c r="CA95" s="43"/>
      <c r="CB95" s="43"/>
      <c r="CC95" s="43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</row>
    <row r="96" spans="1:94" x14ac:dyDescent="0.25">
      <c r="A96" s="40"/>
      <c r="B96" s="40"/>
      <c r="C96" s="41"/>
      <c r="D96" s="42"/>
      <c r="E96" s="42"/>
      <c r="F96" s="92"/>
      <c r="G96" s="9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43"/>
      <c r="BI96" s="43"/>
      <c r="BJ96" s="43"/>
      <c r="BK96" s="43"/>
      <c r="BL96" s="43"/>
      <c r="BM96" s="43"/>
      <c r="BN96" s="43"/>
      <c r="BO96" s="43"/>
      <c r="BP96" s="43"/>
      <c r="BQ96" s="43"/>
      <c r="BR96" s="43"/>
      <c r="BS96" s="43"/>
      <c r="BT96" s="43"/>
      <c r="BU96" s="43"/>
      <c r="BV96" s="43"/>
      <c r="BW96" s="43"/>
      <c r="BX96" s="43"/>
      <c r="BY96" s="43"/>
      <c r="BZ96" s="43"/>
      <c r="CA96" s="43"/>
      <c r="CB96" s="43"/>
      <c r="CC96" s="43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</row>
    <row r="97" spans="1:94" x14ac:dyDescent="0.25">
      <c r="A97" s="40"/>
      <c r="B97" s="40"/>
      <c r="C97" s="41"/>
      <c r="D97" s="42"/>
      <c r="E97" s="42"/>
      <c r="F97" s="92"/>
      <c r="G97" s="9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43"/>
      <c r="BI97" s="43"/>
      <c r="BJ97" s="43"/>
      <c r="BK97" s="43"/>
      <c r="BL97" s="43"/>
      <c r="BM97" s="43"/>
      <c r="BN97" s="43"/>
      <c r="BO97" s="43"/>
      <c r="BP97" s="43"/>
      <c r="BQ97" s="43"/>
      <c r="BR97" s="43"/>
      <c r="BS97" s="43"/>
      <c r="BT97" s="43"/>
      <c r="BU97" s="43"/>
      <c r="BV97" s="43"/>
      <c r="BW97" s="43"/>
      <c r="BX97" s="43"/>
      <c r="BY97" s="43"/>
      <c r="BZ97" s="43"/>
      <c r="CA97" s="43"/>
      <c r="CB97" s="43"/>
      <c r="CC97" s="43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</row>
    <row r="98" spans="1:94" x14ac:dyDescent="0.25">
      <c r="A98" s="40"/>
      <c r="B98" s="40"/>
      <c r="C98" s="41"/>
      <c r="D98" s="42"/>
      <c r="E98" s="42"/>
      <c r="F98" s="92"/>
      <c r="G98" s="9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43"/>
      <c r="BI98" s="43"/>
      <c r="BJ98" s="43"/>
      <c r="BK98" s="43"/>
      <c r="BL98" s="43"/>
      <c r="BM98" s="43"/>
      <c r="BN98" s="43"/>
      <c r="BO98" s="43"/>
      <c r="BP98" s="43"/>
      <c r="BQ98" s="43"/>
      <c r="BR98" s="43"/>
      <c r="BS98" s="43"/>
      <c r="BT98" s="43"/>
      <c r="BU98" s="43"/>
      <c r="BV98" s="43"/>
      <c r="BW98" s="43"/>
      <c r="BX98" s="43"/>
      <c r="BY98" s="43"/>
      <c r="BZ98" s="43"/>
      <c r="CA98" s="43"/>
      <c r="CB98" s="43"/>
      <c r="CC98" s="43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</row>
    <row r="99" spans="1:94" x14ac:dyDescent="0.25">
      <c r="A99" s="40"/>
      <c r="B99" s="40"/>
      <c r="C99" s="41"/>
      <c r="D99" s="42"/>
      <c r="E99" s="42"/>
      <c r="F99" s="92"/>
      <c r="G99" s="9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43"/>
      <c r="BI99" s="43"/>
      <c r="BJ99" s="43"/>
      <c r="BK99" s="43"/>
      <c r="BL99" s="43"/>
      <c r="BM99" s="43"/>
      <c r="BN99" s="43"/>
      <c r="BO99" s="43"/>
      <c r="BP99" s="43"/>
      <c r="BQ99" s="43"/>
      <c r="BR99" s="43"/>
      <c r="BS99" s="43"/>
      <c r="BT99" s="43"/>
      <c r="BU99" s="43"/>
      <c r="BV99" s="43"/>
      <c r="BW99" s="43"/>
      <c r="BX99" s="43"/>
      <c r="BY99" s="43"/>
      <c r="BZ99" s="43"/>
      <c r="CA99" s="43"/>
      <c r="CB99" s="43"/>
      <c r="CC99" s="43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</row>
    <row r="100" spans="1:94" x14ac:dyDescent="0.25">
      <c r="A100" s="40"/>
      <c r="B100" s="40"/>
      <c r="C100" s="41"/>
      <c r="D100" s="42"/>
      <c r="E100" s="42"/>
      <c r="F100" s="92"/>
      <c r="G100" s="9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43"/>
      <c r="BI100" s="43"/>
      <c r="BJ100" s="43"/>
      <c r="BK100" s="43"/>
      <c r="BL100" s="43"/>
      <c r="BM100" s="43"/>
      <c r="BN100" s="43"/>
      <c r="BO100" s="43"/>
      <c r="BP100" s="43"/>
      <c r="BQ100" s="43"/>
      <c r="BR100" s="43"/>
      <c r="BS100" s="43"/>
      <c r="BT100" s="43"/>
      <c r="BU100" s="43"/>
      <c r="BV100" s="43"/>
      <c r="BW100" s="43"/>
      <c r="BX100" s="43"/>
      <c r="BY100" s="43"/>
      <c r="BZ100" s="43"/>
      <c r="CA100" s="43"/>
      <c r="CB100" s="43"/>
      <c r="CC100" s="43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</row>
    <row r="101" spans="1:94" x14ac:dyDescent="0.25">
      <c r="A101" s="40"/>
      <c r="B101" s="40"/>
      <c r="C101" s="41"/>
      <c r="D101" s="42"/>
      <c r="E101" s="42"/>
      <c r="F101" s="92"/>
      <c r="G101" s="9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43"/>
      <c r="BN101" s="43"/>
      <c r="BO101" s="43"/>
      <c r="BP101" s="43"/>
      <c r="BQ101" s="43"/>
      <c r="BR101" s="43"/>
      <c r="BS101" s="43"/>
      <c r="BT101" s="43"/>
      <c r="BU101" s="43"/>
      <c r="BV101" s="43"/>
      <c r="BW101" s="43"/>
      <c r="BX101" s="43"/>
      <c r="BY101" s="43"/>
      <c r="BZ101" s="43"/>
      <c r="CA101" s="43"/>
      <c r="CB101" s="43"/>
      <c r="CC101" s="43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</row>
    <row r="102" spans="1:94" x14ac:dyDescent="0.25">
      <c r="A102" s="40"/>
      <c r="B102" s="40"/>
      <c r="C102" s="41"/>
      <c r="D102" s="42"/>
      <c r="E102" s="42"/>
      <c r="F102" s="92"/>
      <c r="G102" s="9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43"/>
      <c r="BN102" s="43"/>
      <c r="BO102" s="43"/>
      <c r="BP102" s="43"/>
      <c r="BQ102" s="43"/>
      <c r="BR102" s="43"/>
      <c r="BS102" s="43"/>
      <c r="BT102" s="43"/>
      <c r="BU102" s="43"/>
      <c r="BV102" s="43"/>
      <c r="BW102" s="43"/>
      <c r="BX102" s="43"/>
      <c r="BY102" s="43"/>
      <c r="BZ102" s="43"/>
      <c r="CA102" s="43"/>
      <c r="CB102" s="43"/>
      <c r="CC102" s="4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</row>
    <row r="103" spans="1:94" x14ac:dyDescent="0.25">
      <c r="A103" s="40"/>
      <c r="B103" s="40"/>
      <c r="C103" s="41"/>
      <c r="D103" s="42"/>
      <c r="E103" s="42"/>
      <c r="F103" s="92"/>
      <c r="G103" s="9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43"/>
      <c r="BN103" s="43"/>
      <c r="BO103" s="43"/>
      <c r="BP103" s="43"/>
      <c r="BQ103" s="43"/>
      <c r="BR103" s="43"/>
      <c r="BS103" s="43"/>
      <c r="BT103" s="43"/>
      <c r="BU103" s="43"/>
      <c r="BV103" s="43"/>
      <c r="BW103" s="43"/>
      <c r="BX103" s="43"/>
      <c r="BY103" s="43"/>
      <c r="BZ103" s="43"/>
      <c r="CA103" s="43"/>
      <c r="CB103" s="43"/>
      <c r="CC103" s="43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</row>
    <row r="104" spans="1:94" x14ac:dyDescent="0.25">
      <c r="A104" s="40"/>
      <c r="B104" s="40"/>
      <c r="C104" s="41"/>
      <c r="D104" s="42"/>
      <c r="E104" s="42"/>
      <c r="F104" s="92"/>
      <c r="G104" s="9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43"/>
      <c r="BI104" s="43"/>
      <c r="BJ104" s="43"/>
      <c r="BK104" s="43"/>
      <c r="BL104" s="43"/>
      <c r="BM104" s="43"/>
      <c r="BN104" s="43"/>
      <c r="BO104" s="43"/>
      <c r="BP104" s="43"/>
      <c r="BQ104" s="43"/>
      <c r="BR104" s="43"/>
      <c r="BS104" s="43"/>
      <c r="BT104" s="43"/>
      <c r="BU104" s="43"/>
      <c r="BV104" s="43"/>
      <c r="BW104" s="43"/>
      <c r="BX104" s="43"/>
      <c r="BY104" s="43"/>
      <c r="BZ104" s="43"/>
      <c r="CA104" s="43"/>
      <c r="CB104" s="43"/>
      <c r="CC104" s="43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</row>
    <row r="105" spans="1:94" x14ac:dyDescent="0.25">
      <c r="A105" s="40"/>
      <c r="B105" s="40"/>
      <c r="C105" s="41"/>
      <c r="D105" s="42"/>
      <c r="E105" s="42"/>
      <c r="F105" s="92"/>
      <c r="G105" s="9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43"/>
      <c r="BN105" s="43"/>
      <c r="BO105" s="43"/>
      <c r="BP105" s="43"/>
      <c r="BQ105" s="43"/>
      <c r="BR105" s="43"/>
      <c r="BS105" s="43"/>
      <c r="BT105" s="43"/>
      <c r="BU105" s="43"/>
      <c r="BV105" s="43"/>
      <c r="BW105" s="43"/>
      <c r="BX105" s="43"/>
      <c r="BY105" s="43"/>
      <c r="BZ105" s="43"/>
      <c r="CA105" s="43"/>
      <c r="CB105" s="43"/>
      <c r="CC105" s="43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</row>
    <row r="106" spans="1:94" x14ac:dyDescent="0.25">
      <c r="A106" s="40"/>
      <c r="B106" s="40"/>
      <c r="C106" s="41"/>
      <c r="D106" s="42"/>
      <c r="E106" s="42"/>
      <c r="F106" s="92"/>
      <c r="G106" s="9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43"/>
      <c r="BI106" s="43"/>
      <c r="BJ106" s="43"/>
      <c r="BK106" s="43"/>
      <c r="BL106" s="43"/>
      <c r="BM106" s="43"/>
      <c r="BN106" s="43"/>
      <c r="BO106" s="43"/>
      <c r="BP106" s="43"/>
      <c r="BQ106" s="43"/>
      <c r="BR106" s="43"/>
      <c r="BS106" s="43"/>
      <c r="BT106" s="43"/>
      <c r="BU106" s="43"/>
      <c r="BV106" s="43"/>
      <c r="BW106" s="43"/>
      <c r="BX106" s="43"/>
      <c r="BY106" s="43"/>
      <c r="BZ106" s="43"/>
      <c r="CA106" s="43"/>
      <c r="CB106" s="43"/>
      <c r="CC106" s="43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</row>
    <row r="107" spans="1:94" x14ac:dyDescent="0.25">
      <c r="A107" s="40"/>
      <c r="B107" s="40"/>
      <c r="C107" s="41"/>
      <c r="D107" s="42"/>
      <c r="E107" s="42"/>
      <c r="F107" s="92"/>
      <c r="G107" s="9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43"/>
      <c r="BN107" s="43"/>
      <c r="BO107" s="43"/>
      <c r="BP107" s="43"/>
      <c r="BQ107" s="43"/>
      <c r="BR107" s="43"/>
      <c r="BS107" s="43"/>
      <c r="BT107" s="43"/>
      <c r="BU107" s="43"/>
      <c r="BV107" s="43"/>
      <c r="BW107" s="43"/>
      <c r="BX107" s="43"/>
      <c r="BY107" s="43"/>
      <c r="BZ107" s="43"/>
      <c r="CA107" s="43"/>
      <c r="CB107" s="43"/>
      <c r="CC107" s="43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</row>
    <row r="108" spans="1:94" x14ac:dyDescent="0.25">
      <c r="A108" s="40"/>
      <c r="B108" s="40"/>
      <c r="C108" s="41"/>
      <c r="D108" s="42"/>
      <c r="E108" s="42"/>
      <c r="F108" s="92"/>
      <c r="G108" s="9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43"/>
      <c r="BI108" s="43"/>
      <c r="BJ108" s="43"/>
      <c r="BK108" s="43"/>
      <c r="BL108" s="43"/>
      <c r="BM108" s="43"/>
      <c r="BN108" s="43"/>
      <c r="BO108" s="43"/>
      <c r="BP108" s="43"/>
      <c r="BQ108" s="43"/>
      <c r="BR108" s="43"/>
      <c r="BS108" s="43"/>
      <c r="BT108" s="43"/>
      <c r="BU108" s="43"/>
      <c r="BV108" s="43"/>
      <c r="BW108" s="43"/>
      <c r="BX108" s="43"/>
      <c r="BY108" s="43"/>
      <c r="BZ108" s="43"/>
      <c r="CA108" s="43"/>
      <c r="CB108" s="43"/>
      <c r="CC108" s="43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</row>
    <row r="109" spans="1:94" x14ac:dyDescent="0.25">
      <c r="A109" s="40"/>
      <c r="B109" s="40"/>
      <c r="C109" s="41"/>
      <c r="D109" s="42"/>
      <c r="E109" s="42"/>
      <c r="F109" s="92"/>
      <c r="G109" s="9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43"/>
      <c r="BN109" s="43"/>
      <c r="BO109" s="43"/>
      <c r="BP109" s="43"/>
      <c r="BQ109" s="43"/>
      <c r="BR109" s="43"/>
      <c r="BS109" s="43"/>
      <c r="BT109" s="43"/>
      <c r="BU109" s="43"/>
      <c r="BV109" s="43"/>
      <c r="BW109" s="43"/>
      <c r="BX109" s="43"/>
      <c r="BY109" s="43"/>
      <c r="BZ109" s="43"/>
      <c r="CA109" s="43"/>
      <c r="CB109" s="43"/>
      <c r="CC109" s="43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</row>
    <row r="110" spans="1:94" x14ac:dyDescent="0.25">
      <c r="A110" s="40"/>
      <c r="B110" s="40"/>
      <c r="C110" s="41"/>
      <c r="D110" s="42"/>
      <c r="E110" s="42"/>
      <c r="F110" s="92"/>
      <c r="G110" s="9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43"/>
      <c r="BI110" s="43"/>
      <c r="BJ110" s="43"/>
      <c r="BK110" s="43"/>
      <c r="BL110" s="43"/>
      <c r="BM110" s="43"/>
      <c r="BN110" s="43"/>
      <c r="BO110" s="43"/>
      <c r="BP110" s="43"/>
      <c r="BQ110" s="43"/>
      <c r="BR110" s="43"/>
      <c r="BS110" s="43"/>
      <c r="BT110" s="43"/>
      <c r="BU110" s="43"/>
      <c r="BV110" s="43"/>
      <c r="BW110" s="43"/>
      <c r="BX110" s="43"/>
      <c r="BY110" s="43"/>
      <c r="BZ110" s="43"/>
      <c r="CA110" s="43"/>
      <c r="CB110" s="43"/>
      <c r="CC110" s="43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</row>
    <row r="111" spans="1:94" x14ac:dyDescent="0.25">
      <c r="A111" s="40"/>
      <c r="B111" s="40"/>
      <c r="C111" s="41"/>
      <c r="D111" s="42"/>
      <c r="E111" s="42"/>
      <c r="F111" s="92"/>
      <c r="G111" s="9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43"/>
      <c r="BI111" s="43"/>
      <c r="BJ111" s="43"/>
      <c r="BK111" s="43"/>
      <c r="BL111" s="43"/>
      <c r="BM111" s="43"/>
      <c r="BN111" s="43"/>
      <c r="BO111" s="43"/>
      <c r="BP111" s="43"/>
      <c r="BQ111" s="43"/>
      <c r="BR111" s="43"/>
      <c r="BS111" s="43"/>
      <c r="BT111" s="43"/>
      <c r="BU111" s="43"/>
      <c r="BV111" s="43"/>
      <c r="BW111" s="43"/>
      <c r="BX111" s="43"/>
      <c r="BY111" s="43"/>
      <c r="BZ111" s="43"/>
      <c r="CA111" s="43"/>
      <c r="CB111" s="43"/>
      <c r="CC111" s="43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</row>
    <row r="112" spans="1:94" x14ac:dyDescent="0.25">
      <c r="A112" s="40"/>
      <c r="B112" s="40"/>
      <c r="C112" s="41"/>
      <c r="D112" s="42"/>
      <c r="E112" s="42"/>
      <c r="F112" s="92"/>
      <c r="G112" s="9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43"/>
      <c r="BN112" s="43"/>
      <c r="BO112" s="43"/>
      <c r="BP112" s="43"/>
      <c r="BQ112" s="43"/>
      <c r="BR112" s="43"/>
      <c r="BS112" s="43"/>
      <c r="BT112" s="43"/>
      <c r="BU112" s="43"/>
      <c r="BV112" s="43"/>
      <c r="BW112" s="43"/>
      <c r="BX112" s="43"/>
      <c r="BY112" s="43"/>
      <c r="BZ112" s="43"/>
      <c r="CA112" s="43"/>
      <c r="CB112" s="43"/>
      <c r="CC112" s="43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</row>
    <row r="113" spans="1:94" x14ac:dyDescent="0.25">
      <c r="A113" s="40"/>
      <c r="B113" s="40"/>
      <c r="C113" s="41"/>
      <c r="D113" s="42"/>
      <c r="E113" s="42"/>
      <c r="F113" s="92"/>
      <c r="G113" s="9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43"/>
      <c r="BN113" s="43"/>
      <c r="BO113" s="43"/>
      <c r="BP113" s="43"/>
      <c r="BQ113" s="43"/>
      <c r="BR113" s="43"/>
      <c r="BS113" s="43"/>
      <c r="BT113" s="43"/>
      <c r="BU113" s="43"/>
      <c r="BV113" s="43"/>
      <c r="BW113" s="43"/>
      <c r="BX113" s="43"/>
      <c r="BY113" s="43"/>
      <c r="BZ113" s="43"/>
      <c r="CA113" s="43"/>
      <c r="CB113" s="43"/>
      <c r="CC113" s="43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</row>
    <row r="114" spans="1:94" x14ac:dyDescent="0.25">
      <c r="A114" s="40"/>
      <c r="B114" s="40"/>
      <c r="C114" s="41"/>
      <c r="D114" s="42"/>
      <c r="E114" s="42"/>
      <c r="F114" s="92"/>
      <c r="G114" s="9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43"/>
      <c r="BN114" s="43"/>
      <c r="BO114" s="43"/>
      <c r="BP114" s="43"/>
      <c r="BQ114" s="43"/>
      <c r="BR114" s="43"/>
      <c r="BS114" s="43"/>
      <c r="BT114" s="43"/>
      <c r="BU114" s="43"/>
      <c r="BV114" s="43"/>
      <c r="BW114" s="43"/>
      <c r="BX114" s="43"/>
      <c r="BY114" s="43"/>
      <c r="BZ114" s="43"/>
      <c r="CA114" s="43"/>
      <c r="CB114" s="43"/>
      <c r="CC114" s="43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</row>
    <row r="115" spans="1:94" x14ac:dyDescent="0.25">
      <c r="A115" s="40"/>
      <c r="B115" s="40"/>
      <c r="C115" s="41"/>
      <c r="D115" s="42"/>
      <c r="E115" s="42"/>
      <c r="F115" s="92"/>
      <c r="G115" s="9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43"/>
      <c r="BI115" s="43"/>
      <c r="BJ115" s="43"/>
      <c r="BK115" s="43"/>
      <c r="BL115" s="43"/>
      <c r="BM115" s="43"/>
      <c r="BN115" s="43"/>
      <c r="BO115" s="43"/>
      <c r="BP115" s="43"/>
      <c r="BQ115" s="43"/>
      <c r="BR115" s="43"/>
      <c r="BS115" s="43"/>
      <c r="BT115" s="43"/>
      <c r="BU115" s="43"/>
      <c r="BV115" s="43"/>
      <c r="BW115" s="43"/>
      <c r="BX115" s="43"/>
      <c r="BY115" s="43"/>
      <c r="BZ115" s="43"/>
      <c r="CA115" s="43"/>
      <c r="CB115" s="43"/>
      <c r="CC115" s="43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</row>
    <row r="116" spans="1:94" x14ac:dyDescent="0.25">
      <c r="A116" s="40"/>
      <c r="B116" s="40"/>
      <c r="C116" s="41"/>
      <c r="D116" s="42"/>
      <c r="E116" s="42"/>
      <c r="F116" s="92"/>
      <c r="G116" s="9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43"/>
      <c r="BN116" s="43"/>
      <c r="BO116" s="43"/>
      <c r="BP116" s="43"/>
      <c r="BQ116" s="43"/>
      <c r="BR116" s="43"/>
      <c r="BS116" s="43"/>
      <c r="BT116" s="43"/>
      <c r="BU116" s="43"/>
      <c r="BV116" s="43"/>
      <c r="BW116" s="43"/>
      <c r="BX116" s="43"/>
      <c r="BY116" s="43"/>
      <c r="BZ116" s="43"/>
      <c r="CA116" s="43"/>
      <c r="CB116" s="43"/>
      <c r="CC116" s="43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</row>
    <row r="117" spans="1:94" x14ac:dyDescent="0.25">
      <c r="A117" s="40"/>
      <c r="B117" s="40"/>
      <c r="C117" s="41"/>
      <c r="D117" s="42"/>
      <c r="E117" s="42"/>
      <c r="F117" s="92"/>
      <c r="G117" s="9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43"/>
      <c r="BI117" s="43"/>
      <c r="BJ117" s="43"/>
      <c r="BK117" s="43"/>
      <c r="BL117" s="43"/>
      <c r="BM117" s="43"/>
      <c r="BN117" s="43"/>
      <c r="BO117" s="43"/>
      <c r="BP117" s="43"/>
      <c r="BQ117" s="43"/>
      <c r="BR117" s="43"/>
      <c r="BS117" s="43"/>
      <c r="BT117" s="43"/>
      <c r="BU117" s="43"/>
      <c r="BV117" s="43"/>
      <c r="BW117" s="43"/>
      <c r="BX117" s="43"/>
      <c r="BY117" s="43"/>
      <c r="BZ117" s="43"/>
      <c r="CA117" s="43"/>
      <c r="CB117" s="43"/>
      <c r="CC117" s="43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</row>
  </sheetData>
  <autoFilter ref="A7:G43" xr:uid="{00000000-0009-0000-0000-000000000000}"/>
  <mergeCells count="14">
    <mergeCell ref="DM18:DU18"/>
    <mergeCell ref="DV18:DW18"/>
    <mergeCell ref="DM14:DU14"/>
    <mergeCell ref="DM15:DU15"/>
    <mergeCell ref="DM16:DU16"/>
    <mergeCell ref="DV16:DW16"/>
    <mergeCell ref="DM17:DU17"/>
    <mergeCell ref="DM11:DU11"/>
    <mergeCell ref="DM12:DU12"/>
    <mergeCell ref="DM13:DU13"/>
    <mergeCell ref="AC2:AG2"/>
    <mergeCell ref="AH2:AL2"/>
    <mergeCell ref="DN9:DV9"/>
    <mergeCell ref="DM10:DU10"/>
  </mergeCells>
  <conditionalFormatting sqref="CQ8:DL9 H11:AV11 AA8:CP8 U8:V8 H9:CP9 BK11:CP11">
    <cfRule type="expression" dxfId="336" priority="403">
      <formula>PercentCompleteBeyond</formula>
    </cfRule>
    <cfRule type="expression" dxfId="335" priority="404">
      <formula>Actual</formula>
    </cfRule>
    <cfRule type="expression" dxfId="334" priority="405">
      <formula>ActualBeyond</formula>
    </cfRule>
    <cfRule type="expression" dxfId="333" priority="406">
      <formula>Plan</formula>
    </cfRule>
    <cfRule type="expression" dxfId="332" priority="407">
      <formula>H$7=period_selected</formula>
    </cfRule>
    <cfRule type="expression" dxfId="331" priority="408">
      <formula>MOD(COLUMN(),2)</formula>
    </cfRule>
    <cfRule type="expression" dxfId="330" priority="409">
      <formula>MOD(COLUMN(),2)=0</formula>
    </cfRule>
  </conditionalFormatting>
  <conditionalFormatting sqref="H7:DL7">
    <cfRule type="expression" dxfId="329" priority="401">
      <formula>H$7=period_selected</formula>
    </cfRule>
  </conditionalFormatting>
  <conditionalFormatting sqref="AK8:CP8 X11:AV11 CQ8:DL9 H9:CP9 BK11:CP11">
    <cfRule type="expression" dxfId="328" priority="402">
      <formula>PercentComplete</formula>
    </cfRule>
  </conditionalFormatting>
  <conditionalFormatting sqref="CQ11:DJ11">
    <cfRule type="expression" dxfId="327" priority="394">
      <formula>PercentCompleteBeyond</formula>
    </cfRule>
    <cfRule type="expression" dxfId="326" priority="395">
      <formula>Actual</formula>
    </cfRule>
    <cfRule type="expression" dxfId="325" priority="396">
      <formula>ActualBeyond</formula>
    </cfRule>
    <cfRule type="expression" dxfId="324" priority="397">
      <formula>Plan</formula>
    </cfRule>
    <cfRule type="expression" dxfId="323" priority="398">
      <formula>CQ$7=period_selected</formula>
    </cfRule>
    <cfRule type="expression" dxfId="322" priority="399">
      <formula>MOD(COLUMN(),2)</formula>
    </cfRule>
    <cfRule type="expression" dxfId="321" priority="400">
      <formula>MOD(COLUMN(),2)=0</formula>
    </cfRule>
  </conditionalFormatting>
  <conditionalFormatting sqref="CQ11:DJ11">
    <cfRule type="expression" dxfId="320" priority="393">
      <formula>PercentComplete</formula>
    </cfRule>
  </conditionalFormatting>
  <conditionalFormatting sqref="DK11:DL11">
    <cfRule type="expression" dxfId="319" priority="386">
      <formula>PercentCompleteBeyond</formula>
    </cfRule>
    <cfRule type="expression" dxfId="318" priority="387">
      <formula>Actual</formula>
    </cfRule>
    <cfRule type="expression" dxfId="317" priority="388">
      <formula>ActualBeyond</formula>
    </cfRule>
    <cfRule type="expression" dxfId="316" priority="389">
      <formula>Plan</formula>
    </cfRule>
    <cfRule type="expression" dxfId="315" priority="390">
      <formula>DK$7=period_selected</formula>
    </cfRule>
    <cfRule type="expression" dxfId="314" priority="391">
      <formula>MOD(COLUMN(),2)</formula>
    </cfRule>
    <cfRule type="expression" dxfId="313" priority="392">
      <formula>MOD(COLUMN(),2)=0</formula>
    </cfRule>
  </conditionalFormatting>
  <conditionalFormatting sqref="DK11:DL11">
    <cfRule type="expression" dxfId="312" priority="385">
      <formula>PercentComplete</formula>
    </cfRule>
  </conditionalFormatting>
  <conditionalFormatting sqref="H8:I8">
    <cfRule type="expression" dxfId="311" priority="378">
      <formula>PercentCompleteBeyond</formula>
    </cfRule>
    <cfRule type="expression" dxfId="310" priority="379">
      <formula>Actual</formula>
    </cfRule>
    <cfRule type="expression" dxfId="309" priority="380">
      <formula>ActualBeyond</formula>
    </cfRule>
    <cfRule type="expression" dxfId="308" priority="381">
      <formula>Plan</formula>
    </cfRule>
    <cfRule type="expression" dxfId="307" priority="382">
      <formula>H$7=period_selected</formula>
    </cfRule>
    <cfRule type="expression" dxfId="306" priority="383">
      <formula>MOD(COLUMN(),2)</formula>
    </cfRule>
    <cfRule type="expression" dxfId="305" priority="384">
      <formula>MOD(COLUMN(),2)=0</formula>
    </cfRule>
  </conditionalFormatting>
  <conditionalFormatting sqref="H8:I8 H11:W11">
    <cfRule type="expression" dxfId="304" priority="377">
      <formula>PercentComplete</formula>
    </cfRule>
  </conditionalFormatting>
  <conditionalFormatting sqref="J8:T8">
    <cfRule type="expression" dxfId="303" priority="370">
      <formula>PercentCompleteBeyond</formula>
    </cfRule>
    <cfRule type="expression" dxfId="302" priority="371">
      <formula>Actual</formula>
    </cfRule>
    <cfRule type="expression" dxfId="301" priority="372">
      <formula>ActualBeyond</formula>
    </cfRule>
    <cfRule type="expression" dxfId="300" priority="373">
      <formula>Plan</formula>
    </cfRule>
    <cfRule type="expression" dxfId="299" priority="374">
      <formula>J$7=period_selected</formula>
    </cfRule>
    <cfRule type="expression" dxfId="298" priority="375">
      <formula>MOD(COLUMN(),2)</formula>
    </cfRule>
    <cfRule type="expression" dxfId="297" priority="376">
      <formula>MOD(COLUMN(),2)=0</formula>
    </cfRule>
  </conditionalFormatting>
  <conditionalFormatting sqref="J8:T8 AA8:AJ8">
    <cfRule type="expression" dxfId="296" priority="369">
      <formula>PercentComplete</formula>
    </cfRule>
  </conditionalFormatting>
  <conditionalFormatting sqref="Z8">
    <cfRule type="expression" dxfId="295" priority="362">
      <formula>PercentCompleteBeyond</formula>
    </cfRule>
    <cfRule type="expression" dxfId="294" priority="363">
      <formula>Actual</formula>
    </cfRule>
    <cfRule type="expression" dxfId="293" priority="364">
      <formula>ActualBeyond</formula>
    </cfRule>
    <cfRule type="expression" dxfId="292" priority="365">
      <formula>Plan</formula>
    </cfRule>
    <cfRule type="expression" dxfId="291" priority="366">
      <formula>Z$7=period_selected</formula>
    </cfRule>
    <cfRule type="expression" dxfId="290" priority="367">
      <formula>MOD(COLUMN(),2)</formula>
    </cfRule>
    <cfRule type="expression" dxfId="289" priority="368">
      <formula>MOD(COLUMN(),2)=0</formula>
    </cfRule>
  </conditionalFormatting>
  <conditionalFormatting sqref="Z8 U8:V8">
    <cfRule type="expression" dxfId="288" priority="361">
      <formula>PercentComplete</formula>
    </cfRule>
  </conditionalFormatting>
  <conditionalFormatting sqref="AF10:AO10 AU10:CP10">
    <cfRule type="expression" dxfId="287" priority="354">
      <formula>PercentCompleteBeyond</formula>
    </cfRule>
    <cfRule type="expression" dxfId="286" priority="355">
      <formula>Actual</formula>
    </cfRule>
    <cfRule type="expression" dxfId="285" priority="356">
      <formula>ActualBeyond</formula>
    </cfRule>
    <cfRule type="expression" dxfId="284" priority="357">
      <formula>Plan</formula>
    </cfRule>
    <cfRule type="expression" dxfId="283" priority="358">
      <formula>AF$7=period_selected</formula>
    </cfRule>
    <cfRule type="expression" dxfId="282" priority="359">
      <formula>MOD(COLUMN(),2)</formula>
    </cfRule>
    <cfRule type="expression" dxfId="281" priority="360">
      <formula>MOD(COLUMN(),2)=0</formula>
    </cfRule>
  </conditionalFormatting>
  <conditionalFormatting sqref="AF10:AO10 AU10:CP10">
    <cfRule type="expression" dxfId="280" priority="353">
      <formula>PercentComplete</formula>
    </cfRule>
  </conditionalFormatting>
  <conditionalFormatting sqref="CQ10:DJ10">
    <cfRule type="expression" dxfId="279" priority="346">
      <formula>PercentCompleteBeyond</formula>
    </cfRule>
    <cfRule type="expression" dxfId="278" priority="347">
      <formula>Actual</formula>
    </cfRule>
    <cfRule type="expression" dxfId="277" priority="348">
      <formula>ActualBeyond</formula>
    </cfRule>
    <cfRule type="expression" dxfId="276" priority="349">
      <formula>Plan</formula>
    </cfRule>
    <cfRule type="expression" dxfId="275" priority="350">
      <formula>CQ$7=period_selected</formula>
    </cfRule>
    <cfRule type="expression" dxfId="274" priority="351">
      <formula>MOD(COLUMN(),2)</formula>
    </cfRule>
    <cfRule type="expression" dxfId="273" priority="352">
      <formula>MOD(COLUMN(),2)=0</formula>
    </cfRule>
  </conditionalFormatting>
  <conditionalFormatting sqref="CQ10:DJ10">
    <cfRule type="expression" dxfId="272" priority="345">
      <formula>PercentComplete</formula>
    </cfRule>
  </conditionalFormatting>
  <conditionalFormatting sqref="DK10:DL10">
    <cfRule type="expression" dxfId="271" priority="338">
      <formula>PercentCompleteBeyond</formula>
    </cfRule>
    <cfRule type="expression" dxfId="270" priority="339">
      <formula>Actual</formula>
    </cfRule>
    <cfRule type="expression" dxfId="269" priority="340">
      <formula>ActualBeyond</formula>
    </cfRule>
    <cfRule type="expression" dxfId="268" priority="341">
      <formula>Plan</formula>
    </cfRule>
    <cfRule type="expression" dxfId="267" priority="342">
      <formula>DK$7=period_selected</formula>
    </cfRule>
    <cfRule type="expression" dxfId="266" priority="343">
      <formula>MOD(COLUMN(),2)</formula>
    </cfRule>
    <cfRule type="expression" dxfId="265" priority="344">
      <formula>MOD(COLUMN(),2)=0</formula>
    </cfRule>
  </conditionalFormatting>
  <conditionalFormatting sqref="DK10:DL10">
    <cfRule type="expression" dxfId="264" priority="337">
      <formula>PercentComplete</formula>
    </cfRule>
  </conditionalFormatting>
  <conditionalFormatting sqref="H10:P10">
    <cfRule type="expression" dxfId="263" priority="330">
      <formula>PercentCompleteBeyond</formula>
    </cfRule>
    <cfRule type="expression" dxfId="262" priority="331">
      <formula>Actual</formula>
    </cfRule>
    <cfRule type="expression" dxfId="261" priority="332">
      <formula>ActualBeyond</formula>
    </cfRule>
    <cfRule type="expression" dxfId="260" priority="333">
      <formula>Plan</formula>
    </cfRule>
    <cfRule type="expression" dxfId="259" priority="334">
      <formula>H$7=period_selected</formula>
    </cfRule>
    <cfRule type="expression" dxfId="258" priority="335">
      <formula>MOD(COLUMN(),2)</formula>
    </cfRule>
    <cfRule type="expression" dxfId="257" priority="336">
      <formula>MOD(COLUMN(),2)=0</formula>
    </cfRule>
  </conditionalFormatting>
  <conditionalFormatting sqref="H10:P10">
    <cfRule type="expression" dxfId="256" priority="329">
      <formula>PercentComplete</formula>
    </cfRule>
  </conditionalFormatting>
  <conditionalFormatting sqref="Q10:AE10">
    <cfRule type="expression" dxfId="255" priority="322">
      <formula>PercentCompleteBeyond</formula>
    </cfRule>
    <cfRule type="expression" dxfId="254" priority="323">
      <formula>Actual</formula>
    </cfRule>
    <cfRule type="expression" dxfId="253" priority="324">
      <formula>ActualBeyond</formula>
    </cfRule>
    <cfRule type="expression" dxfId="252" priority="325">
      <formula>Plan</formula>
    </cfRule>
    <cfRule type="expression" dxfId="251" priority="326">
      <formula>Q$7=period_selected</formula>
    </cfRule>
    <cfRule type="expression" dxfId="250" priority="327">
      <formula>MOD(COLUMN(),2)</formula>
    </cfRule>
    <cfRule type="expression" dxfId="249" priority="328">
      <formula>MOD(COLUMN(),2)=0</formula>
    </cfRule>
  </conditionalFormatting>
  <conditionalFormatting sqref="Q10:AE10">
    <cfRule type="expression" dxfId="248" priority="321">
      <formula>PercentComplete</formula>
    </cfRule>
  </conditionalFormatting>
  <conditionalFormatting sqref="W8:Y8">
    <cfRule type="expression" dxfId="247" priority="242">
      <formula>PercentCompleteBeyond</formula>
    </cfRule>
    <cfRule type="expression" dxfId="246" priority="243">
      <formula>Actual</formula>
    </cfRule>
    <cfRule type="expression" dxfId="245" priority="244">
      <formula>ActualBeyond</formula>
    </cfRule>
    <cfRule type="expression" dxfId="244" priority="245">
      <formula>Plan</formula>
    </cfRule>
    <cfRule type="expression" dxfId="243" priority="246">
      <formula>W$7=period_selected</formula>
    </cfRule>
    <cfRule type="expression" dxfId="242" priority="247">
      <formula>MOD(COLUMN(),2)</formula>
    </cfRule>
    <cfRule type="expression" dxfId="241" priority="248">
      <formula>MOD(COLUMN(),2)=0</formula>
    </cfRule>
  </conditionalFormatting>
  <conditionalFormatting sqref="W8:Y8">
    <cfRule type="expression" dxfId="240" priority="241">
      <formula>PercentComplete</formula>
    </cfRule>
  </conditionalFormatting>
  <conditionalFormatting sqref="AF44:CP46">
    <cfRule type="expression" dxfId="239" priority="234">
      <formula>PercentCompleteBeyond</formula>
    </cfRule>
    <cfRule type="expression" dxfId="238" priority="235">
      <formula>Actual</formula>
    </cfRule>
    <cfRule type="expression" dxfId="237" priority="236">
      <formula>ActualBeyond</formula>
    </cfRule>
    <cfRule type="expression" dxfId="236" priority="237">
      <formula>Plan</formula>
    </cfRule>
    <cfRule type="expression" dxfId="235" priority="238">
      <formula>AF$7=period_selected</formula>
    </cfRule>
    <cfRule type="expression" dxfId="234" priority="239">
      <formula>MOD(COLUMN(),2)</formula>
    </cfRule>
    <cfRule type="expression" dxfId="233" priority="240">
      <formula>MOD(COLUMN(),2)=0</formula>
    </cfRule>
  </conditionalFormatting>
  <conditionalFormatting sqref="AF44:CP46">
    <cfRule type="expression" dxfId="232" priority="233">
      <formula>PercentComplete</formula>
    </cfRule>
  </conditionalFormatting>
  <conditionalFormatting sqref="CQ44:DJ46">
    <cfRule type="expression" dxfId="231" priority="226">
      <formula>PercentCompleteBeyond</formula>
    </cfRule>
    <cfRule type="expression" dxfId="230" priority="227">
      <formula>Actual</formula>
    </cfRule>
    <cfRule type="expression" dxfId="229" priority="228">
      <formula>ActualBeyond</formula>
    </cfRule>
    <cfRule type="expression" dxfId="228" priority="229">
      <formula>Plan</formula>
    </cfRule>
    <cfRule type="expression" dxfId="227" priority="230">
      <formula>CQ$7=period_selected</formula>
    </cfRule>
    <cfRule type="expression" dxfId="226" priority="231">
      <formula>MOD(COLUMN(),2)</formula>
    </cfRule>
    <cfRule type="expression" dxfId="225" priority="232">
      <formula>MOD(COLUMN(),2)=0</formula>
    </cfRule>
  </conditionalFormatting>
  <conditionalFormatting sqref="CQ44:DJ46">
    <cfRule type="expression" dxfId="224" priority="225">
      <formula>PercentComplete</formula>
    </cfRule>
  </conditionalFormatting>
  <conditionalFormatting sqref="DK44:DL46">
    <cfRule type="expression" dxfId="223" priority="218">
      <formula>PercentCompleteBeyond</formula>
    </cfRule>
    <cfRule type="expression" dxfId="222" priority="219">
      <formula>Actual</formula>
    </cfRule>
    <cfRule type="expression" dxfId="221" priority="220">
      <formula>ActualBeyond</formula>
    </cfRule>
    <cfRule type="expression" dxfId="220" priority="221">
      <formula>Plan</formula>
    </cfRule>
    <cfRule type="expression" dxfId="219" priority="222">
      <formula>DK$7=period_selected</formula>
    </cfRule>
    <cfRule type="expression" dxfId="218" priority="223">
      <formula>MOD(COLUMN(),2)</formula>
    </cfRule>
    <cfRule type="expression" dxfId="217" priority="224">
      <formula>MOD(COLUMN(),2)=0</formula>
    </cfRule>
  </conditionalFormatting>
  <conditionalFormatting sqref="DK44:DL46">
    <cfRule type="expression" dxfId="216" priority="217">
      <formula>PercentComplete</formula>
    </cfRule>
  </conditionalFormatting>
  <conditionalFormatting sqref="H44:P46">
    <cfRule type="expression" dxfId="215" priority="210">
      <formula>PercentCompleteBeyond</formula>
    </cfRule>
    <cfRule type="expression" dxfId="214" priority="211">
      <formula>Actual</formula>
    </cfRule>
    <cfRule type="expression" dxfId="213" priority="212">
      <formula>ActualBeyond</formula>
    </cfRule>
    <cfRule type="expression" dxfId="212" priority="213">
      <formula>Plan</formula>
    </cfRule>
    <cfRule type="expression" dxfId="211" priority="214">
      <formula>H$7=period_selected</formula>
    </cfRule>
    <cfRule type="expression" dxfId="210" priority="215">
      <formula>MOD(COLUMN(),2)</formula>
    </cfRule>
    <cfRule type="expression" dxfId="209" priority="216">
      <formula>MOD(COLUMN(),2)=0</formula>
    </cfRule>
  </conditionalFormatting>
  <conditionalFormatting sqref="H44:P46">
    <cfRule type="expression" dxfId="208" priority="209">
      <formula>PercentComplete</formula>
    </cfRule>
  </conditionalFormatting>
  <conditionalFormatting sqref="Q44:AE46">
    <cfRule type="expression" dxfId="207" priority="202">
      <formula>PercentCompleteBeyond</formula>
    </cfRule>
    <cfRule type="expression" dxfId="206" priority="203">
      <formula>Actual</formula>
    </cfRule>
    <cfRule type="expression" dxfId="205" priority="204">
      <formula>ActualBeyond</formula>
    </cfRule>
    <cfRule type="expression" dxfId="204" priority="205">
      <formula>Plan</formula>
    </cfRule>
    <cfRule type="expression" dxfId="203" priority="206">
      <formula>Q$7=period_selected</formula>
    </cfRule>
    <cfRule type="expression" dxfId="202" priority="207">
      <formula>MOD(COLUMN(),2)</formula>
    </cfRule>
    <cfRule type="expression" dxfId="201" priority="208">
      <formula>MOD(COLUMN(),2)=0</formula>
    </cfRule>
  </conditionalFormatting>
  <conditionalFormatting sqref="Q44:AE46">
    <cfRule type="expression" dxfId="200" priority="201">
      <formula>PercentComplete</formula>
    </cfRule>
  </conditionalFormatting>
  <conditionalFormatting sqref="X29:CP43 X12:AT12 X13:BE13 BZ12:CP13 X14:AY14 BS14:CP14 X15:AQ15 BA15:CP15 X16:AV16 BU16:CP16 X17:AU17 BA17:CP17 X19:CP27 X18:BK18 BS18:CP18">
    <cfRule type="expression" dxfId="199" priority="194">
      <formula>PercentCompleteBeyond</formula>
    </cfRule>
    <cfRule type="expression" dxfId="198" priority="195">
      <formula>Actual</formula>
    </cfRule>
    <cfRule type="expression" dxfId="197" priority="196">
      <formula>ActualBeyond</formula>
    </cfRule>
    <cfRule type="expression" dxfId="196" priority="197">
      <formula>Plan</formula>
    </cfRule>
    <cfRule type="expression" dxfId="195" priority="198">
      <formula>X$7=period_selected</formula>
    </cfRule>
    <cfRule type="expression" dxfId="194" priority="199">
      <formula>MOD(COLUMN(),2)</formula>
    </cfRule>
    <cfRule type="expression" dxfId="193" priority="200">
      <formula>MOD(COLUMN(),2)=0</formula>
    </cfRule>
  </conditionalFormatting>
  <conditionalFormatting sqref="X29:CP43 X12:AT12 X13:BE13 BZ12:CP13 X14:AY14 BS14:CP14 X15:AQ15 BA15:CP15 X16:AV16 BU16:CP16 X17:AU17 BA17:CP17 X19:CP27 X18:BK18 BS18:CP18">
    <cfRule type="expression" dxfId="192" priority="193">
      <formula>PercentComplete</formula>
    </cfRule>
  </conditionalFormatting>
  <conditionalFormatting sqref="CQ12:DJ27 CQ29:DJ43">
    <cfRule type="expression" dxfId="191" priority="186">
      <formula>PercentCompleteBeyond</formula>
    </cfRule>
    <cfRule type="expression" dxfId="190" priority="187">
      <formula>Actual</formula>
    </cfRule>
    <cfRule type="expression" dxfId="189" priority="188">
      <formula>ActualBeyond</formula>
    </cfRule>
    <cfRule type="expression" dxfId="188" priority="189">
      <formula>Plan</formula>
    </cfRule>
    <cfRule type="expression" dxfId="187" priority="190">
      <formula>CQ$7=period_selected</formula>
    </cfRule>
    <cfRule type="expression" dxfId="186" priority="191">
      <formula>MOD(COLUMN(),2)</formula>
    </cfRule>
    <cfRule type="expression" dxfId="185" priority="192">
      <formula>MOD(COLUMN(),2)=0</formula>
    </cfRule>
  </conditionalFormatting>
  <conditionalFormatting sqref="CQ12:DJ27 CQ29:DJ43">
    <cfRule type="expression" dxfId="184" priority="185">
      <formula>PercentComplete</formula>
    </cfRule>
  </conditionalFormatting>
  <conditionalFormatting sqref="DK12:DL27 DK29:DL43">
    <cfRule type="expression" dxfId="183" priority="178">
      <formula>PercentCompleteBeyond</formula>
    </cfRule>
    <cfRule type="expression" dxfId="182" priority="179">
      <formula>Actual</formula>
    </cfRule>
    <cfRule type="expression" dxfId="181" priority="180">
      <formula>ActualBeyond</formula>
    </cfRule>
    <cfRule type="expression" dxfId="180" priority="181">
      <formula>Plan</formula>
    </cfRule>
    <cfRule type="expression" dxfId="179" priority="182">
      <formula>DK$7=period_selected</formula>
    </cfRule>
    <cfRule type="expression" dxfId="178" priority="183">
      <formula>MOD(COLUMN(),2)</formula>
    </cfRule>
    <cfRule type="expression" dxfId="177" priority="184">
      <formula>MOD(COLUMN(),2)=0</formula>
    </cfRule>
  </conditionalFormatting>
  <conditionalFormatting sqref="DK12:DL27 DK29:DL43">
    <cfRule type="expression" dxfId="176" priority="177">
      <formula>PercentComplete</formula>
    </cfRule>
  </conditionalFormatting>
  <conditionalFormatting sqref="H12:W27 H29:W43">
    <cfRule type="expression" dxfId="175" priority="170">
      <formula>PercentCompleteBeyond</formula>
    </cfRule>
    <cfRule type="expression" dxfId="174" priority="171">
      <formula>Actual</formula>
    </cfRule>
    <cfRule type="expression" dxfId="173" priority="172">
      <formula>ActualBeyond</formula>
    </cfRule>
    <cfRule type="expression" dxfId="172" priority="173">
      <formula>Plan</formula>
    </cfRule>
    <cfRule type="expression" dxfId="171" priority="174">
      <formula>H$7=period_selected</formula>
    </cfRule>
    <cfRule type="expression" dxfId="170" priority="175">
      <formula>MOD(COLUMN(),2)</formula>
    </cfRule>
    <cfRule type="expression" dxfId="169" priority="176">
      <formula>MOD(COLUMN(),2)=0</formula>
    </cfRule>
  </conditionalFormatting>
  <conditionalFormatting sqref="H12:W27 H29:W43">
    <cfRule type="expression" dxfId="168" priority="169">
      <formula>PercentComplete</formula>
    </cfRule>
  </conditionalFormatting>
  <conditionalFormatting sqref="X28:CP28">
    <cfRule type="expression" dxfId="167" priority="162">
      <formula>PercentCompleteBeyond</formula>
    </cfRule>
    <cfRule type="expression" dxfId="166" priority="163">
      <formula>Actual</formula>
    </cfRule>
    <cfRule type="expression" dxfId="165" priority="164">
      <formula>ActualBeyond</formula>
    </cfRule>
    <cfRule type="expression" dxfId="164" priority="165">
      <formula>Plan</formula>
    </cfRule>
    <cfRule type="expression" dxfId="163" priority="166">
      <formula>X$7=period_selected</formula>
    </cfRule>
    <cfRule type="expression" dxfId="162" priority="167">
      <formula>MOD(COLUMN(),2)</formula>
    </cfRule>
    <cfRule type="expression" dxfId="161" priority="168">
      <formula>MOD(COLUMN(),2)=0</formula>
    </cfRule>
  </conditionalFormatting>
  <conditionalFormatting sqref="X28:CP28">
    <cfRule type="expression" dxfId="160" priority="161">
      <formula>PercentComplete</formula>
    </cfRule>
  </conditionalFormatting>
  <conditionalFormatting sqref="CQ28:DJ28">
    <cfRule type="expression" dxfId="159" priority="154">
      <formula>PercentCompleteBeyond</formula>
    </cfRule>
    <cfRule type="expression" dxfId="158" priority="155">
      <formula>Actual</formula>
    </cfRule>
    <cfRule type="expression" dxfId="157" priority="156">
      <formula>ActualBeyond</formula>
    </cfRule>
    <cfRule type="expression" dxfId="156" priority="157">
      <formula>Plan</formula>
    </cfRule>
    <cfRule type="expression" dxfId="155" priority="158">
      <formula>CQ$7=period_selected</formula>
    </cfRule>
    <cfRule type="expression" dxfId="154" priority="159">
      <formula>MOD(COLUMN(),2)</formula>
    </cfRule>
    <cfRule type="expression" dxfId="153" priority="160">
      <formula>MOD(COLUMN(),2)=0</formula>
    </cfRule>
  </conditionalFormatting>
  <conditionalFormatting sqref="CQ28:DJ28">
    <cfRule type="expression" dxfId="152" priority="153">
      <formula>PercentComplete</formula>
    </cfRule>
  </conditionalFormatting>
  <conditionalFormatting sqref="DK28:DL28">
    <cfRule type="expression" dxfId="151" priority="146">
      <formula>PercentCompleteBeyond</formula>
    </cfRule>
    <cfRule type="expression" dxfId="150" priority="147">
      <formula>Actual</formula>
    </cfRule>
    <cfRule type="expression" dxfId="149" priority="148">
      <formula>ActualBeyond</formula>
    </cfRule>
    <cfRule type="expression" dxfId="148" priority="149">
      <formula>Plan</formula>
    </cfRule>
    <cfRule type="expression" dxfId="147" priority="150">
      <formula>DK$7=period_selected</formula>
    </cfRule>
    <cfRule type="expression" dxfId="146" priority="151">
      <formula>MOD(COLUMN(),2)</formula>
    </cfRule>
    <cfRule type="expression" dxfId="145" priority="152">
      <formula>MOD(COLUMN(),2)=0</formula>
    </cfRule>
  </conditionalFormatting>
  <conditionalFormatting sqref="DK28:DL28">
    <cfRule type="expression" dxfId="144" priority="145">
      <formula>PercentComplete</formula>
    </cfRule>
  </conditionalFormatting>
  <conditionalFormatting sqref="H28:W28">
    <cfRule type="expression" dxfId="143" priority="138">
      <formula>PercentCompleteBeyond</formula>
    </cfRule>
    <cfRule type="expression" dxfId="142" priority="139">
      <formula>Actual</formula>
    </cfRule>
    <cfRule type="expression" dxfId="141" priority="140">
      <formula>ActualBeyond</formula>
    </cfRule>
    <cfRule type="expression" dxfId="140" priority="141">
      <formula>Plan</formula>
    </cfRule>
    <cfRule type="expression" dxfId="139" priority="142">
      <formula>H$7=period_selected</formula>
    </cfRule>
    <cfRule type="expression" dxfId="138" priority="143">
      <formula>MOD(COLUMN(),2)</formula>
    </cfRule>
    <cfRule type="expression" dxfId="137" priority="144">
      <formula>MOD(COLUMN(),2)=0</formula>
    </cfRule>
  </conditionalFormatting>
  <conditionalFormatting sqref="H28:W28">
    <cfRule type="expression" dxfId="136" priority="137">
      <formula>PercentComplete</formula>
    </cfRule>
  </conditionalFormatting>
  <conditionalFormatting sqref="AP10">
    <cfRule type="expression" dxfId="135" priority="130">
      <formula>PercentCompleteBeyond</formula>
    </cfRule>
    <cfRule type="expression" dxfId="134" priority="131">
      <formula>Actual</formula>
    </cfRule>
    <cfRule type="expression" dxfId="133" priority="132">
      <formula>ActualBeyond</formula>
    </cfRule>
    <cfRule type="expression" dxfId="132" priority="133">
      <formula>Plan</formula>
    </cfRule>
    <cfRule type="expression" dxfId="131" priority="134">
      <formula>AP$7=period_selected</formula>
    </cfRule>
    <cfRule type="expression" dxfId="130" priority="135">
      <formula>MOD(COLUMN(),2)</formula>
    </cfRule>
    <cfRule type="expression" dxfId="129" priority="136">
      <formula>MOD(COLUMN(),2)=0</formula>
    </cfRule>
  </conditionalFormatting>
  <conditionalFormatting sqref="AP10">
    <cfRule type="expression" dxfId="128" priority="129">
      <formula>PercentComplete</formula>
    </cfRule>
  </conditionalFormatting>
  <conditionalFormatting sqref="AQ10:AT10">
    <cfRule type="expression" dxfId="127" priority="122">
      <formula>PercentCompleteBeyond</formula>
    </cfRule>
    <cfRule type="expression" dxfId="126" priority="123">
      <formula>Actual</formula>
    </cfRule>
    <cfRule type="expression" dxfId="125" priority="124">
      <formula>ActualBeyond</formula>
    </cfRule>
    <cfRule type="expression" dxfId="124" priority="125">
      <formula>Plan</formula>
    </cfRule>
    <cfRule type="expression" dxfId="123" priority="126">
      <formula>AQ$7=period_selected</formula>
    </cfRule>
    <cfRule type="expression" dxfId="122" priority="127">
      <formula>MOD(COLUMN(),2)</formula>
    </cfRule>
    <cfRule type="expression" dxfId="121" priority="128">
      <formula>MOD(COLUMN(),2)=0</formula>
    </cfRule>
  </conditionalFormatting>
  <conditionalFormatting sqref="AQ10:AT10">
    <cfRule type="expression" dxfId="120" priority="121">
      <formula>PercentComplete</formula>
    </cfRule>
  </conditionalFormatting>
  <conditionalFormatting sqref="AW11">
    <cfRule type="expression" dxfId="119" priority="114">
      <formula>PercentCompleteBeyond</formula>
    </cfRule>
    <cfRule type="expression" dxfId="118" priority="115">
      <formula>Actual</formula>
    </cfRule>
    <cfRule type="expression" dxfId="117" priority="116">
      <formula>ActualBeyond</formula>
    </cfRule>
    <cfRule type="expression" dxfId="116" priority="117">
      <formula>Plan</formula>
    </cfRule>
    <cfRule type="expression" dxfId="115" priority="118">
      <formula>AW$7=period_selected</formula>
    </cfRule>
    <cfRule type="expression" dxfId="114" priority="119">
      <formula>MOD(COLUMN(),2)</formula>
    </cfRule>
    <cfRule type="expression" dxfId="113" priority="120">
      <formula>MOD(COLUMN(),2)=0</formula>
    </cfRule>
  </conditionalFormatting>
  <conditionalFormatting sqref="AW11">
    <cfRule type="expression" dxfId="112" priority="113">
      <formula>PercentComplete</formula>
    </cfRule>
  </conditionalFormatting>
  <conditionalFormatting sqref="AX11:BJ11">
    <cfRule type="expression" dxfId="111" priority="106">
      <formula>PercentCompleteBeyond</formula>
    </cfRule>
    <cfRule type="expression" dxfId="110" priority="107">
      <formula>Actual</formula>
    </cfRule>
    <cfRule type="expression" dxfId="109" priority="108">
      <formula>ActualBeyond</formula>
    </cfRule>
    <cfRule type="expression" dxfId="108" priority="109">
      <formula>Plan</formula>
    </cfRule>
    <cfRule type="expression" dxfId="107" priority="110">
      <formula>AX$7=period_selected</formula>
    </cfRule>
    <cfRule type="expression" dxfId="106" priority="111">
      <formula>MOD(COLUMN(),2)</formula>
    </cfRule>
    <cfRule type="expression" dxfId="105" priority="112">
      <formula>MOD(COLUMN(),2)=0</formula>
    </cfRule>
  </conditionalFormatting>
  <conditionalFormatting sqref="AX11:BJ11">
    <cfRule type="expression" dxfId="104" priority="105">
      <formula>PercentComplete</formula>
    </cfRule>
  </conditionalFormatting>
  <conditionalFormatting sqref="AU12">
    <cfRule type="expression" dxfId="103" priority="98">
      <formula>PercentCompleteBeyond</formula>
    </cfRule>
    <cfRule type="expression" dxfId="102" priority="99">
      <formula>Actual</formula>
    </cfRule>
    <cfRule type="expression" dxfId="101" priority="100">
      <formula>ActualBeyond</formula>
    </cfRule>
    <cfRule type="expression" dxfId="100" priority="101">
      <formula>Plan</formula>
    </cfRule>
    <cfRule type="expression" dxfId="99" priority="102">
      <formula>AU$7=period_selected</formula>
    </cfRule>
    <cfRule type="expression" dxfId="98" priority="103">
      <formula>MOD(COLUMN(),2)</formula>
    </cfRule>
    <cfRule type="expression" dxfId="97" priority="104">
      <formula>MOD(COLUMN(),2)=0</formula>
    </cfRule>
  </conditionalFormatting>
  <conditionalFormatting sqref="AU12">
    <cfRule type="expression" dxfId="96" priority="97">
      <formula>PercentComplete</formula>
    </cfRule>
  </conditionalFormatting>
  <conditionalFormatting sqref="AV12:BY12">
    <cfRule type="expression" dxfId="95" priority="90">
      <formula>PercentCompleteBeyond</formula>
    </cfRule>
    <cfRule type="expression" dxfId="94" priority="91">
      <formula>Actual</formula>
    </cfRule>
    <cfRule type="expression" dxfId="93" priority="92">
      <formula>ActualBeyond</formula>
    </cfRule>
    <cfRule type="expression" dxfId="92" priority="93">
      <formula>Plan</formula>
    </cfRule>
    <cfRule type="expression" dxfId="91" priority="94">
      <formula>AV$7=period_selected</formula>
    </cfRule>
    <cfRule type="expression" dxfId="90" priority="95">
      <formula>MOD(COLUMN(),2)</formula>
    </cfRule>
    <cfRule type="expression" dxfId="89" priority="96">
      <formula>MOD(COLUMN(),2)=0</formula>
    </cfRule>
  </conditionalFormatting>
  <conditionalFormatting sqref="AV12:BY12">
    <cfRule type="expression" dxfId="88" priority="89">
      <formula>PercentComplete</formula>
    </cfRule>
  </conditionalFormatting>
  <conditionalFormatting sqref="BF13">
    <cfRule type="expression" dxfId="87" priority="82">
      <formula>PercentCompleteBeyond</formula>
    </cfRule>
    <cfRule type="expression" dxfId="86" priority="83">
      <formula>Actual</formula>
    </cfRule>
    <cfRule type="expression" dxfId="85" priority="84">
      <formula>ActualBeyond</formula>
    </cfRule>
    <cfRule type="expression" dxfId="84" priority="85">
      <formula>Plan</formula>
    </cfRule>
    <cfRule type="expression" dxfId="83" priority="86">
      <formula>BF$7=period_selected</formula>
    </cfRule>
    <cfRule type="expression" dxfId="82" priority="87">
      <formula>MOD(COLUMN(),2)</formula>
    </cfRule>
    <cfRule type="expression" dxfId="81" priority="88">
      <formula>MOD(COLUMN(),2)=0</formula>
    </cfRule>
  </conditionalFormatting>
  <conditionalFormatting sqref="BF13">
    <cfRule type="expression" dxfId="80" priority="81">
      <formula>PercentComplete</formula>
    </cfRule>
  </conditionalFormatting>
  <conditionalFormatting sqref="BG13:BY13">
    <cfRule type="expression" dxfId="79" priority="74">
      <formula>PercentCompleteBeyond</formula>
    </cfRule>
    <cfRule type="expression" dxfId="78" priority="75">
      <formula>Actual</formula>
    </cfRule>
    <cfRule type="expression" dxfId="77" priority="76">
      <formula>ActualBeyond</formula>
    </cfRule>
    <cfRule type="expression" dxfId="76" priority="77">
      <formula>Plan</formula>
    </cfRule>
    <cfRule type="expression" dxfId="75" priority="78">
      <formula>BG$7=period_selected</formula>
    </cfRule>
    <cfRule type="expression" dxfId="74" priority="79">
      <formula>MOD(COLUMN(),2)</formula>
    </cfRule>
    <cfRule type="expression" dxfId="73" priority="80">
      <formula>MOD(COLUMN(),2)=0</formula>
    </cfRule>
  </conditionalFormatting>
  <conditionalFormatting sqref="BG13:BY13">
    <cfRule type="expression" dxfId="72" priority="73">
      <formula>PercentComplete</formula>
    </cfRule>
  </conditionalFormatting>
  <conditionalFormatting sqref="AZ14">
    <cfRule type="expression" dxfId="71" priority="66">
      <formula>PercentCompleteBeyond</formula>
    </cfRule>
    <cfRule type="expression" dxfId="70" priority="67">
      <formula>Actual</formula>
    </cfRule>
    <cfRule type="expression" dxfId="69" priority="68">
      <formula>ActualBeyond</formula>
    </cfRule>
    <cfRule type="expression" dxfId="68" priority="69">
      <formula>Plan</formula>
    </cfRule>
    <cfRule type="expression" dxfId="67" priority="70">
      <formula>AZ$7=period_selected</formula>
    </cfRule>
    <cfRule type="expression" dxfId="66" priority="71">
      <formula>MOD(COLUMN(),2)</formula>
    </cfRule>
    <cfRule type="expression" dxfId="65" priority="72">
      <formula>MOD(COLUMN(),2)=0</formula>
    </cfRule>
  </conditionalFormatting>
  <conditionalFormatting sqref="AZ14">
    <cfRule type="expression" dxfId="64" priority="65">
      <formula>PercentComplete</formula>
    </cfRule>
  </conditionalFormatting>
  <conditionalFormatting sqref="BA14:BR14">
    <cfRule type="expression" dxfId="63" priority="58">
      <formula>PercentCompleteBeyond</formula>
    </cfRule>
    <cfRule type="expression" dxfId="62" priority="59">
      <formula>Actual</formula>
    </cfRule>
    <cfRule type="expression" dxfId="61" priority="60">
      <formula>ActualBeyond</formula>
    </cfRule>
    <cfRule type="expression" dxfId="60" priority="61">
      <formula>Plan</formula>
    </cfRule>
    <cfRule type="expression" dxfId="59" priority="62">
      <formula>BA$7=period_selected</formula>
    </cfRule>
    <cfRule type="expression" dxfId="58" priority="63">
      <formula>MOD(COLUMN(),2)</formula>
    </cfRule>
    <cfRule type="expression" dxfId="57" priority="64">
      <formula>MOD(COLUMN(),2)=0</formula>
    </cfRule>
  </conditionalFormatting>
  <conditionalFormatting sqref="BA14:BR14">
    <cfRule type="expression" dxfId="56" priority="57">
      <formula>PercentComplete</formula>
    </cfRule>
  </conditionalFormatting>
  <conditionalFormatting sqref="AR15:AZ15">
    <cfRule type="expression" dxfId="55" priority="50">
      <formula>PercentCompleteBeyond</formula>
    </cfRule>
    <cfRule type="expression" dxfId="54" priority="51">
      <formula>Actual</formula>
    </cfRule>
    <cfRule type="expression" dxfId="53" priority="52">
      <formula>ActualBeyond</formula>
    </cfRule>
    <cfRule type="expression" dxfId="52" priority="53">
      <formula>Plan</formula>
    </cfRule>
    <cfRule type="expression" dxfId="51" priority="54">
      <formula>AR$7=period_selected</formula>
    </cfRule>
    <cfRule type="expression" dxfId="50" priority="55">
      <formula>MOD(COLUMN(),2)</formula>
    </cfRule>
    <cfRule type="expression" dxfId="49" priority="56">
      <formula>MOD(COLUMN(),2)=0</formula>
    </cfRule>
  </conditionalFormatting>
  <conditionalFormatting sqref="AR15:AZ15">
    <cfRule type="expression" dxfId="48" priority="49">
      <formula>PercentComplete</formula>
    </cfRule>
  </conditionalFormatting>
  <conditionalFormatting sqref="AW16">
    <cfRule type="expression" dxfId="47" priority="42">
      <formula>PercentCompleteBeyond</formula>
    </cfRule>
    <cfRule type="expression" dxfId="46" priority="43">
      <formula>Actual</formula>
    </cfRule>
    <cfRule type="expression" dxfId="45" priority="44">
      <formula>ActualBeyond</formula>
    </cfRule>
    <cfRule type="expression" dxfId="44" priority="45">
      <formula>Plan</formula>
    </cfRule>
    <cfRule type="expression" dxfId="43" priority="46">
      <formula>AW$7=period_selected</formula>
    </cfRule>
    <cfRule type="expression" dxfId="42" priority="47">
      <formula>MOD(COLUMN(),2)</formula>
    </cfRule>
    <cfRule type="expression" dxfId="41" priority="48">
      <formula>MOD(COLUMN(),2)=0</formula>
    </cfRule>
  </conditionalFormatting>
  <conditionalFormatting sqref="AW16">
    <cfRule type="expression" dxfId="40" priority="41">
      <formula>PercentComplete</formula>
    </cfRule>
  </conditionalFormatting>
  <conditionalFormatting sqref="AX16">
    <cfRule type="expression" dxfId="39" priority="34">
      <formula>PercentCompleteBeyond</formula>
    </cfRule>
    <cfRule type="expression" dxfId="38" priority="35">
      <formula>Actual</formula>
    </cfRule>
    <cfRule type="expression" dxfId="37" priority="36">
      <formula>ActualBeyond</formula>
    </cfRule>
    <cfRule type="expression" dxfId="36" priority="37">
      <formula>Plan</formula>
    </cfRule>
    <cfRule type="expression" dxfId="35" priority="38">
      <formula>AX$7=period_selected</formula>
    </cfRule>
    <cfRule type="expression" dxfId="34" priority="39">
      <formula>MOD(COLUMN(),2)</formula>
    </cfRule>
    <cfRule type="expression" dxfId="33" priority="40">
      <formula>MOD(COLUMN(),2)=0</formula>
    </cfRule>
  </conditionalFormatting>
  <conditionalFormatting sqref="AX16">
    <cfRule type="expression" dxfId="32" priority="33">
      <formula>PercentComplete</formula>
    </cfRule>
  </conditionalFormatting>
  <conditionalFormatting sqref="AV17">
    <cfRule type="expression" dxfId="31" priority="26">
      <formula>PercentCompleteBeyond</formula>
    </cfRule>
    <cfRule type="expression" dxfId="30" priority="27">
      <formula>Actual</formula>
    </cfRule>
    <cfRule type="expression" dxfId="29" priority="28">
      <formula>ActualBeyond</formula>
    </cfRule>
    <cfRule type="expression" dxfId="28" priority="29">
      <formula>Plan</formula>
    </cfRule>
    <cfRule type="expression" dxfId="27" priority="30">
      <formula>AV$7=period_selected</formula>
    </cfRule>
    <cfRule type="expression" dxfId="26" priority="31">
      <formula>MOD(COLUMN(),2)</formula>
    </cfRule>
    <cfRule type="expression" dxfId="25" priority="32">
      <formula>MOD(COLUMN(),2)=0</formula>
    </cfRule>
  </conditionalFormatting>
  <conditionalFormatting sqref="AV17">
    <cfRule type="expression" dxfId="24" priority="25">
      <formula>PercentComplete</formula>
    </cfRule>
  </conditionalFormatting>
  <conditionalFormatting sqref="AW17:AZ17">
    <cfRule type="expression" dxfId="23" priority="18">
      <formula>PercentCompleteBeyond</formula>
    </cfRule>
    <cfRule type="expression" dxfId="22" priority="19">
      <formula>Actual</formula>
    </cfRule>
    <cfRule type="expression" dxfId="21" priority="20">
      <formula>ActualBeyond</formula>
    </cfRule>
    <cfRule type="expression" dxfId="20" priority="21">
      <formula>Plan</formula>
    </cfRule>
    <cfRule type="expression" dxfId="19" priority="22">
      <formula>AW$7=period_selected</formula>
    </cfRule>
    <cfRule type="expression" dxfId="18" priority="23">
      <formula>MOD(COLUMN(),2)</formula>
    </cfRule>
    <cfRule type="expression" dxfId="17" priority="24">
      <formula>MOD(COLUMN(),2)=0</formula>
    </cfRule>
  </conditionalFormatting>
  <conditionalFormatting sqref="AW17:AZ17">
    <cfRule type="expression" dxfId="16" priority="17">
      <formula>PercentComplete</formula>
    </cfRule>
  </conditionalFormatting>
  <conditionalFormatting sqref="BL18:BR18">
    <cfRule type="expression" dxfId="15" priority="10">
      <formula>PercentCompleteBeyond</formula>
    </cfRule>
    <cfRule type="expression" dxfId="14" priority="11">
      <formula>Actual</formula>
    </cfRule>
    <cfRule type="expression" dxfId="13" priority="12">
      <formula>ActualBeyond</formula>
    </cfRule>
    <cfRule type="expression" dxfId="12" priority="13">
      <formula>Plan</formula>
    </cfRule>
    <cfRule type="expression" dxfId="11" priority="14">
      <formula>BL$7=period_selected</formula>
    </cfRule>
    <cfRule type="expression" dxfId="10" priority="15">
      <formula>MOD(COLUMN(),2)</formula>
    </cfRule>
    <cfRule type="expression" dxfId="9" priority="16">
      <formula>MOD(COLUMN(),2)=0</formula>
    </cfRule>
  </conditionalFormatting>
  <conditionalFormatting sqref="BL18:BR18">
    <cfRule type="expression" dxfId="8" priority="9">
      <formula>PercentComplete</formula>
    </cfRule>
  </conditionalFormatting>
  <conditionalFormatting sqref="AY16:BT16">
    <cfRule type="expression" dxfId="7" priority="2">
      <formula>PercentCompleteBeyond</formula>
    </cfRule>
    <cfRule type="expression" dxfId="6" priority="3">
      <formula>Actual</formula>
    </cfRule>
    <cfRule type="expression" dxfId="5" priority="4">
      <formula>ActualBeyond</formula>
    </cfRule>
    <cfRule type="expression" dxfId="4" priority="5">
      <formula>Plan</formula>
    </cfRule>
    <cfRule type="expression" dxfId="3" priority="6">
      <formula>AY$7=period_selected</formula>
    </cfRule>
    <cfRule type="expression" dxfId="2" priority="7">
      <formula>MOD(COLUMN(),2)</formula>
    </cfRule>
    <cfRule type="expression" dxfId="1" priority="8">
      <formula>MOD(COLUMN(),2)=0</formula>
    </cfRule>
  </conditionalFormatting>
  <conditionalFormatting sqref="AY16:BT16">
    <cfRule type="expression" dxfId="0" priority="1">
      <formula>PercentComplete</formula>
    </cfRule>
  </conditionalFormatting>
  <printOptions horizontalCentered="1"/>
  <pageMargins left="0.11811023622047245" right="0.11811023622047245" top="0.11811023622047245" bottom="0.11811023622047245" header="0.31496062992125984" footer="0.31496062992125984"/>
  <pageSetup paperSize="8" scale="1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Spinner 1">
              <controlPr defaultSize="0" print="0" autoPict="0" altText="Period Highlight Spin Control">
                <anchor moveWithCells="1">
                  <from>
                    <xdr:col>37</xdr:col>
                    <xdr:colOff>114300</xdr:colOff>
                    <xdr:row>1</xdr:row>
                    <xdr:rowOff>28575</xdr:rowOff>
                  </from>
                  <to>
                    <xdr:col>39</xdr:col>
                    <xdr:colOff>161925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Q23" sqref="Q23:W26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2:AL61"/>
  <sheetViews>
    <sheetView showGridLines="0" view="pageBreakPreview" zoomScale="40" zoomScaleNormal="40" zoomScaleSheetLayoutView="40" workbookViewId="0">
      <selection activeCell="Q23" sqref="Q23:W26"/>
    </sheetView>
  </sheetViews>
  <sheetFormatPr defaultColWidth="17.25" defaultRowHeight="15" x14ac:dyDescent="0.25"/>
  <cols>
    <col min="1" max="1" width="4.375" customWidth="1"/>
    <col min="2" max="2" width="14.125" customWidth="1"/>
    <col min="3" max="3" width="81.75" customWidth="1"/>
    <col min="4" max="4" width="21.25" customWidth="1"/>
    <col min="5" max="16" width="28.875" customWidth="1"/>
    <col min="17" max="17" width="17.25" customWidth="1"/>
    <col min="18" max="18" width="18.75" bestFit="1" customWidth="1"/>
  </cols>
  <sheetData>
    <row r="2" spans="2:38" ht="39" x14ac:dyDescent="0.25">
      <c r="B2" s="7" t="s">
        <v>85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4" spans="2:38" ht="33.75" x14ac:dyDescent="0.25">
      <c r="B4" s="1" t="s">
        <v>0</v>
      </c>
      <c r="C4" s="2"/>
      <c r="D4" s="2"/>
      <c r="E4" s="450" t="s">
        <v>90</v>
      </c>
      <c r="F4" s="450"/>
      <c r="G4" s="450"/>
      <c r="H4" s="450"/>
      <c r="I4" s="449" t="s">
        <v>89</v>
      </c>
      <c r="J4" s="449"/>
      <c r="K4" s="2" t="s">
        <v>91</v>
      </c>
      <c r="L4" s="2"/>
      <c r="M4" s="2"/>
      <c r="N4" s="2"/>
      <c r="O4" s="2"/>
      <c r="P4" s="2"/>
    </row>
    <row r="5" spans="2:38" ht="65.25" customHeight="1" x14ac:dyDescent="0.25">
      <c r="B5" s="11" t="s">
        <v>1</v>
      </c>
      <c r="C5" s="12" t="s">
        <v>2</v>
      </c>
      <c r="D5" s="11" t="s">
        <v>3</v>
      </c>
      <c r="E5" s="38" t="s">
        <v>92</v>
      </c>
      <c r="F5" s="38" t="s">
        <v>93</v>
      </c>
      <c r="G5" s="38" t="s">
        <v>95</v>
      </c>
      <c r="H5" s="38" t="s">
        <v>94</v>
      </c>
      <c r="I5" s="38" t="s">
        <v>69</v>
      </c>
      <c r="J5" s="38" t="s">
        <v>70</v>
      </c>
      <c r="K5" s="38" t="s">
        <v>71</v>
      </c>
      <c r="L5" s="38" t="s">
        <v>72</v>
      </c>
      <c r="M5" s="38" t="s">
        <v>73</v>
      </c>
      <c r="N5" s="38" t="s">
        <v>74</v>
      </c>
      <c r="O5" s="38" t="s">
        <v>75</v>
      </c>
      <c r="P5" s="38" t="s">
        <v>76</v>
      </c>
    </row>
    <row r="6" spans="2:38" ht="31.5" x14ac:dyDescent="0.25">
      <c r="B6" s="23">
        <v>1</v>
      </c>
      <c r="C6" s="29" t="s">
        <v>4</v>
      </c>
      <c r="D6" s="30" t="s">
        <v>5</v>
      </c>
      <c r="E6" s="30">
        <v>65</v>
      </c>
      <c r="F6" s="30">
        <v>343</v>
      </c>
      <c r="G6" s="30">
        <v>159</v>
      </c>
      <c r="H6" s="30">
        <v>401</v>
      </c>
      <c r="I6" s="30">
        <v>78</v>
      </c>
      <c r="J6" s="30">
        <v>112</v>
      </c>
      <c r="K6" s="30">
        <v>84</v>
      </c>
      <c r="L6" s="30">
        <v>63</v>
      </c>
      <c r="M6" s="30">
        <v>59</v>
      </c>
      <c r="N6" s="30">
        <v>153</v>
      </c>
      <c r="O6" s="30">
        <v>35</v>
      </c>
      <c r="P6" s="30">
        <v>45</v>
      </c>
    </row>
    <row r="7" spans="2:38" ht="31.5" x14ac:dyDescent="0.45">
      <c r="B7" s="23">
        <v>2</v>
      </c>
      <c r="C7" s="29" t="s">
        <v>6</v>
      </c>
      <c r="D7" s="30" t="s">
        <v>7</v>
      </c>
      <c r="E7" s="454">
        <v>21750</v>
      </c>
      <c r="F7" s="455"/>
      <c r="G7" s="455"/>
      <c r="H7" s="456"/>
      <c r="I7" s="32">
        <v>1150</v>
      </c>
      <c r="J7" s="32">
        <v>1450</v>
      </c>
      <c r="K7" s="32">
        <v>1200</v>
      </c>
      <c r="L7" s="32">
        <v>1200</v>
      </c>
      <c r="M7" s="454">
        <v>6150</v>
      </c>
      <c r="N7" s="456"/>
      <c r="O7" s="454">
        <v>2300</v>
      </c>
      <c r="P7" s="456"/>
      <c r="Q7" s="33"/>
      <c r="AF7" s="26"/>
      <c r="AG7" s="26"/>
      <c r="AH7" s="26"/>
      <c r="AI7" s="26"/>
      <c r="AJ7" s="25"/>
      <c r="AK7" s="25"/>
      <c r="AL7" s="27"/>
    </row>
    <row r="8" spans="2:38" ht="31.5" customHeight="1" x14ac:dyDescent="0.45">
      <c r="B8" s="23">
        <v>3</v>
      </c>
      <c r="C8" s="29" t="s">
        <v>8</v>
      </c>
      <c r="D8" s="30" t="s">
        <v>9</v>
      </c>
      <c r="E8" s="454">
        <v>11290</v>
      </c>
      <c r="F8" s="455"/>
      <c r="G8" s="455"/>
      <c r="H8" s="456"/>
      <c r="I8" s="32">
        <v>440</v>
      </c>
      <c r="J8" s="32">
        <v>170</v>
      </c>
      <c r="K8" s="32">
        <v>520</v>
      </c>
      <c r="L8" s="32">
        <v>530</v>
      </c>
      <c r="M8" s="454">
        <v>2860</v>
      </c>
      <c r="N8" s="456"/>
      <c r="O8" s="454">
        <v>1330</v>
      </c>
      <c r="P8" s="456"/>
      <c r="AF8" s="26"/>
      <c r="AG8" s="26"/>
      <c r="AH8" s="26"/>
      <c r="AI8" s="26"/>
      <c r="AJ8" s="25"/>
      <c r="AK8" s="25"/>
      <c r="AL8" s="27"/>
    </row>
    <row r="9" spans="2:38" ht="31.5" customHeight="1" x14ac:dyDescent="0.45">
      <c r="B9" s="23">
        <v>4</v>
      </c>
      <c r="C9" s="29" t="s">
        <v>60</v>
      </c>
      <c r="D9" s="30" t="s">
        <v>9</v>
      </c>
      <c r="E9" s="454">
        <v>0</v>
      </c>
      <c r="F9" s="455"/>
      <c r="G9" s="455"/>
      <c r="H9" s="456"/>
      <c r="I9" s="32">
        <v>0</v>
      </c>
      <c r="J9" s="32">
        <v>3050</v>
      </c>
      <c r="K9" s="32">
        <v>0</v>
      </c>
      <c r="L9" s="32">
        <v>0</v>
      </c>
      <c r="M9" s="454">
        <v>0</v>
      </c>
      <c r="N9" s="456"/>
      <c r="O9" s="454">
        <v>0</v>
      </c>
      <c r="P9" s="456"/>
      <c r="AF9" s="26"/>
      <c r="AG9" s="26"/>
      <c r="AH9" s="26"/>
      <c r="AI9" s="26"/>
      <c r="AJ9" s="25"/>
      <c r="AK9" s="25"/>
      <c r="AL9" s="27"/>
    </row>
    <row r="10" spans="2:38" ht="31.5" x14ac:dyDescent="0.45">
      <c r="B10" s="23">
        <v>5</v>
      </c>
      <c r="C10" s="29" t="s">
        <v>10</v>
      </c>
      <c r="D10" s="30" t="s">
        <v>7</v>
      </c>
      <c r="E10" s="454">
        <v>9450</v>
      </c>
      <c r="F10" s="455"/>
      <c r="G10" s="455"/>
      <c r="H10" s="456"/>
      <c r="I10" s="32">
        <v>700</v>
      </c>
      <c r="J10" s="32">
        <v>450</v>
      </c>
      <c r="K10" s="32">
        <v>650</v>
      </c>
      <c r="L10" s="32">
        <v>650</v>
      </c>
      <c r="M10" s="454">
        <v>2400</v>
      </c>
      <c r="N10" s="456"/>
      <c r="O10" s="454">
        <v>750</v>
      </c>
      <c r="P10" s="456"/>
      <c r="AF10" s="26"/>
      <c r="AG10" s="26"/>
      <c r="AH10" s="26"/>
      <c r="AI10" s="26"/>
      <c r="AJ10" s="25"/>
      <c r="AK10" s="25"/>
      <c r="AL10" s="27"/>
    </row>
    <row r="11" spans="2:38" ht="31.5" customHeight="1" x14ac:dyDescent="0.45">
      <c r="B11" s="24">
        <v>6</v>
      </c>
      <c r="C11" s="29" t="s">
        <v>11</v>
      </c>
      <c r="D11" s="30" t="s">
        <v>12</v>
      </c>
      <c r="E11" s="457" t="s">
        <v>86</v>
      </c>
      <c r="F11" s="458"/>
      <c r="G11" s="458"/>
      <c r="H11" s="459"/>
      <c r="I11" s="35" t="s">
        <v>86</v>
      </c>
      <c r="J11" s="35" t="s">
        <v>86</v>
      </c>
      <c r="K11" s="35" t="s">
        <v>86</v>
      </c>
      <c r="L11" s="35" t="s">
        <v>86</v>
      </c>
      <c r="M11" s="457" t="s">
        <v>86</v>
      </c>
      <c r="N11" s="459"/>
      <c r="O11" s="457" t="s">
        <v>86</v>
      </c>
      <c r="P11" s="459"/>
      <c r="AF11" s="26"/>
      <c r="AG11" s="26"/>
      <c r="AH11" s="26"/>
      <c r="AI11" s="26"/>
      <c r="AJ11" s="25"/>
      <c r="AK11" s="25"/>
      <c r="AL11" s="27"/>
    </row>
    <row r="12" spans="2:38" ht="31.5" x14ac:dyDescent="0.45">
      <c r="B12" s="24">
        <v>7</v>
      </c>
      <c r="C12" s="29" t="s">
        <v>13</v>
      </c>
      <c r="D12" s="30" t="s">
        <v>14</v>
      </c>
      <c r="E12" s="457" t="s">
        <v>86</v>
      </c>
      <c r="F12" s="458"/>
      <c r="G12" s="458"/>
      <c r="H12" s="459"/>
      <c r="I12" s="35" t="s">
        <v>86</v>
      </c>
      <c r="J12" s="35" t="s">
        <v>86</v>
      </c>
      <c r="K12" s="35" t="s">
        <v>86</v>
      </c>
      <c r="L12" s="35" t="s">
        <v>86</v>
      </c>
      <c r="M12" s="457" t="s">
        <v>86</v>
      </c>
      <c r="N12" s="459"/>
      <c r="O12" s="457" t="s">
        <v>86</v>
      </c>
      <c r="P12" s="459"/>
      <c r="AF12" s="26"/>
      <c r="AG12" s="26"/>
      <c r="AH12" s="26"/>
      <c r="AI12" s="26"/>
      <c r="AJ12" s="25"/>
      <c r="AK12" s="25"/>
      <c r="AL12" s="27"/>
    </row>
    <row r="13" spans="2:38" ht="31.5" x14ac:dyDescent="0.45">
      <c r="B13" s="20"/>
      <c r="C13" s="21"/>
      <c r="D13" s="22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AF13" s="26"/>
      <c r="AG13" s="26"/>
      <c r="AH13" s="26"/>
      <c r="AI13" s="26"/>
      <c r="AJ13" s="25"/>
      <c r="AK13" s="25"/>
      <c r="AL13" s="27"/>
    </row>
    <row r="14" spans="2:38" ht="33.75" x14ac:dyDescent="0.45">
      <c r="B14" s="1" t="s">
        <v>15</v>
      </c>
      <c r="C14" s="2"/>
      <c r="D14" s="2"/>
      <c r="E14" s="449" t="s">
        <v>96</v>
      </c>
      <c r="F14" s="449"/>
      <c r="G14" s="449"/>
      <c r="H14" s="449"/>
      <c r="I14" s="2"/>
      <c r="J14" s="2"/>
      <c r="K14" s="2"/>
      <c r="L14" s="2"/>
      <c r="M14" s="2"/>
      <c r="N14" s="2"/>
      <c r="O14" s="2"/>
      <c r="P14" s="2"/>
      <c r="AF14" s="26"/>
      <c r="AG14" s="26"/>
      <c r="AH14" s="26"/>
      <c r="AI14" s="26"/>
      <c r="AJ14" s="25"/>
      <c r="AK14" s="25"/>
      <c r="AL14" s="27"/>
    </row>
    <row r="15" spans="2:38" ht="51.75" customHeight="1" x14ac:dyDescent="0.45">
      <c r="B15" s="11" t="s">
        <v>1</v>
      </c>
      <c r="C15" s="12" t="s">
        <v>16</v>
      </c>
      <c r="D15" s="11" t="s">
        <v>3</v>
      </c>
      <c r="E15" s="13" t="s">
        <v>65</v>
      </c>
      <c r="F15" s="13" t="s">
        <v>66</v>
      </c>
      <c r="G15" s="13" t="s">
        <v>67</v>
      </c>
      <c r="H15" s="13" t="s">
        <v>68</v>
      </c>
      <c r="I15" s="13" t="s">
        <v>69</v>
      </c>
      <c r="J15" s="13" t="s">
        <v>70</v>
      </c>
      <c r="K15" s="13" t="s">
        <v>71</v>
      </c>
      <c r="L15" s="13" t="s">
        <v>77</v>
      </c>
      <c r="M15" s="13" t="s">
        <v>73</v>
      </c>
      <c r="N15" s="13" t="s">
        <v>74</v>
      </c>
      <c r="O15" s="13" t="s">
        <v>75</v>
      </c>
      <c r="P15" s="13" t="s">
        <v>76</v>
      </c>
      <c r="AF15" s="26"/>
      <c r="AG15" s="26"/>
      <c r="AH15" s="26"/>
      <c r="AI15" s="26"/>
      <c r="AJ15" s="25"/>
      <c r="AK15" s="25"/>
      <c r="AL15" s="27"/>
    </row>
    <row r="16" spans="2:38" ht="31.5" customHeight="1" x14ac:dyDescent="0.45">
      <c r="B16" s="23">
        <v>1</v>
      </c>
      <c r="C16" s="29" t="s">
        <v>59</v>
      </c>
      <c r="D16" s="30" t="s">
        <v>17</v>
      </c>
      <c r="E16" s="454">
        <v>1910</v>
      </c>
      <c r="F16" s="455"/>
      <c r="G16" s="455"/>
      <c r="H16" s="456"/>
      <c r="I16" s="31">
        <v>590</v>
      </c>
      <c r="J16" s="31">
        <v>20</v>
      </c>
      <c r="K16" s="31">
        <v>480</v>
      </c>
      <c r="L16" s="31">
        <v>540</v>
      </c>
      <c r="M16" s="454">
        <v>780</v>
      </c>
      <c r="N16" s="456"/>
      <c r="O16" s="454">
        <v>480</v>
      </c>
      <c r="P16" s="456"/>
      <c r="Q16" s="28" t="s">
        <v>78</v>
      </c>
      <c r="AF16" s="26"/>
      <c r="AG16" s="26"/>
      <c r="AH16" s="26"/>
      <c r="AI16" s="26"/>
      <c r="AJ16" s="25"/>
      <c r="AK16" s="25"/>
      <c r="AL16" s="27"/>
    </row>
    <row r="17" spans="2:35" ht="32.25" thickBot="1" x14ac:dyDescent="0.5">
      <c r="B17" s="24">
        <v>2</v>
      </c>
      <c r="C17" s="29" t="s">
        <v>18</v>
      </c>
      <c r="D17" s="30" t="s">
        <v>14</v>
      </c>
      <c r="E17" s="463" t="s">
        <v>86</v>
      </c>
      <c r="F17" s="464"/>
      <c r="G17" s="464"/>
      <c r="H17" s="465"/>
      <c r="I17" s="35" t="s">
        <v>86</v>
      </c>
      <c r="J17" s="35" t="s">
        <v>86</v>
      </c>
      <c r="K17" s="35" t="s">
        <v>86</v>
      </c>
      <c r="L17" s="35" t="s">
        <v>86</v>
      </c>
      <c r="M17" s="463" t="s">
        <v>86</v>
      </c>
      <c r="N17" s="465"/>
      <c r="O17" s="463" t="s">
        <v>86</v>
      </c>
      <c r="P17" s="465"/>
      <c r="AH17" s="26"/>
      <c r="AI17" s="26"/>
    </row>
    <row r="18" spans="2:35" ht="32.25" thickTop="1" x14ac:dyDescent="0.25">
      <c r="B18" s="3"/>
      <c r="C18" s="4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</row>
    <row r="19" spans="2:35" ht="33.75" x14ac:dyDescent="0.25">
      <c r="B19" s="1" t="s">
        <v>19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2:35" ht="63" customHeight="1" x14ac:dyDescent="0.25">
      <c r="B20" s="11" t="s">
        <v>1</v>
      </c>
      <c r="C20" s="12" t="s">
        <v>16</v>
      </c>
      <c r="D20" s="11" t="s">
        <v>3</v>
      </c>
      <c r="E20" s="13" t="s">
        <v>65</v>
      </c>
      <c r="F20" s="13" t="s">
        <v>66</v>
      </c>
      <c r="G20" s="13" t="s">
        <v>67</v>
      </c>
      <c r="H20" s="13" t="s">
        <v>68</v>
      </c>
      <c r="I20" s="13" t="s">
        <v>69</v>
      </c>
      <c r="J20" s="13" t="s">
        <v>70</v>
      </c>
      <c r="K20" s="13" t="s">
        <v>71</v>
      </c>
      <c r="L20" s="13" t="s">
        <v>72</v>
      </c>
      <c r="M20" s="13" t="s">
        <v>73</v>
      </c>
      <c r="N20" s="13" t="s">
        <v>74</v>
      </c>
      <c r="O20" s="13" t="s">
        <v>75</v>
      </c>
      <c r="P20" s="13" t="s">
        <v>76</v>
      </c>
      <c r="Q20" s="13" t="s">
        <v>79</v>
      </c>
      <c r="R20" s="13" t="s">
        <v>80</v>
      </c>
    </row>
    <row r="21" spans="2:35" ht="36" x14ac:dyDescent="0.25">
      <c r="B21" s="16" t="s">
        <v>58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2:35" ht="28.15" customHeight="1" x14ac:dyDescent="0.25">
      <c r="B22" s="10">
        <v>1</v>
      </c>
      <c r="C22" s="17" t="s">
        <v>20</v>
      </c>
      <c r="D22" s="10" t="s">
        <v>63</v>
      </c>
      <c r="E22" s="9">
        <v>80</v>
      </c>
      <c r="F22" s="9">
        <v>7380</v>
      </c>
      <c r="G22" s="9">
        <v>19212</v>
      </c>
      <c r="H22" s="9">
        <v>1263</v>
      </c>
      <c r="I22" s="9"/>
      <c r="J22" s="9">
        <v>1423</v>
      </c>
      <c r="K22" s="9"/>
      <c r="L22" s="9"/>
      <c r="M22" s="9">
        <v>1358</v>
      </c>
      <c r="N22" s="9">
        <v>12977</v>
      </c>
      <c r="O22" s="9">
        <v>19605</v>
      </c>
      <c r="P22" s="9">
        <v>17545</v>
      </c>
      <c r="Q22" s="9"/>
      <c r="R22" s="9"/>
    </row>
    <row r="23" spans="2:35" ht="28.15" customHeight="1" x14ac:dyDescent="0.25">
      <c r="B23" s="10">
        <v>2</v>
      </c>
      <c r="C23" s="17" t="s">
        <v>21</v>
      </c>
      <c r="D23" s="10" t="s">
        <v>64</v>
      </c>
      <c r="E23" s="9">
        <v>719</v>
      </c>
      <c r="F23" s="9">
        <v>18638</v>
      </c>
      <c r="G23" s="9">
        <v>9154</v>
      </c>
      <c r="H23" s="9"/>
      <c r="I23" s="9">
        <v>3922</v>
      </c>
      <c r="J23" s="9">
        <v>287</v>
      </c>
      <c r="K23" s="39">
        <v>2840</v>
      </c>
      <c r="L23" s="9">
        <v>3854</v>
      </c>
      <c r="M23" s="9"/>
      <c r="N23" s="9">
        <v>16243</v>
      </c>
      <c r="O23" s="9">
        <v>7687</v>
      </c>
      <c r="P23" s="9">
        <v>6920</v>
      </c>
      <c r="Q23" s="39">
        <v>1520</v>
      </c>
      <c r="R23" s="9">
        <v>135</v>
      </c>
    </row>
    <row r="24" spans="2:35" ht="28.5" customHeight="1" x14ac:dyDescent="0.25">
      <c r="B24" s="10">
        <v>3</v>
      </c>
      <c r="C24" s="17" t="s">
        <v>22</v>
      </c>
      <c r="D24" s="10" t="s">
        <v>23</v>
      </c>
      <c r="E24" s="10">
        <v>2527</v>
      </c>
      <c r="F24" s="10">
        <v>34898</v>
      </c>
      <c r="G24" s="10">
        <v>14413</v>
      </c>
      <c r="H24" s="10"/>
      <c r="I24" s="10">
        <v>8135</v>
      </c>
      <c r="J24" s="10"/>
      <c r="K24" s="10">
        <v>6619</v>
      </c>
      <c r="L24" s="10">
        <v>7839</v>
      </c>
      <c r="M24" s="10">
        <v>1402</v>
      </c>
      <c r="N24" s="10">
        <v>26372</v>
      </c>
      <c r="O24" s="10">
        <v>17700</v>
      </c>
      <c r="P24" s="10">
        <v>15930</v>
      </c>
      <c r="Q24" s="10">
        <v>1983</v>
      </c>
      <c r="R24" s="10">
        <v>70</v>
      </c>
    </row>
    <row r="25" spans="2:35" ht="28.5" customHeight="1" x14ac:dyDescent="0.25">
      <c r="B25" s="10">
        <v>4</v>
      </c>
      <c r="C25" s="17" t="s">
        <v>24</v>
      </c>
      <c r="D25" s="18" t="s">
        <v>62</v>
      </c>
      <c r="E25" s="10" t="s">
        <v>86</v>
      </c>
      <c r="F25" s="10" t="s">
        <v>86</v>
      </c>
      <c r="G25" s="10" t="s">
        <v>86</v>
      </c>
      <c r="H25" s="10" t="s">
        <v>86</v>
      </c>
      <c r="I25" s="10" t="s">
        <v>86</v>
      </c>
      <c r="J25" s="10" t="s">
        <v>86</v>
      </c>
      <c r="K25" s="10" t="s">
        <v>86</v>
      </c>
      <c r="L25" s="10" t="s">
        <v>86</v>
      </c>
      <c r="M25" s="10" t="s">
        <v>86</v>
      </c>
      <c r="N25" s="10" t="s">
        <v>86</v>
      </c>
      <c r="O25" s="10" t="s">
        <v>86</v>
      </c>
      <c r="P25" s="10" t="s">
        <v>86</v>
      </c>
      <c r="Q25" s="10" t="s">
        <v>86</v>
      </c>
      <c r="R25" s="10" t="s">
        <v>86</v>
      </c>
    </row>
    <row r="26" spans="2:35" ht="36" x14ac:dyDescent="0.25">
      <c r="B26" s="16" t="s">
        <v>25</v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2:35" ht="26.25" x14ac:dyDescent="0.25">
      <c r="B27" s="10">
        <v>5</v>
      </c>
      <c r="C27" s="17" t="s">
        <v>61</v>
      </c>
      <c r="D27" s="10" t="s">
        <v>26</v>
      </c>
      <c r="E27" s="36" t="s">
        <v>86</v>
      </c>
      <c r="F27" s="36" t="s">
        <v>86</v>
      </c>
      <c r="G27" s="36" t="s">
        <v>86</v>
      </c>
      <c r="H27" s="36" t="s">
        <v>86</v>
      </c>
      <c r="I27" s="36" t="s">
        <v>86</v>
      </c>
      <c r="J27" s="36" t="s">
        <v>86</v>
      </c>
      <c r="K27" s="36" t="s">
        <v>86</v>
      </c>
      <c r="L27" s="36" t="s">
        <v>86</v>
      </c>
      <c r="M27" s="36" t="s">
        <v>86</v>
      </c>
      <c r="N27" s="36" t="s">
        <v>86</v>
      </c>
      <c r="O27" s="36" t="s">
        <v>86</v>
      </c>
      <c r="P27" s="36" t="s">
        <v>86</v>
      </c>
      <c r="Q27" s="36" t="s">
        <v>86</v>
      </c>
      <c r="R27" s="36" t="s">
        <v>86</v>
      </c>
    </row>
    <row r="28" spans="2:35" ht="29.25" customHeight="1" x14ac:dyDescent="0.25">
      <c r="B28" s="10">
        <v>6</v>
      </c>
      <c r="C28" s="17" t="s">
        <v>27</v>
      </c>
      <c r="D28" s="10" t="s">
        <v>26</v>
      </c>
      <c r="E28" s="36" t="s">
        <v>86</v>
      </c>
      <c r="F28" s="36" t="s">
        <v>86</v>
      </c>
      <c r="G28" s="36" t="s">
        <v>86</v>
      </c>
      <c r="H28" s="36" t="s">
        <v>86</v>
      </c>
      <c r="I28" s="36" t="s">
        <v>86</v>
      </c>
      <c r="J28" s="36" t="s">
        <v>86</v>
      </c>
      <c r="K28" s="36" t="s">
        <v>86</v>
      </c>
      <c r="L28" s="36" t="s">
        <v>86</v>
      </c>
      <c r="M28" s="36" t="s">
        <v>86</v>
      </c>
      <c r="N28" s="36" t="s">
        <v>86</v>
      </c>
      <c r="O28" s="36" t="s">
        <v>86</v>
      </c>
      <c r="P28" s="36" t="s">
        <v>86</v>
      </c>
      <c r="Q28" s="36" t="s">
        <v>86</v>
      </c>
      <c r="R28" s="36" t="s">
        <v>86</v>
      </c>
    </row>
    <row r="29" spans="2:35" ht="29.25" customHeight="1" x14ac:dyDescent="0.25">
      <c r="B29" s="10">
        <v>7</v>
      </c>
      <c r="C29" s="17" t="s">
        <v>28</v>
      </c>
      <c r="D29" s="10" t="s">
        <v>5</v>
      </c>
      <c r="E29" s="36" t="s">
        <v>86</v>
      </c>
      <c r="F29" s="36" t="s">
        <v>86</v>
      </c>
      <c r="G29" s="36" t="s">
        <v>86</v>
      </c>
      <c r="H29" s="36" t="s">
        <v>86</v>
      </c>
      <c r="I29" s="36" t="s">
        <v>86</v>
      </c>
      <c r="J29" s="36" t="s">
        <v>86</v>
      </c>
      <c r="K29" s="36" t="s">
        <v>86</v>
      </c>
      <c r="L29" s="36" t="s">
        <v>86</v>
      </c>
      <c r="M29" s="36" t="s">
        <v>86</v>
      </c>
      <c r="N29" s="36" t="s">
        <v>86</v>
      </c>
      <c r="O29" s="36" t="s">
        <v>86</v>
      </c>
      <c r="P29" s="36" t="s">
        <v>86</v>
      </c>
      <c r="Q29" s="36" t="s">
        <v>86</v>
      </c>
      <c r="R29" s="36" t="s">
        <v>86</v>
      </c>
    </row>
    <row r="30" spans="2:35" ht="31.5" x14ac:dyDescent="0.25">
      <c r="B30" s="14"/>
      <c r="C30" s="15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2:35" ht="33.75" x14ac:dyDescent="0.25">
      <c r="B31" s="1" t="s">
        <v>29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2:35" ht="65.25" customHeight="1" x14ac:dyDescent="0.25">
      <c r="B32" s="11" t="s">
        <v>1</v>
      </c>
      <c r="C32" s="12" t="s">
        <v>16</v>
      </c>
      <c r="D32" s="11" t="s">
        <v>3</v>
      </c>
      <c r="E32" s="13" t="s">
        <v>65</v>
      </c>
      <c r="F32" s="13" t="s">
        <v>66</v>
      </c>
      <c r="G32" s="13" t="s">
        <v>67</v>
      </c>
      <c r="H32" s="13" t="s">
        <v>68</v>
      </c>
      <c r="I32" s="13" t="s">
        <v>69</v>
      </c>
      <c r="J32" s="13" t="s">
        <v>70</v>
      </c>
      <c r="K32" s="13" t="s">
        <v>71</v>
      </c>
      <c r="L32" s="13" t="s">
        <v>72</v>
      </c>
      <c r="M32" s="13" t="s">
        <v>73</v>
      </c>
      <c r="N32" s="13" t="s">
        <v>74</v>
      </c>
      <c r="O32" s="13" t="s">
        <v>75</v>
      </c>
      <c r="P32" s="13" t="s">
        <v>76</v>
      </c>
    </row>
    <row r="33" spans="2:16" ht="28.5" customHeight="1" x14ac:dyDescent="0.25">
      <c r="B33" s="10">
        <v>1</v>
      </c>
      <c r="C33" s="17" t="s">
        <v>30</v>
      </c>
      <c r="D33" s="10" t="s">
        <v>31</v>
      </c>
      <c r="E33" s="460" t="s">
        <v>81</v>
      </c>
      <c r="F33" s="461"/>
      <c r="G33" s="461"/>
      <c r="H33" s="461"/>
      <c r="I33" s="461"/>
      <c r="J33" s="461"/>
      <c r="K33" s="461"/>
      <c r="L33" s="461"/>
      <c r="M33" s="461"/>
      <c r="N33" s="461"/>
      <c r="O33" s="461"/>
      <c r="P33" s="462"/>
    </row>
    <row r="34" spans="2:16" ht="28.5" customHeight="1" x14ac:dyDescent="0.25">
      <c r="B34" s="10">
        <v>2</v>
      </c>
      <c r="C34" s="17" t="s">
        <v>32</v>
      </c>
      <c r="D34" s="10" t="s">
        <v>31</v>
      </c>
      <c r="E34" s="37" t="s">
        <v>86</v>
      </c>
      <c r="F34" s="37" t="s">
        <v>86</v>
      </c>
      <c r="G34" s="37" t="s">
        <v>86</v>
      </c>
      <c r="H34" s="37" t="s">
        <v>86</v>
      </c>
      <c r="I34" s="37" t="s">
        <v>86</v>
      </c>
      <c r="J34" s="37" t="s">
        <v>86</v>
      </c>
      <c r="K34" s="37" t="s">
        <v>86</v>
      </c>
      <c r="L34" s="37" t="s">
        <v>86</v>
      </c>
      <c r="M34" s="37" t="s">
        <v>86</v>
      </c>
      <c r="N34" s="37" t="s">
        <v>86</v>
      </c>
      <c r="O34" s="37" t="s">
        <v>86</v>
      </c>
      <c r="P34" s="37" t="s">
        <v>86</v>
      </c>
    </row>
    <row r="35" spans="2:16" ht="28.5" customHeight="1" x14ac:dyDescent="0.25">
      <c r="B35" s="10">
        <v>3</v>
      </c>
      <c r="C35" s="17" t="s">
        <v>33</v>
      </c>
      <c r="D35" s="10" t="s">
        <v>31</v>
      </c>
      <c r="E35" s="37" t="s">
        <v>86</v>
      </c>
      <c r="F35" s="37" t="s">
        <v>86</v>
      </c>
      <c r="G35" s="37" t="s">
        <v>86</v>
      </c>
      <c r="H35" s="37" t="s">
        <v>86</v>
      </c>
      <c r="I35" s="37" t="s">
        <v>86</v>
      </c>
      <c r="J35" s="37" t="s">
        <v>86</v>
      </c>
      <c r="K35" s="37" t="s">
        <v>86</v>
      </c>
      <c r="L35" s="37" t="s">
        <v>86</v>
      </c>
      <c r="M35" s="37" t="s">
        <v>86</v>
      </c>
      <c r="N35" s="37" t="s">
        <v>86</v>
      </c>
      <c r="O35" s="37" t="s">
        <v>86</v>
      </c>
      <c r="P35" s="37" t="s">
        <v>86</v>
      </c>
    </row>
    <row r="36" spans="2:16" ht="28.5" customHeight="1" x14ac:dyDescent="0.25">
      <c r="B36" s="10">
        <v>4</v>
      </c>
      <c r="C36" s="17" t="s">
        <v>34</v>
      </c>
      <c r="D36" s="10" t="s">
        <v>31</v>
      </c>
      <c r="E36" s="460" t="s">
        <v>82</v>
      </c>
      <c r="F36" s="461"/>
      <c r="G36" s="461"/>
      <c r="H36" s="461"/>
      <c r="I36" s="461"/>
      <c r="J36" s="461"/>
      <c r="K36" s="461"/>
      <c r="L36" s="461"/>
      <c r="M36" s="461"/>
      <c r="N36" s="461"/>
      <c r="O36" s="461"/>
      <c r="P36" s="462"/>
    </row>
    <row r="37" spans="2:16" ht="28.5" customHeight="1" x14ac:dyDescent="0.25">
      <c r="B37" s="10">
        <v>5</v>
      </c>
      <c r="C37" s="17" t="s">
        <v>35</v>
      </c>
      <c r="D37" s="10" t="s">
        <v>31</v>
      </c>
      <c r="E37" s="37" t="s">
        <v>86</v>
      </c>
      <c r="F37" s="37" t="s">
        <v>86</v>
      </c>
      <c r="G37" s="37" t="s">
        <v>86</v>
      </c>
      <c r="H37" s="37" t="s">
        <v>86</v>
      </c>
      <c r="I37" s="37" t="s">
        <v>86</v>
      </c>
      <c r="J37" s="37" t="s">
        <v>86</v>
      </c>
      <c r="K37" s="37" t="s">
        <v>86</v>
      </c>
      <c r="L37" s="37" t="s">
        <v>86</v>
      </c>
      <c r="M37" s="37" t="s">
        <v>86</v>
      </c>
      <c r="N37" s="37" t="s">
        <v>86</v>
      </c>
      <c r="O37" s="37" t="s">
        <v>86</v>
      </c>
      <c r="P37" s="37" t="s">
        <v>86</v>
      </c>
    </row>
    <row r="38" spans="2:16" ht="28.5" customHeight="1" x14ac:dyDescent="0.25">
      <c r="B38" s="10">
        <v>6</v>
      </c>
      <c r="C38" s="17" t="s">
        <v>36</v>
      </c>
      <c r="D38" s="10" t="s">
        <v>31</v>
      </c>
      <c r="E38" s="37" t="s">
        <v>86</v>
      </c>
      <c r="F38" s="37" t="s">
        <v>86</v>
      </c>
      <c r="G38" s="37" t="s">
        <v>86</v>
      </c>
      <c r="H38" s="37" t="s">
        <v>86</v>
      </c>
      <c r="I38" s="37" t="s">
        <v>86</v>
      </c>
      <c r="J38" s="37" t="s">
        <v>86</v>
      </c>
      <c r="K38" s="37" t="s">
        <v>86</v>
      </c>
      <c r="L38" s="37" t="s">
        <v>86</v>
      </c>
      <c r="M38" s="37" t="s">
        <v>86</v>
      </c>
      <c r="N38" s="37" t="s">
        <v>86</v>
      </c>
      <c r="O38" s="37" t="s">
        <v>86</v>
      </c>
      <c r="P38" s="37" t="s">
        <v>86</v>
      </c>
    </row>
    <row r="39" spans="2:16" ht="26.25" x14ac:dyDescent="0.25">
      <c r="B39" s="10">
        <v>7</v>
      </c>
      <c r="C39" s="17" t="s">
        <v>37</v>
      </c>
      <c r="D39" s="10" t="s">
        <v>31</v>
      </c>
      <c r="E39" s="37" t="s">
        <v>86</v>
      </c>
      <c r="F39" s="37" t="s">
        <v>86</v>
      </c>
      <c r="G39" s="37" t="s">
        <v>86</v>
      </c>
      <c r="H39" s="37" t="s">
        <v>86</v>
      </c>
      <c r="I39" s="37" t="s">
        <v>86</v>
      </c>
      <c r="J39" s="37" t="s">
        <v>86</v>
      </c>
      <c r="K39" s="37" t="s">
        <v>86</v>
      </c>
      <c r="L39" s="37" t="s">
        <v>86</v>
      </c>
      <c r="M39" s="37" t="s">
        <v>86</v>
      </c>
      <c r="N39" s="37" t="s">
        <v>86</v>
      </c>
      <c r="O39" s="37" t="s">
        <v>86</v>
      </c>
      <c r="P39" s="37" t="s">
        <v>86</v>
      </c>
    </row>
    <row r="40" spans="2:16" ht="28.5" customHeight="1" x14ac:dyDescent="0.25">
      <c r="B40" s="10">
        <v>8</v>
      </c>
      <c r="C40" s="17" t="s">
        <v>38</v>
      </c>
      <c r="D40" s="10" t="s">
        <v>5</v>
      </c>
      <c r="E40" s="460" t="s">
        <v>83</v>
      </c>
      <c r="F40" s="461"/>
      <c r="G40" s="461"/>
      <c r="H40" s="461"/>
      <c r="I40" s="461"/>
      <c r="J40" s="461"/>
      <c r="K40" s="461"/>
      <c r="L40" s="461"/>
      <c r="M40" s="461"/>
      <c r="N40" s="461"/>
      <c r="O40" s="461"/>
      <c r="P40" s="462"/>
    </row>
    <row r="41" spans="2:16" ht="28.5" customHeight="1" x14ac:dyDescent="0.25">
      <c r="B41" s="10">
        <v>9</v>
      </c>
      <c r="C41" s="17" t="s">
        <v>39</v>
      </c>
      <c r="D41" s="10" t="s">
        <v>5</v>
      </c>
      <c r="E41" s="37" t="s">
        <v>86</v>
      </c>
      <c r="F41" s="37" t="s">
        <v>86</v>
      </c>
      <c r="G41" s="37" t="s">
        <v>86</v>
      </c>
      <c r="H41" s="37" t="s">
        <v>86</v>
      </c>
      <c r="I41" s="37" t="s">
        <v>86</v>
      </c>
      <c r="J41" s="37" t="s">
        <v>86</v>
      </c>
      <c r="K41" s="37" t="s">
        <v>86</v>
      </c>
      <c r="L41" s="37" t="s">
        <v>86</v>
      </c>
      <c r="M41" s="37" t="s">
        <v>86</v>
      </c>
      <c r="N41" s="37" t="s">
        <v>86</v>
      </c>
      <c r="O41" s="37" t="s">
        <v>86</v>
      </c>
      <c r="P41" s="37" t="s">
        <v>86</v>
      </c>
    </row>
    <row r="42" spans="2:16" ht="28.5" customHeight="1" x14ac:dyDescent="0.25">
      <c r="B42" s="10">
        <v>10</v>
      </c>
      <c r="C42" s="17" t="s">
        <v>40</v>
      </c>
      <c r="D42" s="10" t="s">
        <v>5</v>
      </c>
      <c r="E42" s="37" t="s">
        <v>86</v>
      </c>
      <c r="F42" s="37" t="s">
        <v>86</v>
      </c>
      <c r="G42" s="37" t="s">
        <v>86</v>
      </c>
      <c r="H42" s="37" t="s">
        <v>86</v>
      </c>
      <c r="I42" s="37" t="s">
        <v>86</v>
      </c>
      <c r="J42" s="37" t="s">
        <v>86</v>
      </c>
      <c r="K42" s="37" t="s">
        <v>86</v>
      </c>
      <c r="L42" s="37" t="s">
        <v>86</v>
      </c>
      <c r="M42" s="37" t="s">
        <v>86</v>
      </c>
      <c r="N42" s="37" t="s">
        <v>86</v>
      </c>
      <c r="O42" s="37" t="s">
        <v>86</v>
      </c>
      <c r="P42" s="37" t="s">
        <v>86</v>
      </c>
    </row>
    <row r="43" spans="2:16" ht="28.5" customHeight="1" x14ac:dyDescent="0.25">
      <c r="B43" s="10">
        <v>11</v>
      </c>
      <c r="C43" s="17" t="s">
        <v>41</v>
      </c>
      <c r="D43" s="10" t="s">
        <v>5</v>
      </c>
      <c r="E43" s="37" t="s">
        <v>86</v>
      </c>
      <c r="F43" s="37" t="s">
        <v>86</v>
      </c>
      <c r="G43" s="37" t="s">
        <v>86</v>
      </c>
      <c r="H43" s="37" t="s">
        <v>86</v>
      </c>
      <c r="I43" s="37" t="s">
        <v>86</v>
      </c>
      <c r="J43" s="37" t="s">
        <v>86</v>
      </c>
      <c r="K43" s="37" t="s">
        <v>86</v>
      </c>
      <c r="L43" s="37" t="s">
        <v>86</v>
      </c>
      <c r="M43" s="37" t="s">
        <v>86</v>
      </c>
      <c r="N43" s="37" t="s">
        <v>86</v>
      </c>
      <c r="O43" s="37" t="s">
        <v>86</v>
      </c>
      <c r="P43" s="37" t="s">
        <v>86</v>
      </c>
    </row>
    <row r="44" spans="2:16" ht="28.5" customHeight="1" x14ac:dyDescent="0.25">
      <c r="B44" s="10">
        <v>12</v>
      </c>
      <c r="C44" s="17" t="s">
        <v>42</v>
      </c>
      <c r="D44" s="10" t="s">
        <v>5</v>
      </c>
      <c r="E44" s="37" t="s">
        <v>86</v>
      </c>
      <c r="F44" s="37" t="s">
        <v>86</v>
      </c>
      <c r="G44" s="37" t="s">
        <v>86</v>
      </c>
      <c r="H44" s="37" t="s">
        <v>86</v>
      </c>
      <c r="I44" s="37" t="s">
        <v>86</v>
      </c>
      <c r="J44" s="37" t="s">
        <v>86</v>
      </c>
      <c r="K44" s="37" t="s">
        <v>86</v>
      </c>
      <c r="L44" s="37" t="s">
        <v>86</v>
      </c>
      <c r="M44" s="37" t="s">
        <v>86</v>
      </c>
      <c r="N44" s="37" t="s">
        <v>86</v>
      </c>
      <c r="O44" s="37" t="s">
        <v>86</v>
      </c>
      <c r="P44" s="37" t="s">
        <v>86</v>
      </c>
    </row>
    <row r="45" spans="2:16" ht="26.25" x14ac:dyDescent="0.25">
      <c r="B45" s="10">
        <v>13</v>
      </c>
      <c r="C45" s="17" t="s">
        <v>43</v>
      </c>
      <c r="D45" s="10" t="s">
        <v>5</v>
      </c>
      <c r="E45" s="460" t="s">
        <v>84</v>
      </c>
      <c r="F45" s="461"/>
      <c r="G45" s="461"/>
      <c r="H45" s="461"/>
      <c r="I45" s="461"/>
      <c r="J45" s="461"/>
      <c r="K45" s="461"/>
      <c r="L45" s="461"/>
      <c r="M45" s="461"/>
      <c r="N45" s="461"/>
      <c r="O45" s="461"/>
      <c r="P45" s="462"/>
    </row>
    <row r="46" spans="2:16" ht="26.25" x14ac:dyDescent="0.25">
      <c r="B46" s="10">
        <v>14</v>
      </c>
      <c r="C46" s="17" t="s">
        <v>44</v>
      </c>
      <c r="D46" s="10" t="s">
        <v>5</v>
      </c>
      <c r="E46" s="37" t="s">
        <v>86</v>
      </c>
      <c r="F46" s="37" t="s">
        <v>86</v>
      </c>
      <c r="G46" s="37" t="s">
        <v>86</v>
      </c>
      <c r="H46" s="37" t="s">
        <v>86</v>
      </c>
      <c r="I46" s="37" t="s">
        <v>86</v>
      </c>
      <c r="J46" s="37" t="s">
        <v>86</v>
      </c>
      <c r="K46" s="37" t="s">
        <v>86</v>
      </c>
      <c r="L46" s="37" t="s">
        <v>86</v>
      </c>
      <c r="M46" s="37" t="s">
        <v>86</v>
      </c>
      <c r="N46" s="37" t="s">
        <v>86</v>
      </c>
      <c r="O46" s="37" t="s">
        <v>86</v>
      </c>
      <c r="P46" s="37" t="s">
        <v>86</v>
      </c>
    </row>
    <row r="47" spans="2:16" ht="26.25" x14ac:dyDescent="0.25">
      <c r="B47" s="10">
        <v>15</v>
      </c>
      <c r="C47" s="17" t="s">
        <v>45</v>
      </c>
      <c r="D47" s="10" t="s">
        <v>5</v>
      </c>
      <c r="E47" s="34" t="s">
        <v>88</v>
      </c>
      <c r="F47" s="34" t="s">
        <v>88</v>
      </c>
      <c r="G47" s="34" t="s">
        <v>88</v>
      </c>
      <c r="H47" s="34" t="s">
        <v>88</v>
      </c>
      <c r="I47" s="34" t="s">
        <v>88</v>
      </c>
      <c r="J47" s="34" t="s">
        <v>88</v>
      </c>
      <c r="K47" s="37" t="s">
        <v>86</v>
      </c>
      <c r="L47" s="34" t="s">
        <v>88</v>
      </c>
      <c r="M47" s="34" t="s">
        <v>88</v>
      </c>
      <c r="N47" s="34" t="s">
        <v>88</v>
      </c>
      <c r="O47" s="34" t="s">
        <v>88</v>
      </c>
      <c r="P47" s="34" t="s">
        <v>88</v>
      </c>
    </row>
    <row r="48" spans="2:16" ht="28.5" customHeight="1" x14ac:dyDescent="0.25">
      <c r="B48" s="10">
        <v>16</v>
      </c>
      <c r="C48" s="17" t="s">
        <v>46</v>
      </c>
      <c r="D48" s="10" t="s">
        <v>31</v>
      </c>
      <c r="E48" s="37" t="s">
        <v>86</v>
      </c>
      <c r="F48" s="37" t="s">
        <v>86</v>
      </c>
      <c r="G48" s="37" t="s">
        <v>86</v>
      </c>
      <c r="H48" s="37" t="s">
        <v>86</v>
      </c>
      <c r="I48" s="37" t="s">
        <v>86</v>
      </c>
      <c r="J48" s="37" t="s">
        <v>86</v>
      </c>
      <c r="K48" s="37" t="s">
        <v>86</v>
      </c>
      <c r="L48" s="37" t="s">
        <v>86</v>
      </c>
      <c r="M48" s="37" t="s">
        <v>86</v>
      </c>
      <c r="N48" s="37" t="s">
        <v>86</v>
      </c>
      <c r="O48" s="37" t="s">
        <v>86</v>
      </c>
      <c r="P48" s="37" t="s">
        <v>86</v>
      </c>
    </row>
    <row r="49" spans="2:16" ht="28.5" customHeight="1" x14ac:dyDescent="0.25">
      <c r="B49" s="10">
        <v>17</v>
      </c>
      <c r="C49" s="17" t="s">
        <v>47</v>
      </c>
      <c r="D49" s="10" t="s">
        <v>5</v>
      </c>
      <c r="E49" s="37" t="s">
        <v>86</v>
      </c>
      <c r="F49" s="37" t="s">
        <v>86</v>
      </c>
      <c r="G49" s="37" t="s">
        <v>86</v>
      </c>
      <c r="H49" s="37" t="s">
        <v>86</v>
      </c>
      <c r="I49" s="37" t="s">
        <v>86</v>
      </c>
      <c r="J49" s="37" t="s">
        <v>86</v>
      </c>
      <c r="K49" s="37" t="s">
        <v>86</v>
      </c>
      <c r="L49" s="37" t="s">
        <v>86</v>
      </c>
      <c r="M49" s="37" t="s">
        <v>86</v>
      </c>
      <c r="N49" s="37" t="s">
        <v>86</v>
      </c>
      <c r="O49" s="37" t="s">
        <v>86</v>
      </c>
      <c r="P49" s="37" t="s">
        <v>86</v>
      </c>
    </row>
    <row r="50" spans="2:16" ht="26.25" x14ac:dyDescent="0.25">
      <c r="B50" s="10">
        <v>18</v>
      </c>
      <c r="C50" s="17" t="s">
        <v>48</v>
      </c>
      <c r="D50" s="10" t="s">
        <v>5</v>
      </c>
      <c r="E50" s="451">
        <f>70+142</f>
        <v>212</v>
      </c>
      <c r="F50" s="452"/>
      <c r="G50" s="452"/>
      <c r="H50" s="452"/>
      <c r="I50" s="452"/>
      <c r="J50" s="453"/>
      <c r="K50" s="37" t="s">
        <v>86</v>
      </c>
      <c r="L50" s="451">
        <v>38</v>
      </c>
      <c r="M50" s="452"/>
      <c r="N50" s="452"/>
      <c r="O50" s="452"/>
      <c r="P50" s="453"/>
    </row>
    <row r="51" spans="2:16" ht="26.25" x14ac:dyDescent="0.25">
      <c r="B51" s="10">
        <v>19</v>
      </c>
      <c r="C51" s="17" t="s">
        <v>49</v>
      </c>
      <c r="D51" s="10" t="s">
        <v>5</v>
      </c>
      <c r="E51" s="34" t="s">
        <v>87</v>
      </c>
      <c r="F51" s="34" t="s">
        <v>87</v>
      </c>
      <c r="G51" s="34" t="s">
        <v>87</v>
      </c>
      <c r="H51" s="34" t="s">
        <v>87</v>
      </c>
      <c r="I51" s="34" t="s">
        <v>87</v>
      </c>
      <c r="J51" s="34" t="s">
        <v>87</v>
      </c>
      <c r="K51" s="37" t="s">
        <v>86</v>
      </c>
      <c r="L51" s="34" t="s">
        <v>87</v>
      </c>
      <c r="M51" s="34" t="s">
        <v>87</v>
      </c>
      <c r="N51" s="34" t="s">
        <v>87</v>
      </c>
      <c r="O51" s="34" t="s">
        <v>87</v>
      </c>
      <c r="P51" s="34" t="s">
        <v>87</v>
      </c>
    </row>
    <row r="52" spans="2:16" ht="28.5" customHeight="1" x14ac:dyDescent="0.25">
      <c r="B52" s="10">
        <v>20</v>
      </c>
      <c r="C52" s="17" t="s">
        <v>50</v>
      </c>
      <c r="D52" s="10" t="s">
        <v>31</v>
      </c>
      <c r="E52" s="37" t="s">
        <v>86</v>
      </c>
      <c r="F52" s="37" t="s">
        <v>86</v>
      </c>
      <c r="G52" s="37" t="s">
        <v>86</v>
      </c>
      <c r="H52" s="37" t="s">
        <v>86</v>
      </c>
      <c r="I52" s="37" t="s">
        <v>86</v>
      </c>
      <c r="J52" s="37" t="s">
        <v>86</v>
      </c>
      <c r="K52" s="37" t="s">
        <v>86</v>
      </c>
      <c r="L52" s="37" t="s">
        <v>86</v>
      </c>
      <c r="M52" s="37" t="s">
        <v>86</v>
      </c>
      <c r="N52" s="37" t="s">
        <v>86</v>
      </c>
      <c r="O52" s="37" t="s">
        <v>86</v>
      </c>
      <c r="P52" s="37" t="s">
        <v>86</v>
      </c>
    </row>
    <row r="53" spans="2:16" ht="28.5" customHeight="1" x14ac:dyDescent="0.25">
      <c r="B53" s="10">
        <v>21</v>
      </c>
      <c r="C53" s="17" t="s">
        <v>51</v>
      </c>
      <c r="D53" s="10" t="s">
        <v>5</v>
      </c>
      <c r="E53" s="37" t="s">
        <v>86</v>
      </c>
      <c r="F53" s="37" t="s">
        <v>86</v>
      </c>
      <c r="G53" s="37" t="s">
        <v>86</v>
      </c>
      <c r="H53" s="37" t="s">
        <v>86</v>
      </c>
      <c r="I53" s="37" t="s">
        <v>86</v>
      </c>
      <c r="J53" s="37" t="s">
        <v>86</v>
      </c>
      <c r="K53" s="37" t="s">
        <v>86</v>
      </c>
      <c r="L53" s="37" t="s">
        <v>86</v>
      </c>
      <c r="M53" s="37" t="s">
        <v>86</v>
      </c>
      <c r="N53" s="37" t="s">
        <v>86</v>
      </c>
      <c r="O53" s="37" t="s">
        <v>86</v>
      </c>
      <c r="P53" s="37" t="s">
        <v>86</v>
      </c>
    </row>
    <row r="54" spans="2:16" ht="28.5" customHeight="1" x14ac:dyDescent="0.25">
      <c r="B54" s="10">
        <v>22</v>
      </c>
      <c r="C54" s="17" t="s">
        <v>52</v>
      </c>
      <c r="D54" s="10" t="s">
        <v>31</v>
      </c>
      <c r="E54" s="37" t="s">
        <v>86</v>
      </c>
      <c r="F54" s="37" t="s">
        <v>86</v>
      </c>
      <c r="G54" s="37" t="s">
        <v>86</v>
      </c>
      <c r="H54" s="37" t="s">
        <v>86</v>
      </c>
      <c r="I54" s="37" t="s">
        <v>86</v>
      </c>
      <c r="J54" s="37" t="s">
        <v>86</v>
      </c>
      <c r="K54" s="37" t="s">
        <v>86</v>
      </c>
      <c r="L54" s="37" t="s">
        <v>86</v>
      </c>
      <c r="M54" s="37" t="s">
        <v>86</v>
      </c>
      <c r="N54" s="37" t="s">
        <v>86</v>
      </c>
      <c r="O54" s="37" t="s">
        <v>86</v>
      </c>
      <c r="P54" s="37" t="s">
        <v>86</v>
      </c>
    </row>
    <row r="55" spans="2:16" ht="28.5" customHeight="1" x14ac:dyDescent="0.25">
      <c r="B55" s="10">
        <v>23</v>
      </c>
      <c r="C55" s="17" t="s">
        <v>53</v>
      </c>
      <c r="D55" s="10" t="s">
        <v>5</v>
      </c>
      <c r="E55" s="37" t="s">
        <v>86</v>
      </c>
      <c r="F55" s="37" t="s">
        <v>86</v>
      </c>
      <c r="G55" s="37" t="s">
        <v>86</v>
      </c>
      <c r="H55" s="37" t="s">
        <v>86</v>
      </c>
      <c r="I55" s="37" t="s">
        <v>86</v>
      </c>
      <c r="J55" s="37" t="s">
        <v>86</v>
      </c>
      <c r="K55" s="37" t="s">
        <v>86</v>
      </c>
      <c r="L55" s="37" t="s">
        <v>86</v>
      </c>
      <c r="M55" s="37" t="s">
        <v>86</v>
      </c>
      <c r="N55" s="37" t="s">
        <v>86</v>
      </c>
      <c r="O55" s="37" t="s">
        <v>86</v>
      </c>
      <c r="P55" s="37" t="s">
        <v>86</v>
      </c>
    </row>
    <row r="56" spans="2:16" ht="27" customHeight="1" x14ac:dyDescent="0.25">
      <c r="B56" s="10">
        <v>24</v>
      </c>
      <c r="C56" s="17" t="s">
        <v>54</v>
      </c>
      <c r="D56" s="10" t="s">
        <v>5</v>
      </c>
      <c r="E56" s="37" t="s">
        <v>86</v>
      </c>
      <c r="F56" s="37" t="s">
        <v>86</v>
      </c>
      <c r="G56" s="37" t="s">
        <v>86</v>
      </c>
      <c r="H56" s="37" t="s">
        <v>86</v>
      </c>
      <c r="I56" s="37" t="s">
        <v>86</v>
      </c>
      <c r="J56" s="37" t="s">
        <v>86</v>
      </c>
      <c r="K56" s="37" t="s">
        <v>86</v>
      </c>
      <c r="L56" s="37" t="s">
        <v>86</v>
      </c>
      <c r="M56" s="37" t="s">
        <v>86</v>
      </c>
      <c r="N56" s="37" t="s">
        <v>86</v>
      </c>
      <c r="O56" s="37" t="s">
        <v>86</v>
      </c>
      <c r="P56" s="37" t="s">
        <v>86</v>
      </c>
    </row>
    <row r="57" spans="2:16" ht="31.5" x14ac:dyDescent="0.25">
      <c r="B57" s="14"/>
      <c r="C57" s="15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</row>
    <row r="58" spans="2:16" ht="33.75" x14ac:dyDescent="0.25">
      <c r="B58" s="1" t="s">
        <v>55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2:16" ht="63" customHeight="1" x14ac:dyDescent="0.25">
      <c r="B59" s="11" t="s">
        <v>1</v>
      </c>
      <c r="C59" s="12" t="s">
        <v>16</v>
      </c>
      <c r="D59" s="11" t="s">
        <v>3</v>
      </c>
      <c r="E59" s="13" t="s">
        <v>65</v>
      </c>
      <c r="F59" s="13" t="s">
        <v>66</v>
      </c>
      <c r="G59" s="13" t="s">
        <v>67</v>
      </c>
      <c r="H59" s="13" t="s">
        <v>68</v>
      </c>
      <c r="I59" s="13" t="s">
        <v>69</v>
      </c>
      <c r="J59" s="13" t="s">
        <v>70</v>
      </c>
      <c r="K59" s="13" t="s">
        <v>71</v>
      </c>
      <c r="L59" s="13" t="s">
        <v>72</v>
      </c>
      <c r="M59" s="13" t="s">
        <v>73</v>
      </c>
      <c r="N59" s="13" t="s">
        <v>74</v>
      </c>
      <c r="O59" s="13" t="s">
        <v>75</v>
      </c>
      <c r="P59" s="13" t="s">
        <v>76</v>
      </c>
    </row>
    <row r="60" spans="2:16" ht="26.25" x14ac:dyDescent="0.25">
      <c r="B60" s="9">
        <v>1</v>
      </c>
      <c r="C60" s="19" t="s">
        <v>56</v>
      </c>
      <c r="D60" s="9" t="s">
        <v>5</v>
      </c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</row>
    <row r="61" spans="2:16" ht="26.25" x14ac:dyDescent="0.25">
      <c r="B61" s="9">
        <v>2</v>
      </c>
      <c r="C61" s="19" t="s">
        <v>57</v>
      </c>
      <c r="D61" s="9" t="s">
        <v>5</v>
      </c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</row>
  </sheetData>
  <mergeCells count="33">
    <mergeCell ref="E14:H14"/>
    <mergeCell ref="E33:P33"/>
    <mergeCell ref="E36:P36"/>
    <mergeCell ref="E40:P40"/>
    <mergeCell ref="E45:P45"/>
    <mergeCell ref="E16:H16"/>
    <mergeCell ref="M16:N16"/>
    <mergeCell ref="O16:P16"/>
    <mergeCell ref="E17:H17"/>
    <mergeCell ref="M17:N17"/>
    <mergeCell ref="O17:P17"/>
    <mergeCell ref="E11:H11"/>
    <mergeCell ref="M11:N11"/>
    <mergeCell ref="O11:P11"/>
    <mergeCell ref="E12:H12"/>
    <mergeCell ref="M12:N12"/>
    <mergeCell ref="O12:P12"/>
    <mergeCell ref="I4:J4"/>
    <mergeCell ref="E4:H4"/>
    <mergeCell ref="E50:J50"/>
    <mergeCell ref="L50:P50"/>
    <mergeCell ref="E7:H7"/>
    <mergeCell ref="M7:N7"/>
    <mergeCell ref="O7:P7"/>
    <mergeCell ref="E8:H8"/>
    <mergeCell ref="M8:N8"/>
    <mergeCell ref="O8:P8"/>
    <mergeCell ref="E9:H9"/>
    <mergeCell ref="M9:N9"/>
    <mergeCell ref="O9:P9"/>
    <mergeCell ref="E10:H10"/>
    <mergeCell ref="M10:N10"/>
    <mergeCell ref="O10:P10"/>
  </mergeCells>
  <printOptions horizontalCentered="1" verticalCentered="1"/>
  <pageMargins left="0.25" right="0.2" top="0.25" bottom="0.25" header="0.3" footer="0.3"/>
  <pageSetup paperSize="8" scale="41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7:F20"/>
  <sheetViews>
    <sheetView topLeftCell="D7" zoomScale="145" zoomScaleNormal="145" workbookViewId="0">
      <selection activeCell="Q23" sqref="Q23:W26"/>
    </sheetView>
  </sheetViews>
  <sheetFormatPr defaultRowHeight="15" x14ac:dyDescent="0.25"/>
  <sheetData>
    <row r="17" spans="2:6" x14ac:dyDescent="0.25">
      <c r="B17" t="s">
        <v>98</v>
      </c>
      <c r="C17" t="s">
        <v>99</v>
      </c>
      <c r="D17" t="s">
        <v>100</v>
      </c>
      <c r="E17" t="s">
        <v>101</v>
      </c>
      <c r="F17" t="s">
        <v>102</v>
      </c>
    </row>
    <row r="18" spans="2:6" x14ac:dyDescent="0.25">
      <c r="B18" t="s">
        <v>103</v>
      </c>
      <c r="C18" t="s">
        <v>104</v>
      </c>
      <c r="D18" t="s">
        <v>105</v>
      </c>
      <c r="E18" t="s">
        <v>106</v>
      </c>
    </row>
    <row r="19" spans="2:6" x14ac:dyDescent="0.25">
      <c r="B19" t="s">
        <v>103</v>
      </c>
      <c r="C19" t="s">
        <v>107</v>
      </c>
      <c r="D19" t="s">
        <v>108</v>
      </c>
      <c r="E19" t="s">
        <v>109</v>
      </c>
    </row>
    <row r="20" spans="2:6" x14ac:dyDescent="0.25">
      <c r="B20" t="s">
        <v>103</v>
      </c>
      <c r="C20" t="s">
        <v>110</v>
      </c>
      <c r="D20" t="s">
        <v>111</v>
      </c>
      <c r="E20" t="s">
        <v>109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3:R17"/>
  <sheetViews>
    <sheetView workbookViewId="0">
      <selection activeCell="B58" sqref="B58"/>
    </sheetView>
  </sheetViews>
  <sheetFormatPr defaultRowHeight="15" x14ac:dyDescent="0.25"/>
  <cols>
    <col min="3" max="3" width="9.625" bestFit="1" customWidth="1"/>
    <col min="4" max="4" width="18.25" customWidth="1"/>
    <col min="5" max="5" width="16" bestFit="1" customWidth="1"/>
    <col min="6" max="7" width="5" bestFit="1" customWidth="1"/>
    <col min="8" max="16" width="6" bestFit="1" customWidth="1"/>
    <col min="17" max="18" width="5" bestFit="1" customWidth="1"/>
  </cols>
  <sheetData>
    <row r="3" spans="3:18" x14ac:dyDescent="0.25">
      <c r="E3" s="421"/>
    </row>
    <row r="4" spans="3:18" ht="33.75" customHeight="1" x14ac:dyDescent="0.25">
      <c r="C4" s="469" t="s">
        <v>1211</v>
      </c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69"/>
      <c r="R4" s="469"/>
    </row>
    <row r="5" spans="3:18" x14ac:dyDescent="0.25">
      <c r="C5" s="467" t="s">
        <v>1212</v>
      </c>
      <c r="D5" s="468"/>
      <c r="E5" s="422" t="s">
        <v>1206</v>
      </c>
      <c r="F5" s="422" t="s">
        <v>1202</v>
      </c>
      <c r="G5" s="422" t="s">
        <v>146</v>
      </c>
      <c r="H5" s="422" t="s">
        <v>147</v>
      </c>
      <c r="I5" s="422" t="s">
        <v>148</v>
      </c>
      <c r="J5" s="422" t="s">
        <v>174</v>
      </c>
      <c r="K5" s="422" t="s">
        <v>175</v>
      </c>
      <c r="L5" s="422" t="s">
        <v>176</v>
      </c>
      <c r="M5" s="422" t="s">
        <v>177</v>
      </c>
      <c r="N5" s="422" t="s">
        <v>178</v>
      </c>
      <c r="O5" s="422" t="s">
        <v>179</v>
      </c>
      <c r="P5" s="422" t="s">
        <v>180</v>
      </c>
      <c r="Q5" s="422" t="s">
        <v>144</v>
      </c>
      <c r="R5" s="422" t="s">
        <v>145</v>
      </c>
    </row>
    <row r="6" spans="3:18" ht="30" x14ac:dyDescent="0.25">
      <c r="C6" s="466" t="s">
        <v>1207</v>
      </c>
      <c r="D6" s="423" t="s">
        <v>1213</v>
      </c>
      <c r="E6" s="268">
        <f>SUM(G6:R6)</f>
        <v>165000</v>
      </c>
      <c r="F6" s="268" t="s">
        <v>1187</v>
      </c>
      <c r="G6" s="269">
        <v>7050.7032148732724</v>
      </c>
      <c r="H6" s="269">
        <v>8906.1514293136079</v>
      </c>
      <c r="I6" s="269">
        <v>15029.130536966712</v>
      </c>
      <c r="J6" s="269">
        <v>15771.309822742849</v>
      </c>
      <c r="K6" s="269">
        <v>20409.930358843685</v>
      </c>
      <c r="L6" s="269">
        <v>19853.295894511582</v>
      </c>
      <c r="M6" s="269">
        <v>18554.482144403351</v>
      </c>
      <c r="N6" s="269">
        <v>16791.806340685031</v>
      </c>
      <c r="O6" s="269">
        <v>15956.85464418688</v>
      </c>
      <c r="P6" s="269">
        <v>11676.335613473027</v>
      </c>
      <c r="Q6" s="269">
        <v>7500</v>
      </c>
      <c r="R6" s="269">
        <v>7500</v>
      </c>
    </row>
    <row r="7" spans="3:18" x14ac:dyDescent="0.25">
      <c r="C7" s="466"/>
      <c r="D7" s="422" t="s">
        <v>1204</v>
      </c>
      <c r="E7" s="268">
        <f t="shared" ref="E7:E11" si="0">SUM(G7:R7)</f>
        <v>7000</v>
      </c>
      <c r="F7" s="268" t="s">
        <v>1187</v>
      </c>
      <c r="G7" s="268">
        <v>500</v>
      </c>
      <c r="H7" s="268">
        <v>1500</v>
      </c>
      <c r="I7" s="268">
        <v>1500</v>
      </c>
      <c r="J7" s="268">
        <v>1500</v>
      </c>
      <c r="K7" s="268">
        <v>1500</v>
      </c>
      <c r="L7" s="268">
        <v>500</v>
      </c>
      <c r="M7" s="268"/>
      <c r="N7" s="268"/>
      <c r="O7" s="268"/>
      <c r="P7" s="268"/>
      <c r="Q7" s="268"/>
      <c r="R7" s="268"/>
    </row>
    <row r="8" spans="3:18" ht="27.75" customHeight="1" x14ac:dyDescent="0.25">
      <c r="C8" s="466"/>
      <c r="D8" s="423" t="s">
        <v>1209</v>
      </c>
      <c r="E8" s="268">
        <f t="shared" si="0"/>
        <v>16900</v>
      </c>
      <c r="F8" s="268" t="s">
        <v>1187</v>
      </c>
      <c r="G8" s="268"/>
      <c r="H8" s="268"/>
      <c r="I8" s="268">
        <v>300</v>
      </c>
      <c r="J8" s="268">
        <v>300</v>
      </c>
      <c r="K8" s="268"/>
      <c r="L8" s="268"/>
      <c r="M8" s="268"/>
      <c r="N8" s="420">
        <v>13300</v>
      </c>
      <c r="O8" s="268">
        <v>100</v>
      </c>
      <c r="P8" s="268">
        <v>2900</v>
      </c>
      <c r="Q8" s="268"/>
      <c r="R8" s="268"/>
    </row>
    <row r="9" spans="3:18" x14ac:dyDescent="0.25">
      <c r="C9" s="466" t="s">
        <v>1208</v>
      </c>
      <c r="D9" s="422" t="s">
        <v>1203</v>
      </c>
      <c r="E9" s="268">
        <f t="shared" si="0"/>
        <v>100</v>
      </c>
      <c r="F9" s="268" t="s">
        <v>1187</v>
      </c>
      <c r="G9" s="268">
        <v>100</v>
      </c>
      <c r="H9" s="268"/>
      <c r="I9" s="268"/>
      <c r="J9" s="268"/>
      <c r="K9" s="268"/>
      <c r="L9" s="268"/>
      <c r="M9" s="268"/>
      <c r="N9" s="268"/>
      <c r="O9" s="268"/>
      <c r="P9" s="268"/>
      <c r="Q9" s="268"/>
      <c r="R9" s="268"/>
    </row>
    <row r="10" spans="3:18" x14ac:dyDescent="0.25">
      <c r="C10" s="466"/>
      <c r="D10" s="422" t="s">
        <v>1201</v>
      </c>
      <c r="E10" s="268">
        <f t="shared" si="0"/>
        <v>300</v>
      </c>
      <c r="F10" s="268" t="s">
        <v>1187</v>
      </c>
      <c r="G10" s="268">
        <v>300</v>
      </c>
      <c r="H10" s="268"/>
      <c r="I10" s="268"/>
      <c r="J10" s="268"/>
      <c r="K10" s="268"/>
      <c r="L10" s="268"/>
      <c r="M10" s="268"/>
      <c r="N10" s="268"/>
      <c r="O10" s="268"/>
      <c r="P10" s="268"/>
      <c r="Q10" s="268"/>
      <c r="R10" s="268"/>
    </row>
    <row r="11" spans="3:18" x14ac:dyDescent="0.25">
      <c r="C11" s="466"/>
      <c r="D11" s="422" t="s">
        <v>1205</v>
      </c>
      <c r="E11" s="268">
        <f t="shared" si="0"/>
        <v>100</v>
      </c>
      <c r="F11" s="268" t="s">
        <v>1187</v>
      </c>
      <c r="G11" s="268">
        <v>100</v>
      </c>
      <c r="H11" s="268"/>
      <c r="I11" s="268"/>
      <c r="J11" s="268"/>
      <c r="K11" s="268"/>
      <c r="L11" s="268"/>
      <c r="M11" s="268"/>
      <c r="N11" s="268"/>
      <c r="O11" s="268"/>
      <c r="P11" s="268"/>
      <c r="Q11" s="268"/>
      <c r="R11" s="268"/>
    </row>
    <row r="12" spans="3:18" x14ac:dyDescent="0.25">
      <c r="C12" s="467" t="s">
        <v>1210</v>
      </c>
      <c r="D12" s="468"/>
      <c r="E12" s="422">
        <f>SUM(G12:R12)</f>
        <v>189400</v>
      </c>
      <c r="F12" s="422" t="s">
        <v>1187</v>
      </c>
      <c r="G12" s="424">
        <f>G6+G7+G8+G9+G10+G11</f>
        <v>8050.7032148732724</v>
      </c>
      <c r="H12" s="424">
        <f t="shared" ref="H12:R12" si="1">H6+H7+H8+H9+H10+H11</f>
        <v>10406.151429313608</v>
      </c>
      <c r="I12" s="424">
        <f t="shared" si="1"/>
        <v>16829.13053696671</v>
      </c>
      <c r="J12" s="424">
        <f t="shared" si="1"/>
        <v>17571.309822742849</v>
      </c>
      <c r="K12" s="424">
        <f t="shared" si="1"/>
        <v>21909.930358843685</v>
      </c>
      <c r="L12" s="424">
        <f t="shared" si="1"/>
        <v>20353.295894511582</v>
      </c>
      <c r="M12" s="424">
        <f t="shared" si="1"/>
        <v>18554.482144403351</v>
      </c>
      <c r="N12" s="424">
        <f t="shared" si="1"/>
        <v>30091.806340685031</v>
      </c>
      <c r="O12" s="424">
        <f t="shared" si="1"/>
        <v>16056.85464418688</v>
      </c>
      <c r="P12" s="424">
        <f t="shared" si="1"/>
        <v>14576.335613473027</v>
      </c>
      <c r="Q12" s="424">
        <f t="shared" si="1"/>
        <v>7500</v>
      </c>
      <c r="R12" s="424">
        <f t="shared" si="1"/>
        <v>7500</v>
      </c>
    </row>
    <row r="13" spans="3:18" x14ac:dyDescent="0.25"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</row>
    <row r="14" spans="3:18" x14ac:dyDescent="0.25">
      <c r="I14" s="33"/>
    </row>
    <row r="17" spans="7:17" x14ac:dyDescent="0.25">
      <c r="G17" s="419"/>
      <c r="H17" s="419"/>
      <c r="I17" s="419"/>
      <c r="J17" s="419"/>
      <c r="K17" s="419"/>
      <c r="L17" s="419"/>
      <c r="M17" s="419"/>
      <c r="N17" s="419"/>
      <c r="O17" s="419"/>
      <c r="P17" s="419"/>
      <c r="Q17" s="419"/>
    </row>
  </sheetData>
  <mergeCells count="5">
    <mergeCell ref="C9:C11"/>
    <mergeCell ref="C6:C8"/>
    <mergeCell ref="C12:D12"/>
    <mergeCell ref="C4:R4"/>
    <mergeCell ref="C5:D5"/>
  </mergeCells>
  <pageMargins left="0.7" right="0.7" top="0.75" bottom="0.75" header="0.3" footer="0.3"/>
  <pageSetup orientation="landscape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AR65"/>
  <sheetViews>
    <sheetView topLeftCell="F16" zoomScale="55" zoomScaleNormal="55" workbookViewId="0">
      <selection activeCell="B58" sqref="B58"/>
    </sheetView>
  </sheetViews>
  <sheetFormatPr defaultRowHeight="15" x14ac:dyDescent="0.25"/>
  <cols>
    <col min="1" max="1" width="14.625" hidden="1" customWidth="1"/>
    <col min="2" max="2" width="62.375" customWidth="1"/>
    <col min="3" max="3" width="38.25" customWidth="1"/>
    <col min="4" max="4" width="14.875" bestFit="1" customWidth="1"/>
    <col min="5" max="5" width="12.875" style="198" customWidth="1"/>
    <col min="6" max="6" width="16.25" customWidth="1"/>
    <col min="7" max="18" width="16.375" customWidth="1"/>
    <col min="19" max="26" width="7" hidden="1" customWidth="1"/>
    <col min="27" max="34" width="7.375" hidden="1" customWidth="1"/>
    <col min="35" max="35" width="6.75" hidden="1" customWidth="1"/>
    <col min="36" max="36" width="4.75" hidden="1" customWidth="1"/>
    <col min="37" max="39" width="9.125" hidden="1" customWidth="1"/>
    <col min="40" max="40" width="9.125" customWidth="1"/>
    <col min="41" max="41" width="11" bestFit="1" customWidth="1"/>
    <col min="42" max="42" width="16.875" customWidth="1"/>
    <col min="43" max="43" width="11.875" customWidth="1"/>
    <col min="44" max="44" width="9.125" customWidth="1"/>
    <col min="45" max="45" width="10.625" customWidth="1"/>
    <col min="46" max="46" width="9.125" customWidth="1"/>
  </cols>
  <sheetData>
    <row r="1" spans="1:44" ht="60" customHeight="1" x14ac:dyDescent="0.45">
      <c r="A1" s="470" t="s">
        <v>149</v>
      </c>
      <c r="B1" s="470"/>
      <c r="C1" s="470"/>
      <c r="D1" s="470"/>
      <c r="E1" s="470"/>
      <c r="F1" s="470"/>
      <c r="G1" s="470"/>
      <c r="H1" s="470"/>
      <c r="I1" s="470"/>
      <c r="J1" s="470"/>
      <c r="K1" s="470"/>
      <c r="L1" s="470"/>
      <c r="M1" s="470"/>
      <c r="N1" s="470"/>
      <c r="O1" s="470"/>
      <c r="P1" s="470"/>
      <c r="Q1" s="470"/>
      <c r="R1" s="470"/>
      <c r="S1" s="470"/>
      <c r="T1" s="470"/>
      <c r="U1" s="470"/>
      <c r="V1" s="470"/>
      <c r="W1" s="470"/>
      <c r="X1" s="470"/>
      <c r="Y1" s="470"/>
      <c r="Z1" s="470"/>
      <c r="AA1" s="470"/>
      <c r="AB1" s="470"/>
      <c r="AC1" s="470"/>
      <c r="AD1" s="470"/>
      <c r="AE1" s="470"/>
      <c r="AF1" s="470"/>
      <c r="AG1" s="470"/>
      <c r="AH1" s="470"/>
      <c r="AI1" s="470"/>
      <c r="AJ1" s="470"/>
      <c r="AK1" s="470"/>
      <c r="AL1" s="470"/>
      <c r="AM1" s="470"/>
      <c r="AN1" s="470"/>
      <c r="AO1" s="470"/>
    </row>
    <row r="2" spans="1:44" ht="26.25" x14ac:dyDescent="0.25">
      <c r="A2" s="471" t="s">
        <v>215</v>
      </c>
      <c r="B2" s="471"/>
      <c r="C2" s="471"/>
      <c r="D2" s="471"/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P2" s="471"/>
      <c r="Q2" s="471"/>
      <c r="R2" s="471"/>
      <c r="S2" s="471"/>
      <c r="T2" s="471"/>
      <c r="U2" s="471"/>
      <c r="V2" s="471"/>
      <c r="W2" s="471"/>
      <c r="X2" s="471"/>
      <c r="Y2" s="471"/>
      <c r="Z2" s="471"/>
      <c r="AA2" s="471"/>
      <c r="AB2" s="471"/>
      <c r="AC2" s="471"/>
      <c r="AD2" s="471"/>
      <c r="AE2" s="471"/>
      <c r="AF2" s="471"/>
      <c r="AG2" s="471"/>
      <c r="AH2" s="471"/>
      <c r="AI2" s="471"/>
      <c r="AJ2" s="471"/>
      <c r="AK2" s="471"/>
      <c r="AL2" s="471"/>
      <c r="AM2" s="471"/>
      <c r="AN2" s="471"/>
      <c r="AO2" s="471"/>
    </row>
    <row r="3" spans="1:44" ht="39.75" customHeight="1" thickBot="1" x14ac:dyDescent="0.3">
      <c r="A3" s="205"/>
      <c r="B3" s="485" t="s">
        <v>150</v>
      </c>
      <c r="C3" s="485"/>
      <c r="D3" s="485"/>
      <c r="E3" s="485"/>
      <c r="F3" s="485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6"/>
      <c r="W3" s="486"/>
      <c r="X3" s="486"/>
      <c r="Y3" s="486"/>
      <c r="Z3" s="486"/>
      <c r="AA3" s="486"/>
      <c r="AB3" s="486"/>
      <c r="AC3" s="486"/>
      <c r="AD3" s="486"/>
      <c r="AE3" s="486"/>
      <c r="AF3" s="486"/>
      <c r="AG3" s="486"/>
      <c r="AH3" s="486"/>
      <c r="AI3" s="486"/>
      <c r="AJ3" s="205"/>
      <c r="AK3" s="205"/>
      <c r="AL3" s="205"/>
      <c r="AM3" s="205"/>
      <c r="AN3" s="205"/>
      <c r="AO3" s="205"/>
    </row>
    <row r="4" spans="1:44" ht="27" thickBot="1" x14ac:dyDescent="0.3">
      <c r="A4" s="205"/>
      <c r="B4" s="476" t="s">
        <v>143</v>
      </c>
      <c r="C4" s="478" t="s">
        <v>116</v>
      </c>
      <c r="D4" s="478" t="s">
        <v>118</v>
      </c>
      <c r="E4" s="476" t="s">
        <v>142</v>
      </c>
      <c r="F4" s="474" t="s">
        <v>172</v>
      </c>
      <c r="G4" s="472">
        <v>2023</v>
      </c>
      <c r="H4" s="472"/>
      <c r="I4" s="472"/>
      <c r="J4" s="472"/>
      <c r="K4" s="472"/>
      <c r="L4" s="472"/>
      <c r="M4" s="472"/>
      <c r="N4" s="472"/>
      <c r="O4" s="472"/>
      <c r="P4" s="472"/>
      <c r="Q4" s="472"/>
      <c r="R4" s="473"/>
      <c r="S4" s="216"/>
      <c r="T4" s="216"/>
      <c r="U4" s="216"/>
      <c r="V4" s="216"/>
      <c r="W4" s="216"/>
      <c r="X4" s="216"/>
      <c r="Y4" s="216"/>
      <c r="Z4" s="216"/>
      <c r="AA4" s="216"/>
      <c r="AB4" s="216"/>
      <c r="AC4" s="216"/>
      <c r="AD4" s="216"/>
      <c r="AE4" s="216"/>
      <c r="AF4" s="216"/>
      <c r="AG4" s="216"/>
      <c r="AH4" s="216"/>
      <c r="AI4" s="216"/>
      <c r="AJ4" s="205"/>
      <c r="AK4" s="205"/>
      <c r="AL4" s="205"/>
      <c r="AM4" s="205"/>
      <c r="AN4" s="205"/>
      <c r="AO4" s="205"/>
    </row>
    <row r="5" spans="1:44" ht="58.5" customHeight="1" thickBot="1" x14ac:dyDescent="0.3">
      <c r="B5" s="477"/>
      <c r="C5" s="479"/>
      <c r="D5" s="479"/>
      <c r="E5" s="477"/>
      <c r="F5" s="475"/>
      <c r="G5" s="271" t="s">
        <v>146</v>
      </c>
      <c r="H5" s="254" t="s">
        <v>147</v>
      </c>
      <c r="I5" s="254" t="s">
        <v>148</v>
      </c>
      <c r="J5" s="254" t="s">
        <v>174</v>
      </c>
      <c r="K5" s="254" t="s">
        <v>175</v>
      </c>
      <c r="L5" s="254" t="s">
        <v>176</v>
      </c>
      <c r="M5" s="254" t="s">
        <v>177</v>
      </c>
      <c r="N5" s="254" t="s">
        <v>178</v>
      </c>
      <c r="O5" s="254" t="s">
        <v>179</v>
      </c>
      <c r="P5" s="254" t="s">
        <v>180</v>
      </c>
      <c r="Q5" s="254" t="s">
        <v>144</v>
      </c>
      <c r="R5" s="255" t="s">
        <v>145</v>
      </c>
      <c r="S5" s="211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204"/>
      <c r="AG5" s="204"/>
      <c r="AH5" s="204"/>
      <c r="AI5" s="204"/>
      <c r="AJ5" s="197">
        <f t="shared" ref="AJ5" si="0">AI5+7</f>
        <v>7</v>
      </c>
    </row>
    <row r="6" spans="1:44" ht="33" customHeight="1" thickBot="1" x14ac:dyDescent="0.3">
      <c r="B6" s="263" t="s">
        <v>173</v>
      </c>
      <c r="C6" s="265"/>
      <c r="D6" s="265"/>
      <c r="E6" s="265"/>
      <c r="F6" s="265"/>
      <c r="G6" s="265"/>
      <c r="H6" s="265"/>
      <c r="I6" s="265"/>
      <c r="J6" s="265"/>
      <c r="K6" s="265"/>
      <c r="L6" s="265"/>
      <c r="M6" s="265"/>
      <c r="N6" s="265"/>
      <c r="O6" s="265"/>
      <c r="P6" s="265"/>
      <c r="Q6" s="265"/>
      <c r="R6" s="266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212"/>
      <c r="AG6" s="212"/>
      <c r="AH6" s="212"/>
      <c r="AI6" s="213"/>
      <c r="AJ6" s="33"/>
    </row>
    <row r="7" spans="1:44" ht="33" customHeight="1" x14ac:dyDescent="0.25">
      <c r="A7">
        <v>80843</v>
      </c>
      <c r="B7" s="233" t="s">
        <v>20</v>
      </c>
      <c r="C7" s="214">
        <v>44934</v>
      </c>
      <c r="D7" s="214">
        <v>45224</v>
      </c>
      <c r="E7" s="215"/>
      <c r="F7" s="238">
        <f t="shared" ref="F7:F8" si="1">SUM(G7:AI7)</f>
        <v>80843</v>
      </c>
      <c r="G7" s="236">
        <v>3800</v>
      </c>
      <c r="H7" s="236">
        <v>4800</v>
      </c>
      <c r="I7" s="236">
        <v>8100</v>
      </c>
      <c r="J7" s="236">
        <v>8500</v>
      </c>
      <c r="K7" s="236">
        <v>11000</v>
      </c>
      <c r="L7" s="236">
        <v>10700</v>
      </c>
      <c r="M7" s="236">
        <v>10000</v>
      </c>
      <c r="N7" s="236">
        <v>9050</v>
      </c>
      <c r="O7" s="236">
        <v>8600</v>
      </c>
      <c r="P7" s="236">
        <f>6343-50</f>
        <v>6293</v>
      </c>
      <c r="Q7" s="234"/>
      <c r="R7" s="235"/>
      <c r="S7" s="199"/>
      <c r="T7" s="199"/>
      <c r="U7" s="199"/>
      <c r="V7" s="199"/>
      <c r="W7" s="199"/>
      <c r="X7" s="199"/>
      <c r="Y7" s="199"/>
      <c r="Z7" s="199"/>
      <c r="AA7" s="199"/>
      <c r="AB7" s="199"/>
      <c r="AC7" s="199"/>
      <c r="AD7" s="199"/>
      <c r="AE7" s="199"/>
      <c r="AF7" s="199"/>
      <c r="AG7" s="199"/>
      <c r="AH7" s="199"/>
      <c r="AI7" s="203"/>
      <c r="AJ7" s="33"/>
      <c r="AK7">
        <f t="shared" ref="AK7" si="2">SUM(G7:AJ7)</f>
        <v>80843</v>
      </c>
      <c r="AL7">
        <f t="shared" ref="AL7" si="3">AK7-F7</f>
        <v>0</v>
      </c>
      <c r="AQ7">
        <v>80843</v>
      </c>
      <c r="AR7">
        <f>F7-AQ7</f>
        <v>0</v>
      </c>
    </row>
    <row r="8" spans="1:44" ht="15.75" x14ac:dyDescent="0.25">
      <c r="A8" t="s">
        <v>184</v>
      </c>
      <c r="B8" s="248" t="s">
        <v>181</v>
      </c>
      <c r="C8" s="256"/>
      <c r="D8" s="256"/>
      <c r="E8" s="240"/>
      <c r="F8" s="239">
        <f t="shared" si="1"/>
        <v>80843</v>
      </c>
      <c r="G8" s="242">
        <f t="shared" ref="G8:R8" si="4">G7</f>
        <v>3800</v>
      </c>
      <c r="H8" s="242">
        <f t="shared" si="4"/>
        <v>4800</v>
      </c>
      <c r="I8" s="242">
        <f t="shared" si="4"/>
        <v>8100</v>
      </c>
      <c r="J8" s="242">
        <f t="shared" si="4"/>
        <v>8500</v>
      </c>
      <c r="K8" s="242">
        <f t="shared" si="4"/>
        <v>11000</v>
      </c>
      <c r="L8" s="242">
        <f t="shared" si="4"/>
        <v>10700</v>
      </c>
      <c r="M8" s="242">
        <f t="shared" si="4"/>
        <v>10000</v>
      </c>
      <c r="N8" s="242">
        <f t="shared" si="4"/>
        <v>9050</v>
      </c>
      <c r="O8" s="242">
        <f t="shared" si="4"/>
        <v>8600</v>
      </c>
      <c r="P8" s="242">
        <f t="shared" si="4"/>
        <v>6293</v>
      </c>
      <c r="Q8" s="242">
        <f t="shared" si="4"/>
        <v>0</v>
      </c>
      <c r="R8" s="243">
        <f t="shared" si="4"/>
        <v>0</v>
      </c>
      <c r="S8" s="228"/>
      <c r="T8" s="201"/>
      <c r="U8" s="202">
        <f>U7</f>
        <v>0</v>
      </c>
      <c r="V8" s="201"/>
      <c r="W8" s="201"/>
      <c r="X8" s="201"/>
      <c r="Y8" s="201"/>
      <c r="Z8" s="201"/>
      <c r="AA8" s="201"/>
      <c r="AB8" s="201"/>
      <c r="AC8" s="201"/>
      <c r="AD8" s="201"/>
      <c r="AE8" s="201"/>
      <c r="AF8" s="201"/>
      <c r="AG8" s="201"/>
      <c r="AH8" s="201"/>
      <c r="AI8" s="201"/>
    </row>
    <row r="9" spans="1:44" ht="15.75" x14ac:dyDescent="0.25">
      <c r="B9" s="248" t="s">
        <v>182</v>
      </c>
      <c r="C9" s="256"/>
      <c r="D9" s="256"/>
      <c r="E9" s="240"/>
      <c r="F9" s="239"/>
      <c r="G9" s="242">
        <f>G8/4</f>
        <v>950</v>
      </c>
      <c r="H9" s="242">
        <f t="shared" ref="H9" si="5">H8/4</f>
        <v>1200</v>
      </c>
      <c r="I9" s="242">
        <f t="shared" ref="I9" si="6">I8/4</f>
        <v>2025</v>
      </c>
      <c r="J9" s="242">
        <f t="shared" ref="J9" si="7">J8/4</f>
        <v>2125</v>
      </c>
      <c r="K9" s="242">
        <f t="shared" ref="K9" si="8">K8/4</f>
        <v>2750</v>
      </c>
      <c r="L9" s="242">
        <f t="shared" ref="L9" si="9">L8/4</f>
        <v>2675</v>
      </c>
      <c r="M9" s="242">
        <f t="shared" ref="M9" si="10">M8/4</f>
        <v>2500</v>
      </c>
      <c r="N9" s="242">
        <f t="shared" ref="N9" si="11">N8/4</f>
        <v>2262.5</v>
      </c>
      <c r="O9" s="242">
        <f t="shared" ref="O9" si="12">O8/4</f>
        <v>2150</v>
      </c>
      <c r="P9" s="242">
        <f t="shared" ref="P9" si="13">P8/4</f>
        <v>1573.25</v>
      </c>
      <c r="Q9" s="242">
        <f t="shared" ref="Q9" si="14">Q8/4</f>
        <v>0</v>
      </c>
      <c r="R9" s="243"/>
      <c r="S9" s="228"/>
      <c r="T9" s="217"/>
      <c r="U9" s="202"/>
      <c r="V9" s="202"/>
      <c r="W9" s="202"/>
      <c r="X9" s="202"/>
      <c r="Y9" s="202"/>
      <c r="Z9" s="202"/>
      <c r="AA9" s="202"/>
      <c r="AB9" s="202"/>
      <c r="AC9" s="202"/>
      <c r="AD9" s="202"/>
      <c r="AE9" s="202"/>
      <c r="AF9" s="201"/>
      <c r="AG9" s="201"/>
      <c r="AH9" s="217"/>
      <c r="AI9" s="202"/>
    </row>
    <row r="10" spans="1:44" ht="24" customHeight="1" x14ac:dyDescent="0.25">
      <c r="B10" s="248" t="s">
        <v>183</v>
      </c>
      <c r="C10" s="257"/>
      <c r="D10" s="257"/>
      <c r="E10" s="249"/>
      <c r="F10" s="240"/>
      <c r="G10" s="244">
        <f>G9/6</f>
        <v>158.33333333333334</v>
      </c>
      <c r="H10" s="242">
        <f t="shared" ref="H10" si="15">H9/6</f>
        <v>200</v>
      </c>
      <c r="I10" s="242">
        <f t="shared" ref="I10" si="16">I9/6</f>
        <v>337.5</v>
      </c>
      <c r="J10" s="242">
        <f t="shared" ref="J10" si="17">J9/6</f>
        <v>354.16666666666669</v>
      </c>
      <c r="K10" s="242">
        <f t="shared" ref="K10" si="18">K9/6</f>
        <v>458.33333333333331</v>
      </c>
      <c r="L10" s="242">
        <f t="shared" ref="L10" si="19">L9/6</f>
        <v>445.83333333333331</v>
      </c>
      <c r="M10" s="242">
        <f t="shared" ref="M10" si="20">M9/6</f>
        <v>416.66666666666669</v>
      </c>
      <c r="N10" s="242">
        <f t="shared" ref="N10" si="21">N9/6</f>
        <v>377.08333333333331</v>
      </c>
      <c r="O10" s="242">
        <f t="shared" ref="O10" si="22">O9/6</f>
        <v>358.33333333333331</v>
      </c>
      <c r="P10" s="242">
        <f t="shared" ref="P10" si="23">P9/6</f>
        <v>262.20833333333331</v>
      </c>
      <c r="Q10" s="242">
        <f t="shared" ref="Q10" si="24">Q9/6</f>
        <v>0</v>
      </c>
      <c r="R10" s="245">
        <f t="shared" ref="R10:AI10" si="25">R8/7</f>
        <v>0</v>
      </c>
      <c r="S10" s="224">
        <f t="shared" si="25"/>
        <v>0</v>
      </c>
      <c r="T10" s="202">
        <f t="shared" si="25"/>
        <v>0</v>
      </c>
      <c r="U10" s="202">
        <f t="shared" si="25"/>
        <v>0</v>
      </c>
      <c r="V10" s="202">
        <f t="shared" si="25"/>
        <v>0</v>
      </c>
      <c r="W10" s="202">
        <f t="shared" si="25"/>
        <v>0</v>
      </c>
      <c r="X10" s="202">
        <f t="shared" si="25"/>
        <v>0</v>
      </c>
      <c r="Y10" s="202">
        <f t="shared" si="25"/>
        <v>0</v>
      </c>
      <c r="Z10" s="202">
        <f t="shared" si="25"/>
        <v>0</v>
      </c>
      <c r="AA10" s="202">
        <f t="shared" si="25"/>
        <v>0</v>
      </c>
      <c r="AB10" s="202">
        <f t="shared" si="25"/>
        <v>0</v>
      </c>
      <c r="AC10" s="202">
        <f t="shared" si="25"/>
        <v>0</v>
      </c>
      <c r="AD10" s="202">
        <f t="shared" si="25"/>
        <v>0</v>
      </c>
      <c r="AE10" s="202">
        <f t="shared" si="25"/>
        <v>0</v>
      </c>
      <c r="AF10" s="202">
        <f t="shared" si="25"/>
        <v>0</v>
      </c>
      <c r="AG10" s="202">
        <f t="shared" si="25"/>
        <v>0</v>
      </c>
      <c r="AH10" s="202">
        <f t="shared" si="25"/>
        <v>0</v>
      </c>
      <c r="AI10" s="202">
        <f t="shared" si="25"/>
        <v>0</v>
      </c>
      <c r="AJ10" s="33" t="e">
        <f>SUM(#REF!)</f>
        <v>#REF!</v>
      </c>
      <c r="AK10" s="33" t="e">
        <f>SUM(#REF!)</f>
        <v>#REF!</v>
      </c>
    </row>
    <row r="11" spans="1:44" ht="24" customHeight="1" thickBot="1" x14ac:dyDescent="0.3">
      <c r="B11" s="252" t="s">
        <v>1167</v>
      </c>
      <c r="C11" s="258"/>
      <c r="D11" s="258"/>
      <c r="E11" s="253"/>
      <c r="F11" s="241" t="s">
        <v>194</v>
      </c>
      <c r="G11" s="348">
        <f>G10/24</f>
        <v>6.5972222222222223</v>
      </c>
      <c r="H11" s="348">
        <f t="shared" ref="H11:R11" si="26">H10/24</f>
        <v>8.3333333333333339</v>
      </c>
      <c r="I11" s="348">
        <f t="shared" si="26"/>
        <v>14.0625</v>
      </c>
      <c r="J11" s="348">
        <f t="shared" si="26"/>
        <v>14.756944444444445</v>
      </c>
      <c r="K11" s="348">
        <f t="shared" si="26"/>
        <v>19.097222222222221</v>
      </c>
      <c r="L11" s="348">
        <f t="shared" si="26"/>
        <v>18.576388888888889</v>
      </c>
      <c r="M11" s="348">
        <f t="shared" si="26"/>
        <v>17.361111111111111</v>
      </c>
      <c r="N11" s="348">
        <f t="shared" si="26"/>
        <v>15.711805555555555</v>
      </c>
      <c r="O11" s="348">
        <f t="shared" si="26"/>
        <v>14.930555555555555</v>
      </c>
      <c r="P11" s="348">
        <f t="shared" si="26"/>
        <v>10.925347222222221</v>
      </c>
      <c r="Q11" s="348">
        <f t="shared" si="26"/>
        <v>0</v>
      </c>
      <c r="R11" s="348">
        <f t="shared" si="26"/>
        <v>0</v>
      </c>
      <c r="S11" s="224"/>
      <c r="T11" s="202"/>
      <c r="U11" s="202"/>
      <c r="V11" s="202"/>
      <c r="W11" s="202"/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33" t="e">
        <f>SUM(#REF!)</f>
        <v>#REF!</v>
      </c>
      <c r="AK11" s="33" t="e">
        <f>SUM(#REF!)</f>
        <v>#REF!</v>
      </c>
      <c r="AN11">
        <f>AO11*(F36+F37+F38+F39)</f>
        <v>93.568287037037052</v>
      </c>
      <c r="AO11" s="33">
        <f>AVERAGE(G11:R11)</f>
        <v>11.696035879629632</v>
      </c>
    </row>
    <row r="12" spans="1:44" ht="33" customHeight="1" thickBot="1" x14ac:dyDescent="0.3">
      <c r="B12" s="263" t="s">
        <v>21</v>
      </c>
      <c r="C12" s="264">
        <f>C13</f>
        <v>44966</v>
      </c>
      <c r="D12" s="264">
        <f>D25</f>
        <v>45251</v>
      </c>
      <c r="E12" s="265">
        <f>D12-C12+1</f>
        <v>286</v>
      </c>
      <c r="F12" s="265"/>
      <c r="G12" s="265"/>
      <c r="H12" s="265"/>
      <c r="I12" s="265"/>
      <c r="J12" s="265"/>
      <c r="K12" s="265"/>
      <c r="L12" s="265"/>
      <c r="M12" s="265"/>
      <c r="N12" s="265"/>
      <c r="O12" s="265"/>
      <c r="P12" s="265"/>
      <c r="Q12" s="265"/>
      <c r="R12" s="266"/>
      <c r="S12" s="212"/>
      <c r="T12" s="212"/>
      <c r="U12" s="212"/>
      <c r="V12" s="212"/>
      <c r="W12" s="212"/>
      <c r="X12" s="212"/>
      <c r="Y12" s="212"/>
      <c r="Z12" s="212"/>
      <c r="AA12" s="212"/>
      <c r="AB12" s="212"/>
      <c r="AC12" s="212"/>
      <c r="AD12" s="212"/>
      <c r="AE12" s="212"/>
      <c r="AF12" s="212"/>
      <c r="AG12" s="212"/>
      <c r="AH12" s="212"/>
      <c r="AI12" s="213"/>
      <c r="AJ12" s="33"/>
    </row>
    <row r="13" spans="1:44" ht="33" customHeight="1" x14ac:dyDescent="0.25">
      <c r="A13">
        <v>7687</v>
      </c>
      <c r="B13" s="233" t="str">
        <f>'Control sheet'!I394</f>
        <v>SWS S21-1 (ZP-16)-  (7687 inch) Piping Erection</v>
      </c>
      <c r="C13" s="214">
        <f>'Control sheet'!J394</f>
        <v>44966</v>
      </c>
      <c r="D13" s="214">
        <f>'Control sheet'!K394</f>
        <v>45122</v>
      </c>
      <c r="E13" s="215">
        <f>D13-C13+1</f>
        <v>157</v>
      </c>
      <c r="F13" s="238">
        <f>SUM(G13:AI13)</f>
        <v>7687</v>
      </c>
      <c r="G13" s="234"/>
      <c r="H13" s="236">
        <v>800</v>
      </c>
      <c r="I13" s="236">
        <v>2000</v>
      </c>
      <c r="J13" s="236">
        <v>1200</v>
      </c>
      <c r="K13" s="236">
        <v>1800</v>
      </c>
      <c r="L13" s="236">
        <v>1100</v>
      </c>
      <c r="M13" s="237">
        <f>827-60+20</f>
        <v>787</v>
      </c>
      <c r="N13" s="236"/>
      <c r="O13" s="236"/>
      <c r="P13" s="236"/>
      <c r="Q13" s="236"/>
      <c r="R13" s="235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203"/>
      <c r="AJ13" s="33"/>
      <c r="AK13">
        <f t="shared" ref="AK13:AK25" si="27">SUM(G13:AJ13)</f>
        <v>7687</v>
      </c>
      <c r="AL13">
        <f t="shared" ref="AL13:AL25" si="28">AK13-F13</f>
        <v>0</v>
      </c>
      <c r="AP13">
        <f>AQ13/E13</f>
        <v>48.961783439490446</v>
      </c>
      <c r="AQ13">
        <v>7687</v>
      </c>
      <c r="AR13">
        <f>F13-AQ13</f>
        <v>0</v>
      </c>
    </row>
    <row r="14" spans="1:44" ht="33" customHeight="1" x14ac:dyDescent="0.25">
      <c r="A14">
        <v>1500</v>
      </c>
      <c r="B14" s="231" t="str">
        <f>'Control sheet'!I397</f>
        <v>SWS S21-2 ( ZJ-19)   (1500 inch) Piping Erection</v>
      </c>
      <c r="C14" s="214">
        <f>'Control sheet'!J397</f>
        <v>45069</v>
      </c>
      <c r="D14" s="214">
        <f>'Control sheet'!K397</f>
        <v>45162</v>
      </c>
      <c r="E14" s="210">
        <f t="shared" ref="E14:E15" si="29">D14-C14+1</f>
        <v>94</v>
      </c>
      <c r="F14" s="238">
        <f t="shared" ref="F14:F25" si="30">SUM(G14:AI14)</f>
        <v>1500</v>
      </c>
      <c r="G14" s="220"/>
      <c r="H14" s="229"/>
      <c r="I14" s="220"/>
      <c r="J14" s="220"/>
      <c r="K14" s="229">
        <v>100</v>
      </c>
      <c r="L14" s="220">
        <v>300</v>
      </c>
      <c r="M14" s="220">
        <v>600</v>
      </c>
      <c r="N14" s="220">
        <v>500</v>
      </c>
      <c r="O14" s="230"/>
      <c r="P14" s="230"/>
      <c r="Q14" s="220"/>
      <c r="R14" s="232"/>
      <c r="S14" s="199"/>
      <c r="T14" s="199"/>
      <c r="U14" s="199"/>
      <c r="V14" s="199"/>
      <c r="W14" s="199"/>
      <c r="X14" s="199"/>
      <c r="Y14" s="199"/>
      <c r="Z14" s="199"/>
      <c r="AA14" s="199"/>
      <c r="AB14" s="199"/>
      <c r="AC14" s="199"/>
      <c r="AD14" s="199"/>
      <c r="AE14" s="199"/>
      <c r="AF14" s="199"/>
      <c r="AG14" s="199"/>
      <c r="AH14" s="199"/>
      <c r="AI14" s="203"/>
      <c r="AJ14" s="33"/>
      <c r="AK14">
        <f t="shared" ref="AK14:AK20" si="31">SUM(G14:AJ14)</f>
        <v>1500</v>
      </c>
      <c r="AL14">
        <f t="shared" ref="AL14:AL20" si="32">AK14-F14</f>
        <v>0</v>
      </c>
      <c r="AP14">
        <f t="shared" ref="AP14:AP25" si="33">AQ14/E14</f>
        <v>15.957446808510639</v>
      </c>
      <c r="AQ14">
        <v>1500</v>
      </c>
      <c r="AR14">
        <f t="shared" ref="AR14:AR25" si="34">F14-AQ14</f>
        <v>0</v>
      </c>
    </row>
    <row r="15" spans="1:44" ht="33" customHeight="1" x14ac:dyDescent="0.25">
      <c r="A15">
        <v>4360</v>
      </c>
      <c r="B15" s="259" t="str">
        <f>'Control sheet'!I403</f>
        <v>R22-1 -ZJ-005 (4360 inch) Piping Erection</v>
      </c>
      <c r="C15" s="214">
        <f>'Control sheet'!J403</f>
        <v>45008</v>
      </c>
      <c r="D15" s="214">
        <f>'Control sheet'!K403</f>
        <v>45148</v>
      </c>
      <c r="E15" s="210">
        <f t="shared" si="29"/>
        <v>141</v>
      </c>
      <c r="F15" s="238">
        <f t="shared" si="30"/>
        <v>4360</v>
      </c>
      <c r="G15" s="220"/>
      <c r="H15" s="220"/>
      <c r="I15" s="229">
        <v>230</v>
      </c>
      <c r="J15" s="220">
        <v>1000</v>
      </c>
      <c r="K15" s="220">
        <v>1000</v>
      </c>
      <c r="L15" s="220">
        <v>800</v>
      </c>
      <c r="M15" s="220">
        <v>800</v>
      </c>
      <c r="N15" s="230">
        <v>530</v>
      </c>
      <c r="O15" s="220"/>
      <c r="P15" s="229"/>
      <c r="Q15" s="220"/>
      <c r="R15" s="232"/>
      <c r="S15" s="199"/>
      <c r="T15" s="199"/>
      <c r="U15" s="200"/>
      <c r="V15" s="199"/>
      <c r="W15" s="199"/>
      <c r="X15" s="199"/>
      <c r="Y15" s="199"/>
      <c r="Z15" s="199"/>
      <c r="AA15" s="199"/>
      <c r="AB15" s="199"/>
      <c r="AC15" s="199"/>
      <c r="AD15" s="199"/>
      <c r="AE15" s="199"/>
      <c r="AF15" s="199"/>
      <c r="AG15" s="199"/>
      <c r="AH15" s="199"/>
      <c r="AI15" s="203"/>
      <c r="AJ15" s="33"/>
      <c r="AK15">
        <f t="shared" si="31"/>
        <v>4360</v>
      </c>
      <c r="AL15">
        <f t="shared" si="32"/>
        <v>0</v>
      </c>
      <c r="AP15">
        <f t="shared" si="33"/>
        <v>30.921985815602838</v>
      </c>
      <c r="AQ15">
        <v>4360</v>
      </c>
      <c r="AR15">
        <f t="shared" si="34"/>
        <v>0</v>
      </c>
    </row>
    <row r="16" spans="1:44" ht="33" customHeight="1" x14ac:dyDescent="0.25">
      <c r="A16">
        <v>20000</v>
      </c>
      <c r="B16" s="259" t="str">
        <f>'Control sheet'!I408</f>
        <v>R28-ZJ-004  (20000 inch) Piping Erection</v>
      </c>
      <c r="C16" s="214">
        <f>'Control sheet'!J408</f>
        <v>45010</v>
      </c>
      <c r="D16" s="214">
        <f>'Control sheet'!K408</f>
        <v>45250</v>
      </c>
      <c r="E16" s="210">
        <f>D16-C16+1</f>
        <v>241</v>
      </c>
      <c r="F16" s="238">
        <f t="shared" si="30"/>
        <v>20000</v>
      </c>
      <c r="G16" s="220"/>
      <c r="H16" s="220"/>
      <c r="I16" s="229">
        <v>500</v>
      </c>
      <c r="J16" s="220">
        <v>800</v>
      </c>
      <c r="K16" s="220">
        <v>1300</v>
      </c>
      <c r="L16" s="220">
        <v>1500</v>
      </c>
      <c r="M16" s="220">
        <v>1200</v>
      </c>
      <c r="N16" s="220">
        <v>1800</v>
      </c>
      <c r="O16" s="220">
        <v>3400</v>
      </c>
      <c r="P16" s="220">
        <v>4800</v>
      </c>
      <c r="Q16" s="220">
        <v>4700</v>
      </c>
      <c r="R16" s="232"/>
      <c r="S16" s="199"/>
      <c r="T16" s="199"/>
      <c r="U16" s="199"/>
      <c r="V16" s="199"/>
      <c r="W16" s="199"/>
      <c r="X16" s="199"/>
      <c r="Y16" s="199"/>
      <c r="Z16" s="199"/>
      <c r="AA16" s="199"/>
      <c r="AB16" s="199"/>
      <c r="AC16" s="199"/>
      <c r="AD16" s="199"/>
      <c r="AE16" s="199"/>
      <c r="AF16" s="199"/>
      <c r="AG16" s="199"/>
      <c r="AH16" s="199"/>
      <c r="AI16" s="203"/>
      <c r="AJ16" s="33"/>
      <c r="AK16">
        <f t="shared" si="31"/>
        <v>20000</v>
      </c>
      <c r="AL16">
        <f t="shared" si="32"/>
        <v>0</v>
      </c>
      <c r="AP16">
        <f t="shared" si="33"/>
        <v>82.987551867219921</v>
      </c>
      <c r="AQ16">
        <v>20000</v>
      </c>
      <c r="AR16">
        <f t="shared" si="34"/>
        <v>0</v>
      </c>
    </row>
    <row r="17" spans="1:44" ht="33" customHeight="1" x14ac:dyDescent="0.25">
      <c r="A17">
        <v>5350</v>
      </c>
      <c r="B17" s="231" t="str">
        <f>'Control sheet'!I406</f>
        <v>R26-ZJ-020  (5350 inch) Piping Erection</v>
      </c>
      <c r="C17" s="214">
        <f>'Control sheet'!J406</f>
        <v>45017</v>
      </c>
      <c r="D17" s="214">
        <f>'Control sheet'!K406</f>
        <v>45186</v>
      </c>
      <c r="E17" s="210">
        <f t="shared" ref="E17" si="35">D17-C17+1</f>
        <v>170</v>
      </c>
      <c r="F17" s="238">
        <f t="shared" si="30"/>
        <v>5350</v>
      </c>
      <c r="G17" s="220"/>
      <c r="H17" s="220"/>
      <c r="I17" s="220"/>
      <c r="J17" s="220">
        <v>800</v>
      </c>
      <c r="K17" s="220">
        <v>850</v>
      </c>
      <c r="L17" s="220">
        <v>800</v>
      </c>
      <c r="M17" s="220">
        <v>800</v>
      </c>
      <c r="N17" s="220">
        <v>1050</v>
      </c>
      <c r="O17" s="230">
        <v>1050</v>
      </c>
      <c r="P17" s="229"/>
      <c r="Q17" s="220"/>
      <c r="R17" s="232"/>
      <c r="S17" s="199"/>
      <c r="T17" s="199"/>
      <c r="U17" s="199"/>
      <c r="V17" s="199"/>
      <c r="W17" s="199"/>
      <c r="X17" s="199"/>
      <c r="Y17" s="199"/>
      <c r="Z17" s="199"/>
      <c r="AA17" s="199"/>
      <c r="AB17" s="200"/>
      <c r="AC17" s="199"/>
      <c r="AD17" s="199"/>
      <c r="AE17" s="199"/>
      <c r="AF17" s="199"/>
      <c r="AG17" s="199"/>
      <c r="AH17" s="199"/>
      <c r="AI17" s="203"/>
      <c r="AJ17" s="33"/>
      <c r="AK17">
        <f t="shared" si="31"/>
        <v>5350</v>
      </c>
      <c r="AL17">
        <f t="shared" si="32"/>
        <v>0</v>
      </c>
      <c r="AM17" t="e">
        <f>AK17+#REF!</f>
        <v>#REF!</v>
      </c>
      <c r="AP17">
        <f t="shared" si="33"/>
        <v>31.470588235294116</v>
      </c>
      <c r="AQ17">
        <v>5350</v>
      </c>
      <c r="AR17">
        <f t="shared" si="34"/>
        <v>0</v>
      </c>
    </row>
    <row r="18" spans="1:44" ht="33" customHeight="1" x14ac:dyDescent="0.25">
      <c r="A18">
        <v>4209</v>
      </c>
      <c r="B18" s="231" t="str">
        <f>'Control sheet'!I405</f>
        <v>PR-B90  ZJ-003  (4209 inch) Piping Erection</v>
      </c>
      <c r="C18" s="214">
        <f>'Control sheet'!J405</f>
        <v>45017</v>
      </c>
      <c r="D18" s="214">
        <f>'Control sheet'!K405</f>
        <v>45157</v>
      </c>
      <c r="E18" s="210">
        <f>D18-C18+1</f>
        <v>141</v>
      </c>
      <c r="F18" s="238">
        <f t="shared" si="30"/>
        <v>4209</v>
      </c>
      <c r="G18" s="220"/>
      <c r="H18" s="220"/>
      <c r="I18" s="220"/>
      <c r="J18" s="220">
        <v>500</v>
      </c>
      <c r="K18" s="220">
        <v>700</v>
      </c>
      <c r="L18" s="220">
        <v>1050</v>
      </c>
      <c r="M18" s="220">
        <v>1050</v>
      </c>
      <c r="N18" s="230">
        <v>909</v>
      </c>
      <c r="O18" s="220"/>
      <c r="P18" s="220"/>
      <c r="Q18" s="220"/>
      <c r="R18" s="232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199"/>
      <c r="AE18" s="199"/>
      <c r="AF18" s="199"/>
      <c r="AG18" s="199"/>
      <c r="AH18" s="199"/>
      <c r="AI18" s="203"/>
      <c r="AJ18" s="33"/>
      <c r="AK18">
        <f t="shared" si="31"/>
        <v>4209</v>
      </c>
      <c r="AL18">
        <f t="shared" si="32"/>
        <v>0</v>
      </c>
      <c r="AM18" t="e">
        <f>AK18+#REF!</f>
        <v>#REF!</v>
      </c>
      <c r="AP18">
        <f t="shared" si="33"/>
        <v>29.851063829787233</v>
      </c>
      <c r="AQ18">
        <v>4209</v>
      </c>
      <c r="AR18">
        <f t="shared" si="34"/>
        <v>0</v>
      </c>
    </row>
    <row r="19" spans="1:44" ht="33" customHeight="1" x14ac:dyDescent="0.25">
      <c r="A19">
        <v>5520</v>
      </c>
      <c r="B19" s="259" t="str">
        <f>'Control sheet'!I399</f>
        <v>SWS S21-2 (ZP-17) Piping (5520 inch) Erection</v>
      </c>
      <c r="C19" s="214">
        <f>'Control sheet'!J399</f>
        <v>45077</v>
      </c>
      <c r="D19" s="214">
        <f>'Control sheet'!K399</f>
        <v>45235</v>
      </c>
      <c r="E19" s="210">
        <f>D19-C19+1</f>
        <v>159</v>
      </c>
      <c r="F19" s="238">
        <f t="shared" si="30"/>
        <v>5520</v>
      </c>
      <c r="G19" s="220"/>
      <c r="H19" s="220"/>
      <c r="I19" s="220"/>
      <c r="J19" s="220"/>
      <c r="K19" s="229"/>
      <c r="L19" s="220">
        <v>400</v>
      </c>
      <c r="M19" s="220">
        <v>1200</v>
      </c>
      <c r="N19" s="220">
        <v>1000</v>
      </c>
      <c r="O19" s="220">
        <v>1200</v>
      </c>
      <c r="P19" s="220">
        <v>1350</v>
      </c>
      <c r="Q19" s="230">
        <v>370</v>
      </c>
      <c r="R19" s="232"/>
      <c r="S19" s="199"/>
      <c r="T19" s="199"/>
      <c r="U19" s="199"/>
      <c r="V19" s="199"/>
      <c r="W19" s="199"/>
      <c r="X19" s="199"/>
      <c r="Y19" s="199"/>
      <c r="Z19" s="199"/>
      <c r="AA19" s="199"/>
      <c r="AB19" s="200"/>
      <c r="AC19" s="199"/>
      <c r="AD19" s="199"/>
      <c r="AE19" s="199"/>
      <c r="AF19" s="199"/>
      <c r="AG19" s="199"/>
      <c r="AH19" s="199"/>
      <c r="AI19" s="203"/>
      <c r="AJ19" s="33"/>
      <c r="AK19">
        <f t="shared" si="31"/>
        <v>5520</v>
      </c>
      <c r="AL19">
        <f t="shared" si="32"/>
        <v>0</v>
      </c>
      <c r="AP19">
        <f t="shared" si="33"/>
        <v>34.716981132075475</v>
      </c>
      <c r="AQ19">
        <v>5520</v>
      </c>
      <c r="AR19">
        <f t="shared" si="34"/>
        <v>0</v>
      </c>
    </row>
    <row r="20" spans="1:44" ht="33" customHeight="1" x14ac:dyDescent="0.25">
      <c r="A20">
        <v>16243</v>
      </c>
      <c r="B20" s="259" t="str">
        <f>'Control sheet'!I413</f>
        <v>U24 BOILER AREA (ZJ-006/007/012,) Piping Erection (WP4 )</v>
      </c>
      <c r="C20" s="214">
        <f>'Control sheet'!J413</f>
        <v>45059</v>
      </c>
      <c r="D20" s="214">
        <f>'Control sheet'!K413</f>
        <v>45274</v>
      </c>
      <c r="E20" s="210">
        <f t="shared" ref="E20" si="36">D20-C20+1</f>
        <v>216</v>
      </c>
      <c r="F20" s="238">
        <f t="shared" si="30"/>
        <v>16243</v>
      </c>
      <c r="G20" s="220"/>
      <c r="H20" s="220"/>
      <c r="I20" s="220"/>
      <c r="J20" s="220"/>
      <c r="K20" s="229">
        <v>550</v>
      </c>
      <c r="L20" s="220">
        <v>850</v>
      </c>
      <c r="M20" s="220">
        <v>900</v>
      </c>
      <c r="N20" s="220">
        <v>1500</v>
      </c>
      <c r="O20" s="220">
        <f>2500+43</f>
        <v>2543</v>
      </c>
      <c r="P20" s="220">
        <v>2700</v>
      </c>
      <c r="Q20" s="220">
        <v>2800</v>
      </c>
      <c r="R20" s="330">
        <v>4400</v>
      </c>
      <c r="S20" s="199"/>
      <c r="T20" s="199"/>
      <c r="U20" s="199"/>
      <c r="V20" s="199"/>
      <c r="W20" s="199"/>
      <c r="X20" s="199"/>
      <c r="Y20" s="199"/>
      <c r="Z20" s="199"/>
      <c r="AA20" s="199"/>
      <c r="AB20" s="199"/>
      <c r="AC20" s="199"/>
      <c r="AD20" s="199"/>
      <c r="AE20" s="199"/>
      <c r="AF20" s="199"/>
      <c r="AG20" s="199"/>
      <c r="AH20" s="199"/>
      <c r="AI20" s="203"/>
      <c r="AJ20" s="33"/>
      <c r="AK20">
        <f t="shared" si="31"/>
        <v>16243</v>
      </c>
      <c r="AL20">
        <f t="shared" si="32"/>
        <v>0</v>
      </c>
      <c r="AP20">
        <f t="shared" si="33"/>
        <v>75.199074074074076</v>
      </c>
      <c r="AQ20">
        <v>16243</v>
      </c>
      <c r="AR20">
        <f t="shared" si="34"/>
        <v>0</v>
      </c>
    </row>
    <row r="21" spans="1:44" ht="33" customHeight="1" x14ac:dyDescent="0.25">
      <c r="A21">
        <v>5000</v>
      </c>
      <c r="B21" s="259" t="str">
        <f>'Control sheet'!I409</f>
        <v>P22-2 Tanks (ZJ-08/010/11)  (5000 inch) Piping Erection</v>
      </c>
      <c r="C21" s="214">
        <f>'Control sheet'!J409</f>
        <v>45147</v>
      </c>
      <c r="D21" s="214">
        <f>'Control sheet'!K409</f>
        <v>45251</v>
      </c>
      <c r="E21" s="210">
        <f t="shared" ref="E21:E25" si="37">D21-C21+1</f>
        <v>105</v>
      </c>
      <c r="F21" s="238">
        <f t="shared" si="30"/>
        <v>5000</v>
      </c>
      <c r="G21" s="220"/>
      <c r="H21" s="9"/>
      <c r="I21" s="220"/>
      <c r="J21" s="220"/>
      <c r="K21" s="229"/>
      <c r="L21" s="229"/>
      <c r="M21" s="220"/>
      <c r="N21" s="229">
        <v>1200</v>
      </c>
      <c r="O21" s="229">
        <v>1400</v>
      </c>
      <c r="P21" s="220">
        <v>1400</v>
      </c>
      <c r="Q21" s="220">
        <v>1000</v>
      </c>
      <c r="R21" s="220"/>
      <c r="S21" s="199"/>
      <c r="T21" s="199"/>
      <c r="U21" s="199"/>
      <c r="V21" s="199"/>
      <c r="W21" s="199"/>
      <c r="X21" s="199"/>
      <c r="Y21" s="199"/>
      <c r="Z21" s="199"/>
      <c r="AA21" s="199"/>
      <c r="AB21" s="199"/>
      <c r="AC21" s="199"/>
      <c r="AD21" s="199"/>
      <c r="AE21" s="199"/>
      <c r="AF21" s="199"/>
      <c r="AG21" s="199"/>
      <c r="AH21" s="199"/>
      <c r="AI21" s="203"/>
      <c r="AJ21" s="33"/>
      <c r="AK21">
        <f t="shared" si="27"/>
        <v>5000</v>
      </c>
      <c r="AL21">
        <f t="shared" si="28"/>
        <v>0</v>
      </c>
      <c r="AP21">
        <f t="shared" si="33"/>
        <v>47.61904761904762</v>
      </c>
      <c r="AQ21">
        <v>5000</v>
      </c>
      <c r="AR21">
        <f t="shared" si="34"/>
        <v>0</v>
      </c>
    </row>
    <row r="22" spans="1:44" ht="33" customHeight="1" x14ac:dyDescent="0.25">
      <c r="A22">
        <v>719</v>
      </c>
      <c r="B22" s="259" t="str">
        <f>'Control sheet'!I404</f>
        <v>F23 - Flare P/R ZJ-040  (700 inch) Piping Erection</v>
      </c>
      <c r="C22" s="214">
        <f>'Control sheet'!J404</f>
        <v>45078</v>
      </c>
      <c r="D22" s="214">
        <f>'Control sheet'!K404</f>
        <v>45148</v>
      </c>
      <c r="E22" s="210">
        <f>D22-C22+1</f>
        <v>71</v>
      </c>
      <c r="F22" s="238">
        <f t="shared" si="30"/>
        <v>719</v>
      </c>
      <c r="G22" s="220"/>
      <c r="H22" s="220"/>
      <c r="I22" s="220"/>
      <c r="J22" s="220"/>
      <c r="K22" s="220"/>
      <c r="L22" s="220">
        <v>170</v>
      </c>
      <c r="M22" s="220">
        <v>449</v>
      </c>
      <c r="N22" s="230">
        <v>100</v>
      </c>
      <c r="O22" s="220"/>
      <c r="P22" s="220"/>
      <c r="Q22" s="220"/>
      <c r="R22" s="232"/>
      <c r="S22" s="199"/>
      <c r="T22" s="199"/>
      <c r="U22" s="199"/>
      <c r="V22" s="199"/>
      <c r="W22" s="199"/>
      <c r="X22" s="199"/>
      <c r="Y22" s="199"/>
      <c r="Z22" s="199"/>
      <c r="AA22" s="199"/>
      <c r="AB22" s="199"/>
      <c r="AC22" s="199"/>
      <c r="AD22" s="199"/>
      <c r="AE22" s="199"/>
      <c r="AF22" s="199"/>
      <c r="AG22" s="199"/>
      <c r="AH22" s="199"/>
      <c r="AI22" s="203"/>
      <c r="AJ22" s="33"/>
      <c r="AK22">
        <f t="shared" si="27"/>
        <v>719</v>
      </c>
      <c r="AL22">
        <f t="shared" si="28"/>
        <v>0</v>
      </c>
      <c r="AP22">
        <f t="shared" si="33"/>
        <v>10.126760563380282</v>
      </c>
      <c r="AQ22">
        <v>719</v>
      </c>
      <c r="AR22">
        <f t="shared" si="34"/>
        <v>0</v>
      </c>
    </row>
    <row r="23" spans="1:44" ht="33" customHeight="1" x14ac:dyDescent="0.25">
      <c r="A23">
        <v>2154</v>
      </c>
      <c r="B23" s="231" t="str">
        <f>'Control sheet'!I407</f>
        <v>OTHER (Shelter,  Inj Pump PR, support misc) Piping Erection</v>
      </c>
      <c r="C23" s="214">
        <f>'Control sheet'!J407</f>
        <v>45092</v>
      </c>
      <c r="D23" s="214">
        <f>'Control sheet'!K407</f>
        <v>45192</v>
      </c>
      <c r="E23" s="210">
        <f t="shared" si="37"/>
        <v>101</v>
      </c>
      <c r="F23" s="238">
        <f t="shared" si="30"/>
        <v>2154</v>
      </c>
      <c r="G23" s="220"/>
      <c r="H23" s="220"/>
      <c r="I23" s="220"/>
      <c r="J23" s="220"/>
      <c r="K23" s="220"/>
      <c r="L23" s="220">
        <v>250</v>
      </c>
      <c r="M23" s="220">
        <v>700</v>
      </c>
      <c r="N23" s="220">
        <v>750</v>
      </c>
      <c r="O23" s="230">
        <v>454</v>
      </c>
      <c r="P23" s="229"/>
      <c r="Q23" s="220"/>
      <c r="R23" s="232"/>
      <c r="S23" s="199"/>
      <c r="T23" s="199"/>
      <c r="U23" s="199"/>
      <c r="V23" s="199"/>
      <c r="W23" s="199"/>
      <c r="X23" s="199"/>
      <c r="Y23" s="199"/>
      <c r="Z23" s="199"/>
      <c r="AA23" s="199"/>
      <c r="AB23" s="200"/>
      <c r="AC23" s="199"/>
      <c r="AD23" s="199"/>
      <c r="AE23" s="199"/>
      <c r="AF23" s="199"/>
      <c r="AG23" s="199"/>
      <c r="AH23" s="199"/>
      <c r="AI23" s="203"/>
      <c r="AJ23" s="33"/>
      <c r="AK23">
        <f t="shared" si="27"/>
        <v>2154</v>
      </c>
      <c r="AL23">
        <f t="shared" si="28"/>
        <v>0</v>
      </c>
      <c r="AM23" t="e">
        <f>AK23+#REF!</f>
        <v>#REF!</v>
      </c>
      <c r="AP23">
        <f t="shared" si="33"/>
        <v>21.326732673267326</v>
      </c>
      <c r="AQ23">
        <v>2154</v>
      </c>
      <c r="AR23">
        <f t="shared" si="34"/>
        <v>0</v>
      </c>
    </row>
    <row r="24" spans="1:44" ht="33" customHeight="1" x14ac:dyDescent="0.25">
      <c r="A24">
        <v>1000</v>
      </c>
      <c r="B24" s="259" t="str">
        <f>'Control sheet'!I402</f>
        <v>P22-2 Tanks (ZJ-08/010/11)  (1000 inch) Piping Erection   (R28 ZJ-004  Area)</v>
      </c>
      <c r="C24" s="214">
        <f>'Control sheet'!J402</f>
        <v>45059</v>
      </c>
      <c r="D24" s="214">
        <f>'Control sheet'!K402</f>
        <v>45129</v>
      </c>
      <c r="E24" s="210">
        <f t="shared" ref="E24" si="38">D24-C24+1</f>
        <v>71</v>
      </c>
      <c r="F24" s="238">
        <f t="shared" si="30"/>
        <v>1000</v>
      </c>
      <c r="G24" s="220"/>
      <c r="H24" s="220"/>
      <c r="I24" s="220"/>
      <c r="J24" s="220"/>
      <c r="K24" s="220">
        <v>200</v>
      </c>
      <c r="L24" s="220">
        <v>500</v>
      </c>
      <c r="M24" s="220">
        <v>300</v>
      </c>
      <c r="N24" s="220"/>
      <c r="O24" s="220"/>
      <c r="P24" s="220"/>
      <c r="Q24" s="220"/>
      <c r="R24" s="232"/>
      <c r="S24" s="199"/>
      <c r="T24" s="199"/>
      <c r="U24" s="199"/>
      <c r="V24" s="199"/>
      <c r="W24" s="199"/>
      <c r="X24" s="199"/>
      <c r="Y24" s="199"/>
      <c r="Z24" s="199"/>
      <c r="AA24" s="199"/>
      <c r="AB24" s="199"/>
      <c r="AC24" s="199"/>
      <c r="AD24" s="199"/>
      <c r="AE24" s="199"/>
      <c r="AF24" s="199"/>
      <c r="AG24" s="199"/>
      <c r="AH24" s="199"/>
      <c r="AI24" s="203"/>
      <c r="AJ24" s="33"/>
      <c r="AK24">
        <f t="shared" ref="AK24" si="39">SUM(G24:AJ24)</f>
        <v>1000</v>
      </c>
      <c r="AL24">
        <f t="shared" ref="AL24" si="40">AK24-F24</f>
        <v>0</v>
      </c>
      <c r="AP24">
        <f t="shared" ref="AP24" si="41">AQ24/E24</f>
        <v>14.084507042253522</v>
      </c>
      <c r="AQ24">
        <v>1000</v>
      </c>
      <c r="AR24">
        <f t="shared" ref="AR24" si="42">F24-AQ24</f>
        <v>0</v>
      </c>
    </row>
    <row r="25" spans="1:44" ht="33" customHeight="1" thickBot="1" x14ac:dyDescent="0.3">
      <c r="A25">
        <v>1500</v>
      </c>
      <c r="B25" s="335" t="str">
        <f>'Control sheet'!I410</f>
        <v>P22-2 Tanks (Conn.TKS) Piping Erection</v>
      </c>
      <c r="C25" s="336">
        <f>'Control sheet'!J410</f>
        <v>45206</v>
      </c>
      <c r="D25" s="336">
        <f>'Control sheet'!K410</f>
        <v>45251</v>
      </c>
      <c r="E25" s="337">
        <f t="shared" si="37"/>
        <v>46</v>
      </c>
      <c r="F25" s="338">
        <f t="shared" si="30"/>
        <v>1500</v>
      </c>
      <c r="G25" s="339"/>
      <c r="H25" s="339"/>
      <c r="I25" s="339"/>
      <c r="J25" s="339"/>
      <c r="K25" s="339"/>
      <c r="L25" s="339"/>
      <c r="M25" s="339"/>
      <c r="N25" s="339"/>
      <c r="O25" s="339"/>
      <c r="P25" s="339">
        <v>600</v>
      </c>
      <c r="Q25" s="339">
        <v>900</v>
      </c>
      <c r="R25" s="340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199"/>
      <c r="AG25" s="199"/>
      <c r="AH25" s="199"/>
      <c r="AI25" s="203"/>
      <c r="AJ25" s="33"/>
      <c r="AK25">
        <f t="shared" si="27"/>
        <v>1500</v>
      </c>
      <c r="AL25">
        <f t="shared" si="28"/>
        <v>0</v>
      </c>
      <c r="AP25">
        <f t="shared" si="33"/>
        <v>32.608695652173914</v>
      </c>
      <c r="AQ25">
        <v>1500</v>
      </c>
      <c r="AR25">
        <f t="shared" si="34"/>
        <v>0</v>
      </c>
    </row>
    <row r="26" spans="1:44" ht="15.75" x14ac:dyDescent="0.25">
      <c r="B26" s="341" t="s">
        <v>187</v>
      </c>
      <c r="C26" s="342"/>
      <c r="D26" s="342"/>
      <c r="E26" s="343"/>
      <c r="F26" s="344">
        <f>SUM(G26:Q26)</f>
        <v>70842</v>
      </c>
      <c r="G26" s="344">
        <f>SUM(G13:G25)</f>
        <v>0</v>
      </c>
      <c r="H26" s="344">
        <f t="shared" ref="H26:Q26" si="43">SUM(H13:H25)</f>
        <v>800</v>
      </c>
      <c r="I26" s="344">
        <f t="shared" si="43"/>
        <v>2730</v>
      </c>
      <c r="J26" s="344">
        <f t="shared" si="43"/>
        <v>4300</v>
      </c>
      <c r="K26" s="344">
        <f t="shared" si="43"/>
        <v>6500</v>
      </c>
      <c r="L26" s="344">
        <f t="shared" si="43"/>
        <v>7720</v>
      </c>
      <c r="M26" s="344">
        <f t="shared" si="43"/>
        <v>8786</v>
      </c>
      <c r="N26" s="344">
        <f t="shared" si="43"/>
        <v>9339</v>
      </c>
      <c r="O26" s="344">
        <f t="shared" si="43"/>
        <v>10047</v>
      </c>
      <c r="P26" s="344">
        <f t="shared" si="43"/>
        <v>10850</v>
      </c>
      <c r="Q26" s="344">
        <f t="shared" si="43"/>
        <v>9770</v>
      </c>
      <c r="R26" s="345">
        <f t="shared" ref="R26" si="44">SUM(R13:R25)</f>
        <v>4400</v>
      </c>
      <c r="S26" s="228"/>
      <c r="T26" s="201"/>
      <c r="U26" s="201"/>
      <c r="V26" s="201"/>
      <c r="W26" s="201"/>
      <c r="X26" s="201"/>
      <c r="Y26" s="201"/>
      <c r="Z26" s="201"/>
      <c r="AA26" s="201"/>
      <c r="AB26" s="201"/>
      <c r="AC26" s="201"/>
      <c r="AD26" s="201"/>
      <c r="AE26" s="201"/>
      <c r="AF26" s="201"/>
      <c r="AG26" s="201"/>
      <c r="AH26" s="201"/>
      <c r="AI26" s="201"/>
    </row>
    <row r="27" spans="1:44" ht="15.75" x14ac:dyDescent="0.25">
      <c r="B27" s="248" t="s">
        <v>190</v>
      </c>
      <c r="C27" s="256"/>
      <c r="D27" s="256"/>
      <c r="E27" s="240"/>
      <c r="F27" s="240"/>
      <c r="G27" s="242">
        <f>G26</f>
        <v>0</v>
      </c>
      <c r="H27" s="242">
        <f t="shared" ref="H27:R27" si="45">H26+G27</f>
        <v>800</v>
      </c>
      <c r="I27" s="242">
        <f t="shared" si="45"/>
        <v>3530</v>
      </c>
      <c r="J27" s="242">
        <f t="shared" si="45"/>
        <v>7830</v>
      </c>
      <c r="K27" s="242">
        <f t="shared" si="45"/>
        <v>14330</v>
      </c>
      <c r="L27" s="242">
        <f t="shared" si="45"/>
        <v>22050</v>
      </c>
      <c r="M27" s="242">
        <f t="shared" si="45"/>
        <v>30836</v>
      </c>
      <c r="N27" s="242">
        <f t="shared" si="45"/>
        <v>40175</v>
      </c>
      <c r="O27" s="242">
        <f t="shared" si="45"/>
        <v>50222</v>
      </c>
      <c r="P27" s="242">
        <f t="shared" si="45"/>
        <v>61072</v>
      </c>
      <c r="Q27" s="242">
        <f t="shared" si="45"/>
        <v>70842</v>
      </c>
      <c r="R27" s="245">
        <f t="shared" si="45"/>
        <v>75242</v>
      </c>
      <c r="S27" s="224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</row>
    <row r="28" spans="1:44" ht="15.75" x14ac:dyDescent="0.25">
      <c r="B28" s="248" t="s">
        <v>188</v>
      </c>
      <c r="C28" s="256"/>
      <c r="D28" s="256"/>
      <c r="E28" s="240"/>
      <c r="F28" s="240"/>
      <c r="G28" s="242">
        <f>G26/4</f>
        <v>0</v>
      </c>
      <c r="H28" s="242">
        <f t="shared" ref="H28:Q28" si="46">H26/4</f>
        <v>200</v>
      </c>
      <c r="I28" s="242">
        <f t="shared" si="46"/>
        <v>682.5</v>
      </c>
      <c r="J28" s="242">
        <f t="shared" si="46"/>
        <v>1075</v>
      </c>
      <c r="K28" s="242">
        <f t="shared" si="46"/>
        <v>1625</v>
      </c>
      <c r="L28" s="242">
        <f t="shared" si="46"/>
        <v>1930</v>
      </c>
      <c r="M28" s="242">
        <f t="shared" si="46"/>
        <v>2196.5</v>
      </c>
      <c r="N28" s="242">
        <f t="shared" si="46"/>
        <v>2334.75</v>
      </c>
      <c r="O28" s="242">
        <f t="shared" si="46"/>
        <v>2511.75</v>
      </c>
      <c r="P28" s="242">
        <f t="shared" si="46"/>
        <v>2712.5</v>
      </c>
      <c r="Q28" s="242">
        <f t="shared" si="46"/>
        <v>2442.5</v>
      </c>
      <c r="R28" s="245">
        <f t="shared" ref="R28" si="47">R26/4</f>
        <v>1100</v>
      </c>
      <c r="S28" s="224"/>
      <c r="T28" s="202"/>
      <c r="U28" s="202"/>
      <c r="V28" s="202"/>
      <c r="W28" s="202"/>
      <c r="X28" s="202"/>
      <c r="Y28" s="202"/>
      <c r="Z28" s="202"/>
      <c r="AA28" s="202"/>
      <c r="AB28" s="202"/>
      <c r="AC28" s="202"/>
      <c r="AD28" s="202"/>
      <c r="AE28" s="202"/>
      <c r="AF28" s="202"/>
      <c r="AG28" s="202"/>
      <c r="AH28" s="202"/>
      <c r="AI28" s="202"/>
    </row>
    <row r="29" spans="1:44" ht="15.75" x14ac:dyDescent="0.25">
      <c r="B29" s="248" t="s">
        <v>189</v>
      </c>
      <c r="C29" s="257"/>
      <c r="D29" s="257"/>
      <c r="E29" s="249"/>
      <c r="F29" s="240"/>
      <c r="G29" s="244">
        <f>G28/6</f>
        <v>0</v>
      </c>
      <c r="H29" s="242">
        <f t="shared" ref="H29:Q29" si="48">H28/6</f>
        <v>33.333333333333336</v>
      </c>
      <c r="I29" s="242">
        <f t="shared" si="48"/>
        <v>113.75</v>
      </c>
      <c r="J29" s="242">
        <f t="shared" si="48"/>
        <v>179.16666666666666</v>
      </c>
      <c r="K29" s="242">
        <f t="shared" si="48"/>
        <v>270.83333333333331</v>
      </c>
      <c r="L29" s="242">
        <f t="shared" si="48"/>
        <v>321.66666666666669</v>
      </c>
      <c r="M29" s="242">
        <f t="shared" si="48"/>
        <v>366.08333333333331</v>
      </c>
      <c r="N29" s="242">
        <f t="shared" si="48"/>
        <v>389.125</v>
      </c>
      <c r="O29" s="242">
        <f t="shared" si="48"/>
        <v>418.625</v>
      </c>
      <c r="P29" s="242">
        <f t="shared" si="48"/>
        <v>452.08333333333331</v>
      </c>
      <c r="Q29" s="242">
        <f t="shared" si="48"/>
        <v>407.08333333333331</v>
      </c>
      <c r="R29" s="245">
        <f t="shared" ref="R29" si="49">R28/6</f>
        <v>183.33333333333334</v>
      </c>
      <c r="S29" s="224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202"/>
      <c r="AI29" s="202"/>
      <c r="AJ29" s="33">
        <f>SUM(AJ13:AJ25)</f>
        <v>0</v>
      </c>
      <c r="AK29" s="33">
        <f>SUM(AK13:AK25)</f>
        <v>75242</v>
      </c>
    </row>
    <row r="30" spans="1:44" ht="24" customHeight="1" x14ac:dyDescent="0.25">
      <c r="B30" s="248" t="s">
        <v>186</v>
      </c>
      <c r="C30" s="257"/>
      <c r="D30" s="257"/>
      <c r="E30" s="249"/>
      <c r="F30" s="240" t="s">
        <v>185</v>
      </c>
      <c r="G30" s="242">
        <f>G29/6</f>
        <v>0</v>
      </c>
      <c r="H30" s="242">
        <f>H29/9</f>
        <v>3.7037037037037042</v>
      </c>
      <c r="I30" s="242">
        <f t="shared" ref="I30:R30" si="50">I29/9</f>
        <v>12.638888888888889</v>
      </c>
      <c r="J30" s="242">
        <f t="shared" si="50"/>
        <v>19.907407407407405</v>
      </c>
      <c r="K30" s="242">
        <f t="shared" si="50"/>
        <v>30.092592592592592</v>
      </c>
      <c r="L30" s="242">
        <f t="shared" si="50"/>
        <v>35.74074074074074</v>
      </c>
      <c r="M30" s="242">
        <f t="shared" si="50"/>
        <v>40.675925925925924</v>
      </c>
      <c r="N30" s="242">
        <f t="shared" si="50"/>
        <v>43.236111111111114</v>
      </c>
      <c r="O30" s="242">
        <f t="shared" si="50"/>
        <v>46.513888888888886</v>
      </c>
      <c r="P30" s="242">
        <f t="shared" si="50"/>
        <v>50.231481481481481</v>
      </c>
      <c r="Q30" s="242">
        <f t="shared" si="50"/>
        <v>45.231481481481481</v>
      </c>
      <c r="R30" s="245">
        <f t="shared" si="50"/>
        <v>20.37037037037037</v>
      </c>
      <c r="S30" s="224"/>
      <c r="T30" s="202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202"/>
      <c r="AI30" s="202"/>
      <c r="AJ30" s="33">
        <f>SUM(AJ14:AJ26)</f>
        <v>0</v>
      </c>
      <c r="AK30" s="33">
        <f>SUM(AK14:AK26)</f>
        <v>67555</v>
      </c>
    </row>
    <row r="31" spans="1:44" ht="24" customHeight="1" x14ac:dyDescent="0.25">
      <c r="B31" s="252" t="s">
        <v>1168</v>
      </c>
      <c r="C31" s="258"/>
      <c r="D31" s="258"/>
      <c r="E31" s="253"/>
      <c r="F31" s="241"/>
      <c r="G31" s="348">
        <f>G30+G11</f>
        <v>6.5972222222222223</v>
      </c>
      <c r="H31" s="348">
        <f t="shared" ref="H31:R31" si="51">H30+H11</f>
        <v>12.037037037037038</v>
      </c>
      <c r="I31" s="348">
        <f t="shared" si="51"/>
        <v>26.701388888888889</v>
      </c>
      <c r="J31" s="348">
        <f t="shared" si="51"/>
        <v>34.664351851851848</v>
      </c>
      <c r="K31" s="348">
        <f t="shared" si="51"/>
        <v>49.18981481481481</v>
      </c>
      <c r="L31" s="348">
        <f t="shared" si="51"/>
        <v>54.317129629629633</v>
      </c>
      <c r="M31" s="348">
        <f t="shared" si="51"/>
        <v>58.037037037037038</v>
      </c>
      <c r="N31" s="348">
        <f t="shared" si="51"/>
        <v>58.947916666666671</v>
      </c>
      <c r="O31" s="348">
        <f t="shared" si="51"/>
        <v>61.444444444444443</v>
      </c>
      <c r="P31" s="348">
        <f t="shared" si="51"/>
        <v>61.156828703703702</v>
      </c>
      <c r="Q31" s="348">
        <f t="shared" si="51"/>
        <v>45.231481481481481</v>
      </c>
      <c r="R31" s="348">
        <f t="shared" si="51"/>
        <v>20.37037037037037</v>
      </c>
      <c r="S31" s="224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33"/>
      <c r="AK31" s="33"/>
    </row>
    <row r="32" spans="1:44" ht="24" customHeight="1" thickBot="1" x14ac:dyDescent="0.3">
      <c r="B32" s="250" t="s">
        <v>1166</v>
      </c>
      <c r="C32" s="260"/>
      <c r="D32" s="260"/>
      <c r="E32" s="251"/>
      <c r="F32" s="246"/>
      <c r="G32" s="349">
        <f t="shared" ref="G32:H32" si="52">G29+G10</f>
        <v>158.33333333333334</v>
      </c>
      <c r="H32" s="349">
        <f t="shared" si="52"/>
        <v>233.33333333333334</v>
      </c>
      <c r="I32" s="349">
        <f>I29+I10</f>
        <v>451.25</v>
      </c>
      <c r="J32" s="349">
        <f t="shared" ref="J32:R32" si="53">J29+J10</f>
        <v>533.33333333333337</v>
      </c>
      <c r="K32" s="349">
        <f t="shared" si="53"/>
        <v>729.16666666666663</v>
      </c>
      <c r="L32" s="349">
        <f t="shared" si="53"/>
        <v>767.5</v>
      </c>
      <c r="M32" s="349">
        <f t="shared" si="53"/>
        <v>782.75</v>
      </c>
      <c r="N32" s="349">
        <f t="shared" si="53"/>
        <v>766.20833333333326</v>
      </c>
      <c r="O32" s="349">
        <f t="shared" si="53"/>
        <v>776.95833333333326</v>
      </c>
      <c r="P32" s="349">
        <f t="shared" si="53"/>
        <v>714.29166666666663</v>
      </c>
      <c r="Q32" s="349">
        <f t="shared" si="53"/>
        <v>407.08333333333331</v>
      </c>
      <c r="R32" s="247">
        <f t="shared" si="53"/>
        <v>183.33333333333334</v>
      </c>
      <c r="S32" s="224"/>
      <c r="T32" s="202"/>
      <c r="U32" s="202"/>
      <c r="V32" s="202"/>
      <c r="W32" s="202"/>
      <c r="X32" s="202"/>
      <c r="Y32" s="202"/>
      <c r="Z32" s="202"/>
      <c r="AA32" s="202"/>
      <c r="AB32" s="202"/>
      <c r="AC32" s="202"/>
      <c r="AD32" s="202"/>
      <c r="AE32" s="202"/>
      <c r="AF32" s="202"/>
      <c r="AG32" s="202"/>
      <c r="AH32" s="202"/>
      <c r="AI32" s="202"/>
      <c r="AJ32" s="33"/>
      <c r="AK32" s="33"/>
    </row>
    <row r="33" spans="2:41" ht="24" customHeight="1" x14ac:dyDescent="0.25">
      <c r="B33" s="218"/>
      <c r="C33" s="331"/>
      <c r="D33" s="331"/>
      <c r="E33" s="222"/>
      <c r="F33" s="198"/>
      <c r="G33" s="332"/>
      <c r="H33" s="333"/>
      <c r="I33" s="333"/>
      <c r="J33" s="333"/>
      <c r="K33" s="333"/>
      <c r="L33" s="333"/>
      <c r="M33" s="333"/>
      <c r="N33" s="333"/>
      <c r="O33" s="333"/>
      <c r="P33" s="333"/>
      <c r="Q33" s="333"/>
      <c r="R33" s="333"/>
      <c r="S33" s="267"/>
      <c r="T33" s="267"/>
      <c r="U33" s="267"/>
      <c r="V33" s="267"/>
      <c r="W33" s="267"/>
      <c r="X33" s="267"/>
      <c r="Y33" s="267"/>
      <c r="Z33" s="267"/>
      <c r="AA33" s="267"/>
      <c r="AB33" s="267"/>
      <c r="AC33" s="267"/>
      <c r="AD33" s="267"/>
      <c r="AE33" s="267"/>
      <c r="AF33" s="267"/>
      <c r="AG33" s="267"/>
      <c r="AH33" s="267"/>
      <c r="AI33" s="267"/>
      <c r="AJ33" s="33"/>
      <c r="AK33" s="33"/>
    </row>
    <row r="34" spans="2:41" ht="18" customHeight="1" x14ac:dyDescent="0.25">
      <c r="B34" s="218"/>
      <c r="C34" s="484" t="s">
        <v>205</v>
      </c>
      <c r="D34" s="484"/>
      <c r="E34" s="334"/>
      <c r="F34" s="334"/>
      <c r="G34" s="334"/>
      <c r="H34" s="334"/>
      <c r="I34" s="334"/>
      <c r="J34" s="334"/>
      <c r="K34" s="334"/>
      <c r="L34" s="334"/>
      <c r="M34" s="334"/>
      <c r="N34" s="334"/>
      <c r="O34" s="334"/>
      <c r="P34" s="334"/>
      <c r="Q34" s="334"/>
      <c r="R34" s="334"/>
      <c r="S34" s="223"/>
      <c r="T34" s="223"/>
      <c r="U34" s="223"/>
      <c r="V34" s="223"/>
      <c r="W34" s="223"/>
      <c r="X34" s="223"/>
      <c r="Y34" s="223"/>
      <c r="Z34" s="223"/>
      <c r="AA34" s="223"/>
      <c r="AB34" s="223"/>
      <c r="AC34" s="223"/>
      <c r="AD34" s="223"/>
      <c r="AE34" s="223"/>
      <c r="AF34" s="223"/>
      <c r="AG34" s="223"/>
      <c r="AH34" s="223"/>
      <c r="AI34" s="223"/>
    </row>
    <row r="35" spans="2:41" ht="18" customHeight="1" x14ac:dyDescent="0.25">
      <c r="B35" s="218"/>
      <c r="C35" s="480" t="s">
        <v>204</v>
      </c>
      <c r="D35" s="481"/>
      <c r="E35" s="209"/>
      <c r="F35" s="291" t="s">
        <v>197</v>
      </c>
      <c r="G35" s="292"/>
      <c r="H35" s="292"/>
      <c r="I35" s="292"/>
      <c r="J35" s="292"/>
      <c r="K35" s="292"/>
      <c r="L35" s="292"/>
      <c r="M35" s="293"/>
      <c r="N35" s="293"/>
      <c r="O35" s="293"/>
      <c r="P35" s="293"/>
      <c r="Q35" s="294"/>
      <c r="R35" s="294"/>
      <c r="S35" s="223"/>
      <c r="T35" s="223"/>
      <c r="U35" s="223"/>
      <c r="V35" s="223"/>
      <c r="W35" s="223"/>
      <c r="X35" s="223"/>
      <c r="Y35" s="223"/>
      <c r="Z35" s="223"/>
      <c r="AA35" s="223"/>
      <c r="AB35" s="223"/>
      <c r="AC35" s="223"/>
      <c r="AD35" s="223"/>
      <c r="AE35" s="223"/>
      <c r="AF35" s="223"/>
      <c r="AG35" s="223"/>
      <c r="AH35" s="223"/>
      <c r="AI35" s="223"/>
    </row>
    <row r="36" spans="2:41" ht="18" customHeight="1" x14ac:dyDescent="0.25">
      <c r="B36" s="218"/>
      <c r="D36" s="488" t="s">
        <v>191</v>
      </c>
      <c r="E36" s="489"/>
      <c r="F36" s="285">
        <v>1</v>
      </c>
      <c r="G36" s="295">
        <f>G11*$F$36</f>
        <v>6.5972222222222223</v>
      </c>
      <c r="H36" s="295">
        <f t="shared" ref="H36:Q36" si="54">H11*$F$36</f>
        <v>8.3333333333333339</v>
      </c>
      <c r="I36" s="295">
        <f t="shared" si="54"/>
        <v>14.0625</v>
      </c>
      <c r="J36" s="295">
        <f t="shared" si="54"/>
        <v>14.756944444444445</v>
      </c>
      <c r="K36" s="295">
        <f t="shared" si="54"/>
        <v>19.097222222222221</v>
      </c>
      <c r="L36" s="295">
        <f t="shared" si="54"/>
        <v>18.576388888888889</v>
      </c>
      <c r="M36" s="295">
        <f t="shared" si="54"/>
        <v>17.361111111111111</v>
      </c>
      <c r="N36" s="295">
        <f t="shared" si="54"/>
        <v>15.711805555555555</v>
      </c>
      <c r="O36" s="295">
        <f t="shared" si="54"/>
        <v>14.930555555555555</v>
      </c>
      <c r="P36" s="295">
        <f t="shared" si="54"/>
        <v>10.925347222222221</v>
      </c>
      <c r="Q36" s="295">
        <f t="shared" si="54"/>
        <v>0</v>
      </c>
      <c r="R36" s="295">
        <f t="shared" ref="R36" si="55">R11*$F$36</f>
        <v>0</v>
      </c>
      <c r="S36" s="223"/>
      <c r="T36" s="223"/>
      <c r="U36" s="223"/>
      <c r="V36" s="223"/>
      <c r="W36" s="223"/>
      <c r="X36" s="223"/>
      <c r="Y36" s="223"/>
      <c r="Z36" s="223"/>
      <c r="AA36" s="223"/>
      <c r="AB36" s="223"/>
      <c r="AC36" s="223"/>
      <c r="AD36" s="223"/>
      <c r="AE36" s="223"/>
      <c r="AF36" s="223"/>
      <c r="AG36" s="223"/>
      <c r="AH36" s="223"/>
      <c r="AI36" s="223"/>
      <c r="AO36" s="33">
        <f>AVERAGE(G36:R39)</f>
        <v>23.392071759259252</v>
      </c>
    </row>
    <row r="37" spans="2:41" ht="18" customHeight="1" x14ac:dyDescent="0.25">
      <c r="B37" s="218"/>
      <c r="D37" s="488" t="s">
        <v>195</v>
      </c>
      <c r="E37" s="489"/>
      <c r="F37" s="287">
        <v>2</v>
      </c>
      <c r="G37" s="296">
        <f>G11*$F$37</f>
        <v>13.194444444444445</v>
      </c>
      <c r="H37" s="296">
        <f t="shared" ref="H37:Q37" si="56">H11*$F$37</f>
        <v>16.666666666666668</v>
      </c>
      <c r="I37" s="296">
        <f t="shared" si="56"/>
        <v>28.125</v>
      </c>
      <c r="J37" s="296">
        <f t="shared" si="56"/>
        <v>29.513888888888889</v>
      </c>
      <c r="K37" s="296">
        <f t="shared" si="56"/>
        <v>38.194444444444443</v>
      </c>
      <c r="L37" s="296">
        <f t="shared" si="56"/>
        <v>37.152777777777779</v>
      </c>
      <c r="M37" s="296">
        <f t="shared" si="56"/>
        <v>34.722222222222221</v>
      </c>
      <c r="N37" s="296">
        <f t="shared" si="56"/>
        <v>31.423611111111111</v>
      </c>
      <c r="O37" s="296">
        <f t="shared" si="56"/>
        <v>29.861111111111111</v>
      </c>
      <c r="P37" s="296">
        <f t="shared" si="56"/>
        <v>21.850694444444443</v>
      </c>
      <c r="Q37" s="296">
        <f t="shared" si="56"/>
        <v>0</v>
      </c>
      <c r="R37" s="296">
        <f t="shared" ref="R37" si="57">R11*$F$37</f>
        <v>0</v>
      </c>
      <c r="S37" s="223"/>
      <c r="T37" s="223"/>
      <c r="U37" s="223"/>
      <c r="V37" s="223"/>
      <c r="W37" s="223"/>
      <c r="X37" s="223"/>
      <c r="Y37" s="223"/>
      <c r="Z37" s="223"/>
      <c r="AA37" s="223"/>
      <c r="AB37" s="223"/>
      <c r="AC37" s="223"/>
      <c r="AD37" s="223"/>
      <c r="AE37" s="223"/>
      <c r="AF37" s="223"/>
      <c r="AG37" s="223"/>
      <c r="AH37" s="223"/>
      <c r="AI37" s="223"/>
    </row>
    <row r="38" spans="2:41" ht="18" customHeight="1" x14ac:dyDescent="0.25">
      <c r="B38" s="218"/>
      <c r="C38" s="221"/>
      <c r="D38" s="488" t="s">
        <v>192</v>
      </c>
      <c r="E38" s="489"/>
      <c r="F38" s="287">
        <v>3</v>
      </c>
      <c r="G38" s="297">
        <f>G11*$F$38</f>
        <v>19.791666666666668</v>
      </c>
      <c r="H38" s="297">
        <f t="shared" ref="H38:Q38" si="58">H11*$F$38</f>
        <v>25</v>
      </c>
      <c r="I38" s="297">
        <f t="shared" si="58"/>
        <v>42.1875</v>
      </c>
      <c r="J38" s="297">
        <f t="shared" si="58"/>
        <v>44.270833333333336</v>
      </c>
      <c r="K38" s="297">
        <f t="shared" si="58"/>
        <v>57.291666666666664</v>
      </c>
      <c r="L38" s="297">
        <f t="shared" si="58"/>
        <v>55.729166666666671</v>
      </c>
      <c r="M38" s="297">
        <f t="shared" si="58"/>
        <v>52.083333333333329</v>
      </c>
      <c r="N38" s="297">
        <f t="shared" si="58"/>
        <v>47.135416666666664</v>
      </c>
      <c r="O38" s="297">
        <f t="shared" si="58"/>
        <v>44.791666666666664</v>
      </c>
      <c r="P38" s="297">
        <f t="shared" si="58"/>
        <v>32.776041666666664</v>
      </c>
      <c r="Q38" s="297">
        <f t="shared" si="58"/>
        <v>0</v>
      </c>
      <c r="R38" s="297">
        <f t="shared" ref="R38" si="59">R11*$F$38</f>
        <v>0</v>
      </c>
      <c r="S38" s="199"/>
      <c r="T38" s="199"/>
      <c r="U38" s="199"/>
      <c r="V38" s="199"/>
      <c r="W38" s="199"/>
      <c r="X38" s="199"/>
      <c r="Y38" s="199"/>
      <c r="Z38" s="199"/>
      <c r="AA38" s="199"/>
      <c r="AB38" s="199"/>
      <c r="AC38" s="199"/>
      <c r="AD38" s="199"/>
      <c r="AE38" s="199"/>
      <c r="AF38" s="199"/>
      <c r="AG38" s="199"/>
      <c r="AH38" s="199"/>
      <c r="AI38" s="199"/>
    </row>
    <row r="39" spans="2:41" ht="18" customHeight="1" x14ac:dyDescent="0.3">
      <c r="B39" s="218"/>
      <c r="D39" s="488" t="s">
        <v>193</v>
      </c>
      <c r="E39" s="489"/>
      <c r="F39" s="298">
        <v>2</v>
      </c>
      <c r="G39" s="313">
        <f>G11*$F$39</f>
        <v>13.194444444444445</v>
      </c>
      <c r="H39" s="313">
        <f t="shared" ref="H39:Q39" si="60">H11*$F$39</f>
        <v>16.666666666666668</v>
      </c>
      <c r="I39" s="313">
        <f t="shared" si="60"/>
        <v>28.125</v>
      </c>
      <c r="J39" s="313">
        <f t="shared" si="60"/>
        <v>29.513888888888889</v>
      </c>
      <c r="K39" s="313">
        <f t="shared" si="60"/>
        <v>38.194444444444443</v>
      </c>
      <c r="L39" s="313">
        <f t="shared" si="60"/>
        <v>37.152777777777779</v>
      </c>
      <c r="M39" s="313">
        <f t="shared" si="60"/>
        <v>34.722222222222221</v>
      </c>
      <c r="N39" s="313">
        <f t="shared" si="60"/>
        <v>31.423611111111111</v>
      </c>
      <c r="O39" s="313">
        <f t="shared" si="60"/>
        <v>29.861111111111111</v>
      </c>
      <c r="P39" s="313">
        <f t="shared" si="60"/>
        <v>21.850694444444443</v>
      </c>
      <c r="Q39" s="313">
        <f t="shared" si="60"/>
        <v>0</v>
      </c>
      <c r="R39" s="313">
        <f t="shared" ref="R39" si="61">R11*$F$39</f>
        <v>0</v>
      </c>
    </row>
    <row r="40" spans="2:41" ht="18" customHeight="1" x14ac:dyDescent="0.25">
      <c r="B40" s="218"/>
      <c r="C40" s="480" t="s">
        <v>203</v>
      </c>
      <c r="D40" s="481"/>
      <c r="E40" s="209"/>
      <c r="F40" s="291" t="s">
        <v>197</v>
      </c>
      <c r="G40" s="300"/>
      <c r="H40" s="300"/>
      <c r="I40" s="300"/>
      <c r="J40" s="300"/>
      <c r="K40" s="300"/>
      <c r="L40" s="300"/>
      <c r="M40" s="300"/>
      <c r="N40" s="300"/>
      <c r="O40" s="300"/>
      <c r="P40" s="300"/>
      <c r="Q40" s="301"/>
      <c r="R40" s="301"/>
      <c r="S40" s="199"/>
      <c r="T40" s="199"/>
      <c r="U40" s="199"/>
      <c r="V40" s="199"/>
      <c r="W40" s="199"/>
      <c r="X40" s="199"/>
      <c r="Y40" s="199"/>
      <c r="Z40" s="199"/>
      <c r="AA40" s="199"/>
      <c r="AB40" s="199"/>
      <c r="AC40" s="199"/>
      <c r="AD40" s="199"/>
      <c r="AE40" s="199"/>
      <c r="AF40" s="199"/>
      <c r="AG40" s="199"/>
      <c r="AH40" s="199"/>
      <c r="AI40" s="199"/>
    </row>
    <row r="41" spans="2:41" ht="18" customHeight="1" x14ac:dyDescent="0.25">
      <c r="B41" s="218"/>
      <c r="D41" s="488" t="s">
        <v>191</v>
      </c>
      <c r="E41" s="489"/>
      <c r="F41" s="285">
        <v>1</v>
      </c>
      <c r="G41" s="295">
        <f>G30*$F$41</f>
        <v>0</v>
      </c>
      <c r="H41" s="295">
        <f t="shared" ref="H41:Q41" si="62">H30*$F$41</f>
        <v>3.7037037037037042</v>
      </c>
      <c r="I41" s="295">
        <f t="shared" si="62"/>
        <v>12.638888888888889</v>
      </c>
      <c r="J41" s="295">
        <f t="shared" si="62"/>
        <v>19.907407407407405</v>
      </c>
      <c r="K41" s="295">
        <f t="shared" si="62"/>
        <v>30.092592592592592</v>
      </c>
      <c r="L41" s="295">
        <f t="shared" si="62"/>
        <v>35.74074074074074</v>
      </c>
      <c r="M41" s="295">
        <f t="shared" si="62"/>
        <v>40.675925925925924</v>
      </c>
      <c r="N41" s="295">
        <f t="shared" si="62"/>
        <v>43.236111111111114</v>
      </c>
      <c r="O41" s="295">
        <f t="shared" si="62"/>
        <v>46.513888888888886</v>
      </c>
      <c r="P41" s="295">
        <f t="shared" si="62"/>
        <v>50.231481481481481</v>
      </c>
      <c r="Q41" s="295">
        <f t="shared" si="62"/>
        <v>45.231481481481481</v>
      </c>
      <c r="R41" s="295">
        <f t="shared" ref="R41" si="63">R30*$F$41</f>
        <v>20.37037037037037</v>
      </c>
      <c r="S41" s="223"/>
      <c r="T41" s="223"/>
      <c r="U41" s="223"/>
      <c r="V41" s="223"/>
      <c r="W41" s="223"/>
      <c r="X41" s="223"/>
      <c r="Y41" s="223"/>
      <c r="Z41" s="223"/>
      <c r="AA41" s="223"/>
      <c r="AB41" s="223"/>
      <c r="AC41" s="223"/>
      <c r="AD41" s="223"/>
      <c r="AE41" s="223"/>
      <c r="AF41" s="223"/>
      <c r="AG41" s="223"/>
      <c r="AH41" s="223"/>
      <c r="AI41" s="223"/>
      <c r="AO41" s="33">
        <f>AVERAGE(G41:R44)</f>
        <v>58.057098765432102</v>
      </c>
    </row>
    <row r="42" spans="2:41" ht="18" customHeight="1" x14ac:dyDescent="0.25">
      <c r="B42" s="218"/>
      <c r="D42" s="488" t="s">
        <v>195</v>
      </c>
      <c r="E42" s="489"/>
      <c r="F42" s="287">
        <v>2</v>
      </c>
      <c r="G42" s="296">
        <f>G30*$F$42</f>
        <v>0</v>
      </c>
      <c r="H42" s="296">
        <f t="shared" ref="H42:Q42" si="64">H30*$F$42</f>
        <v>7.4074074074074083</v>
      </c>
      <c r="I42" s="296">
        <f t="shared" si="64"/>
        <v>25.277777777777779</v>
      </c>
      <c r="J42" s="296">
        <f t="shared" si="64"/>
        <v>39.81481481481481</v>
      </c>
      <c r="K42" s="296">
        <f t="shared" si="64"/>
        <v>60.185185185185183</v>
      </c>
      <c r="L42" s="296">
        <f t="shared" si="64"/>
        <v>71.481481481481481</v>
      </c>
      <c r="M42" s="296">
        <f t="shared" si="64"/>
        <v>81.351851851851848</v>
      </c>
      <c r="N42" s="296">
        <f t="shared" si="64"/>
        <v>86.472222222222229</v>
      </c>
      <c r="O42" s="296">
        <f t="shared" si="64"/>
        <v>93.027777777777771</v>
      </c>
      <c r="P42" s="296">
        <f t="shared" si="64"/>
        <v>100.46296296296296</v>
      </c>
      <c r="Q42" s="296">
        <f t="shared" si="64"/>
        <v>90.462962962962962</v>
      </c>
      <c r="R42" s="296">
        <f t="shared" ref="R42" si="65">R30*$F$42</f>
        <v>40.74074074074074</v>
      </c>
      <c r="S42" s="223"/>
      <c r="T42" s="223"/>
      <c r="U42" s="223"/>
      <c r="V42" s="223"/>
      <c r="W42" s="223"/>
      <c r="X42" s="223"/>
      <c r="Y42" s="223"/>
      <c r="Z42" s="223"/>
      <c r="AA42" s="223"/>
      <c r="AB42" s="223"/>
      <c r="AC42" s="223"/>
      <c r="AD42" s="223"/>
      <c r="AE42" s="223"/>
      <c r="AF42" s="223"/>
      <c r="AG42" s="223"/>
      <c r="AH42" s="223"/>
      <c r="AI42" s="223"/>
    </row>
    <row r="43" spans="2:41" ht="18" customHeight="1" x14ac:dyDescent="0.25">
      <c r="B43" s="218"/>
      <c r="C43" s="221"/>
      <c r="D43" s="488" t="s">
        <v>192</v>
      </c>
      <c r="E43" s="489"/>
      <c r="F43" s="287">
        <v>3</v>
      </c>
      <c r="G43" s="297">
        <f>G30*$F$43</f>
        <v>0</v>
      </c>
      <c r="H43" s="297">
        <f t="shared" ref="H43:Q43" si="66">H30*$F$43</f>
        <v>11.111111111111112</v>
      </c>
      <c r="I43" s="297">
        <f t="shared" si="66"/>
        <v>37.916666666666671</v>
      </c>
      <c r="J43" s="297">
        <f t="shared" si="66"/>
        <v>59.722222222222214</v>
      </c>
      <c r="K43" s="297">
        <f t="shared" si="66"/>
        <v>90.277777777777771</v>
      </c>
      <c r="L43" s="297">
        <f t="shared" si="66"/>
        <v>107.22222222222223</v>
      </c>
      <c r="M43" s="297">
        <f t="shared" si="66"/>
        <v>122.02777777777777</v>
      </c>
      <c r="N43" s="297">
        <f t="shared" si="66"/>
        <v>129.70833333333334</v>
      </c>
      <c r="O43" s="297">
        <f t="shared" si="66"/>
        <v>139.54166666666666</v>
      </c>
      <c r="P43" s="297">
        <f t="shared" si="66"/>
        <v>150.69444444444446</v>
      </c>
      <c r="Q43" s="297">
        <f t="shared" si="66"/>
        <v>135.69444444444446</v>
      </c>
      <c r="R43" s="297">
        <f t="shared" ref="R43" si="67">R30*$F$43</f>
        <v>61.111111111111114</v>
      </c>
      <c r="S43" s="199"/>
      <c r="T43" s="199"/>
      <c r="U43" s="199"/>
      <c r="V43" s="199"/>
      <c r="W43" s="199"/>
      <c r="X43" s="199"/>
      <c r="Y43" s="199"/>
      <c r="Z43" s="199"/>
      <c r="AA43" s="199"/>
      <c r="AB43" s="199"/>
      <c r="AC43" s="199"/>
      <c r="AD43" s="199"/>
      <c r="AE43" s="199"/>
      <c r="AF43" s="199"/>
      <c r="AG43" s="199"/>
      <c r="AH43" s="199"/>
      <c r="AI43" s="199"/>
    </row>
    <row r="44" spans="2:41" ht="18" customHeight="1" x14ac:dyDescent="0.3">
      <c r="B44" s="218"/>
      <c r="D44" s="488" t="s">
        <v>193</v>
      </c>
      <c r="E44" s="489"/>
      <c r="F44" s="298">
        <v>2</v>
      </c>
      <c r="G44" s="299">
        <f>G30*$F$44</f>
        <v>0</v>
      </c>
      <c r="H44" s="313">
        <f t="shared" ref="H44:Q44" si="68">H30*$F$44</f>
        <v>7.4074074074074083</v>
      </c>
      <c r="I44" s="313">
        <f t="shared" si="68"/>
        <v>25.277777777777779</v>
      </c>
      <c r="J44" s="313">
        <f t="shared" si="68"/>
        <v>39.81481481481481</v>
      </c>
      <c r="K44" s="313">
        <f t="shared" si="68"/>
        <v>60.185185185185183</v>
      </c>
      <c r="L44" s="313">
        <f t="shared" si="68"/>
        <v>71.481481481481481</v>
      </c>
      <c r="M44" s="313">
        <f t="shared" si="68"/>
        <v>81.351851851851848</v>
      </c>
      <c r="N44" s="313">
        <f t="shared" si="68"/>
        <v>86.472222222222229</v>
      </c>
      <c r="O44" s="313">
        <f t="shared" si="68"/>
        <v>93.027777777777771</v>
      </c>
      <c r="P44" s="313">
        <f t="shared" si="68"/>
        <v>100.46296296296296</v>
      </c>
      <c r="Q44" s="313">
        <f t="shared" si="68"/>
        <v>90.462962962962962</v>
      </c>
      <c r="R44" s="313">
        <f t="shared" ref="R44" si="69">R30*$F$44</f>
        <v>40.74074074074074</v>
      </c>
    </row>
    <row r="45" spans="2:41" ht="18" customHeight="1" x14ac:dyDescent="0.25">
      <c r="B45" s="218"/>
      <c r="C45" s="482" t="s">
        <v>202</v>
      </c>
      <c r="D45" s="483"/>
      <c r="E45" s="226"/>
      <c r="F45" s="302" t="s">
        <v>197</v>
      </c>
      <c r="G45" s="303"/>
      <c r="H45" s="303"/>
      <c r="I45" s="303"/>
      <c r="J45" s="303"/>
      <c r="K45" s="303"/>
      <c r="L45" s="303"/>
      <c r="M45" s="303"/>
      <c r="N45" s="303"/>
      <c r="O45" s="303"/>
      <c r="P45" s="303"/>
      <c r="Q45" s="304"/>
      <c r="R45" s="304"/>
    </row>
    <row r="46" spans="2:41" ht="18" customHeight="1" x14ac:dyDescent="0.3">
      <c r="B46" s="218"/>
      <c r="D46" s="488" t="s">
        <v>199</v>
      </c>
      <c r="E46" s="489"/>
      <c r="F46" s="305"/>
      <c r="G46" s="306">
        <v>1</v>
      </c>
      <c r="H46" s="306">
        <v>2</v>
      </c>
      <c r="I46" s="306">
        <v>3</v>
      </c>
      <c r="J46" s="306">
        <v>4</v>
      </c>
      <c r="K46" s="306">
        <v>6</v>
      </c>
      <c r="L46" s="306">
        <v>6</v>
      </c>
      <c r="M46" s="306">
        <v>6</v>
      </c>
      <c r="N46" s="306">
        <v>6</v>
      </c>
      <c r="O46" s="306">
        <v>4</v>
      </c>
      <c r="P46" s="306">
        <v>3</v>
      </c>
      <c r="Q46" s="306">
        <v>2</v>
      </c>
      <c r="R46" s="306">
        <v>2</v>
      </c>
    </row>
    <row r="47" spans="2:41" ht="18" customHeight="1" x14ac:dyDescent="0.3">
      <c r="B47" s="218"/>
      <c r="D47" s="488" t="s">
        <v>200</v>
      </c>
      <c r="E47" s="489"/>
      <c r="F47" s="307"/>
      <c r="G47" s="308">
        <v>2</v>
      </c>
      <c r="H47" s="308">
        <v>3</v>
      </c>
      <c r="I47" s="308">
        <v>5</v>
      </c>
      <c r="J47" s="308">
        <v>8</v>
      </c>
      <c r="K47" s="308">
        <v>10</v>
      </c>
      <c r="L47" s="308">
        <v>10</v>
      </c>
      <c r="M47" s="308">
        <v>10</v>
      </c>
      <c r="N47" s="308">
        <v>10</v>
      </c>
      <c r="O47" s="308">
        <v>8</v>
      </c>
      <c r="P47" s="308">
        <v>5</v>
      </c>
      <c r="Q47" s="308">
        <v>3</v>
      </c>
      <c r="R47" s="308">
        <v>3</v>
      </c>
    </row>
    <row r="48" spans="2:41" ht="18" customHeight="1" x14ac:dyDescent="0.3">
      <c r="B48" s="218"/>
      <c r="D48" s="488" t="s">
        <v>201</v>
      </c>
      <c r="E48" s="489"/>
      <c r="F48" s="307"/>
      <c r="G48" s="287">
        <v>0</v>
      </c>
      <c r="H48" s="287">
        <v>2</v>
      </c>
      <c r="I48" s="287">
        <v>4</v>
      </c>
      <c r="J48" s="287">
        <v>5</v>
      </c>
      <c r="K48" s="287">
        <v>10</v>
      </c>
      <c r="L48" s="287">
        <v>10</v>
      </c>
      <c r="M48" s="287">
        <v>10</v>
      </c>
      <c r="N48" s="287">
        <v>8</v>
      </c>
      <c r="O48" s="287">
        <v>7</v>
      </c>
      <c r="P48" s="287">
        <v>4</v>
      </c>
      <c r="Q48" s="287">
        <v>2</v>
      </c>
      <c r="R48" s="287">
        <v>2</v>
      </c>
    </row>
    <row r="49" spans="2:39" ht="18" customHeight="1" x14ac:dyDescent="0.25">
      <c r="B49" s="218"/>
      <c r="C49" s="261" t="s">
        <v>207</v>
      </c>
      <c r="D49" s="262"/>
      <c r="E49" s="262"/>
      <c r="F49" s="303"/>
      <c r="G49" s="303"/>
      <c r="H49" s="303"/>
      <c r="I49" s="303"/>
      <c r="J49" s="303"/>
      <c r="K49" s="303"/>
      <c r="L49" s="303"/>
      <c r="M49" s="303"/>
      <c r="N49" s="303"/>
      <c r="O49" s="303"/>
      <c r="P49" s="303"/>
      <c r="Q49" s="304"/>
      <c r="R49" s="304"/>
    </row>
    <row r="50" spans="2:39" ht="18" customHeight="1" x14ac:dyDescent="0.3">
      <c r="B50" s="218"/>
      <c r="D50" s="488" t="s">
        <v>191</v>
      </c>
      <c r="E50" s="489"/>
      <c r="F50" s="308"/>
      <c r="G50" s="296">
        <f t="shared" ref="G50:Q50" si="70">(G41+G36)*1.3</f>
        <v>8.5763888888888893</v>
      </c>
      <c r="H50" s="296">
        <f t="shared" si="70"/>
        <v>15.648148148148151</v>
      </c>
      <c r="I50" s="296">
        <f t="shared" si="70"/>
        <v>34.711805555555557</v>
      </c>
      <c r="J50" s="296">
        <f t="shared" si="70"/>
        <v>45.063657407407405</v>
      </c>
      <c r="K50" s="296">
        <f t="shared" si="70"/>
        <v>63.946759259259252</v>
      </c>
      <c r="L50" s="296">
        <f t="shared" si="70"/>
        <v>70.612268518518519</v>
      </c>
      <c r="M50" s="296">
        <f t="shared" si="70"/>
        <v>75.44814814814815</v>
      </c>
      <c r="N50" s="296">
        <f t="shared" si="70"/>
        <v>76.632291666666674</v>
      </c>
      <c r="O50" s="296">
        <f t="shared" si="70"/>
        <v>79.87777777777778</v>
      </c>
      <c r="P50" s="296">
        <f t="shared" si="70"/>
        <v>79.503877314814815</v>
      </c>
      <c r="Q50" s="296">
        <f t="shared" si="70"/>
        <v>58.800925925925924</v>
      </c>
      <c r="R50" s="296">
        <f t="shared" ref="R50" si="71">(R41+R36)*1.3</f>
        <v>26.481481481481481</v>
      </c>
    </row>
    <row r="51" spans="2:39" ht="18" customHeight="1" x14ac:dyDescent="0.3">
      <c r="B51" s="218"/>
      <c r="D51" s="488" t="s">
        <v>195</v>
      </c>
      <c r="E51" s="489"/>
      <c r="F51" s="308"/>
      <c r="G51" s="296">
        <f t="shared" ref="G51:Q51" si="72">(G37+G42)*1.3</f>
        <v>17.152777777777779</v>
      </c>
      <c r="H51" s="296">
        <f t="shared" si="72"/>
        <v>31.296296296296301</v>
      </c>
      <c r="I51" s="296">
        <f t="shared" si="72"/>
        <v>69.423611111111114</v>
      </c>
      <c r="J51" s="296">
        <f t="shared" si="72"/>
        <v>90.12731481481481</v>
      </c>
      <c r="K51" s="296">
        <f t="shared" si="72"/>
        <v>127.8935185185185</v>
      </c>
      <c r="L51" s="296">
        <f t="shared" si="72"/>
        <v>141.22453703703704</v>
      </c>
      <c r="M51" s="296">
        <f t="shared" si="72"/>
        <v>150.8962962962963</v>
      </c>
      <c r="N51" s="296">
        <f t="shared" si="72"/>
        <v>153.26458333333335</v>
      </c>
      <c r="O51" s="296">
        <f t="shared" si="72"/>
        <v>159.75555555555556</v>
      </c>
      <c r="P51" s="296">
        <f t="shared" si="72"/>
        <v>159.00775462962963</v>
      </c>
      <c r="Q51" s="296">
        <f t="shared" si="72"/>
        <v>117.60185185185185</v>
      </c>
      <c r="R51" s="296">
        <f t="shared" ref="R51" si="73">(R37+R42)*1.3</f>
        <v>52.962962962962962</v>
      </c>
    </row>
    <row r="52" spans="2:39" ht="18" customHeight="1" x14ac:dyDescent="0.3">
      <c r="B52" s="218"/>
      <c r="D52" s="488" t="s">
        <v>192</v>
      </c>
      <c r="E52" s="489"/>
      <c r="F52" s="308"/>
      <c r="G52" s="296">
        <f t="shared" ref="G52:Q52" si="74">(G43+G38)*1.3</f>
        <v>25.729166666666668</v>
      </c>
      <c r="H52" s="296">
        <f t="shared" si="74"/>
        <v>46.94444444444445</v>
      </c>
      <c r="I52" s="296">
        <f t="shared" si="74"/>
        <v>104.13541666666667</v>
      </c>
      <c r="J52" s="296">
        <f t="shared" si="74"/>
        <v>135.1909722222222</v>
      </c>
      <c r="K52" s="296">
        <f t="shared" si="74"/>
        <v>191.84027777777777</v>
      </c>
      <c r="L52" s="296">
        <f t="shared" si="74"/>
        <v>211.8368055555556</v>
      </c>
      <c r="M52" s="296">
        <f t="shared" si="74"/>
        <v>226.34444444444441</v>
      </c>
      <c r="N52" s="296">
        <f t="shared" si="74"/>
        <v>229.89687499999999</v>
      </c>
      <c r="O52" s="296">
        <f t="shared" si="74"/>
        <v>239.63333333333333</v>
      </c>
      <c r="P52" s="296">
        <f t="shared" si="74"/>
        <v>238.51163194444445</v>
      </c>
      <c r="Q52" s="296">
        <f t="shared" si="74"/>
        <v>176.4027777777778</v>
      </c>
      <c r="R52" s="296">
        <f t="shared" ref="R52" si="75">(R43+R38)*1.3</f>
        <v>79.444444444444457</v>
      </c>
    </row>
    <row r="53" spans="2:39" ht="18" customHeight="1" x14ac:dyDescent="0.3">
      <c r="B53" s="218"/>
      <c r="D53" s="488" t="s">
        <v>193</v>
      </c>
      <c r="E53" s="489"/>
      <c r="F53" s="308"/>
      <c r="G53" s="296">
        <f t="shared" ref="G53:Q53" si="76">(G44+G39)*1.3</f>
        <v>17.152777777777779</v>
      </c>
      <c r="H53" s="296">
        <f t="shared" si="76"/>
        <v>31.296296296296301</v>
      </c>
      <c r="I53" s="296">
        <f t="shared" si="76"/>
        <v>69.423611111111114</v>
      </c>
      <c r="J53" s="296">
        <f t="shared" si="76"/>
        <v>90.12731481481481</v>
      </c>
      <c r="K53" s="296">
        <f t="shared" si="76"/>
        <v>127.8935185185185</v>
      </c>
      <c r="L53" s="296">
        <f t="shared" si="76"/>
        <v>141.22453703703704</v>
      </c>
      <c r="M53" s="296">
        <f t="shared" si="76"/>
        <v>150.8962962962963</v>
      </c>
      <c r="N53" s="296">
        <f t="shared" si="76"/>
        <v>153.26458333333335</v>
      </c>
      <c r="O53" s="296">
        <f t="shared" si="76"/>
        <v>159.75555555555556</v>
      </c>
      <c r="P53" s="296">
        <f t="shared" si="76"/>
        <v>159.00775462962963</v>
      </c>
      <c r="Q53" s="296">
        <f t="shared" si="76"/>
        <v>117.60185185185185</v>
      </c>
      <c r="R53" s="296">
        <f t="shared" ref="R53" si="77">(R44+R39)*1.3</f>
        <v>52.962962962962962</v>
      </c>
    </row>
    <row r="54" spans="2:39" ht="18" customHeight="1" x14ac:dyDescent="0.3">
      <c r="B54" s="218"/>
      <c r="D54" s="488" t="s">
        <v>199</v>
      </c>
      <c r="E54" s="489"/>
      <c r="F54" s="308"/>
      <c r="G54" s="296">
        <f t="shared" ref="G54:Q54" si="78">G46*1.3</f>
        <v>1.3</v>
      </c>
      <c r="H54" s="296">
        <f t="shared" si="78"/>
        <v>2.6</v>
      </c>
      <c r="I54" s="296">
        <f t="shared" si="78"/>
        <v>3.9000000000000004</v>
      </c>
      <c r="J54" s="296">
        <f t="shared" si="78"/>
        <v>5.2</v>
      </c>
      <c r="K54" s="296">
        <f t="shared" si="78"/>
        <v>7.8000000000000007</v>
      </c>
      <c r="L54" s="296">
        <f t="shared" si="78"/>
        <v>7.8000000000000007</v>
      </c>
      <c r="M54" s="296">
        <f t="shared" si="78"/>
        <v>7.8000000000000007</v>
      </c>
      <c r="N54" s="296">
        <f t="shared" si="78"/>
        <v>7.8000000000000007</v>
      </c>
      <c r="O54" s="296">
        <f t="shared" si="78"/>
        <v>5.2</v>
      </c>
      <c r="P54" s="296">
        <f t="shared" si="78"/>
        <v>3.9000000000000004</v>
      </c>
      <c r="Q54" s="296">
        <f t="shared" si="78"/>
        <v>2.6</v>
      </c>
      <c r="R54" s="296">
        <f t="shared" ref="R54" si="79">R46*1.3</f>
        <v>2.6</v>
      </c>
    </row>
    <row r="55" spans="2:39" ht="18" customHeight="1" x14ac:dyDescent="0.3">
      <c r="B55" s="218"/>
      <c r="D55" s="488" t="s">
        <v>200</v>
      </c>
      <c r="E55" s="489"/>
      <c r="F55" s="308"/>
      <c r="G55" s="296">
        <f t="shared" ref="G55:Q55" si="80">G47*1.3</f>
        <v>2.6</v>
      </c>
      <c r="H55" s="296">
        <f t="shared" si="80"/>
        <v>3.9000000000000004</v>
      </c>
      <c r="I55" s="296">
        <f t="shared" si="80"/>
        <v>6.5</v>
      </c>
      <c r="J55" s="296">
        <f t="shared" si="80"/>
        <v>10.4</v>
      </c>
      <c r="K55" s="296">
        <f t="shared" si="80"/>
        <v>13</v>
      </c>
      <c r="L55" s="296">
        <f t="shared" si="80"/>
        <v>13</v>
      </c>
      <c r="M55" s="296">
        <f t="shared" si="80"/>
        <v>13</v>
      </c>
      <c r="N55" s="296">
        <f t="shared" si="80"/>
        <v>13</v>
      </c>
      <c r="O55" s="296">
        <f t="shared" si="80"/>
        <v>10.4</v>
      </c>
      <c r="P55" s="296">
        <f t="shared" si="80"/>
        <v>6.5</v>
      </c>
      <c r="Q55" s="296">
        <f t="shared" si="80"/>
        <v>3.9000000000000004</v>
      </c>
      <c r="R55" s="296">
        <f t="shared" ref="R55" si="81">R47*1.3</f>
        <v>3.9000000000000004</v>
      </c>
    </row>
    <row r="56" spans="2:39" ht="18" customHeight="1" x14ac:dyDescent="0.3">
      <c r="B56" s="218"/>
      <c r="D56" s="488" t="s">
        <v>201</v>
      </c>
      <c r="E56" s="489"/>
      <c r="F56" s="308"/>
      <c r="G56" s="296">
        <f t="shared" ref="G56:Q56" si="82">G48*1.3</f>
        <v>0</v>
      </c>
      <c r="H56" s="296">
        <f t="shared" si="82"/>
        <v>2.6</v>
      </c>
      <c r="I56" s="296">
        <f t="shared" si="82"/>
        <v>5.2</v>
      </c>
      <c r="J56" s="296">
        <f t="shared" si="82"/>
        <v>6.5</v>
      </c>
      <c r="K56" s="296">
        <f t="shared" si="82"/>
        <v>13</v>
      </c>
      <c r="L56" s="296">
        <f t="shared" si="82"/>
        <v>13</v>
      </c>
      <c r="M56" s="296">
        <f t="shared" si="82"/>
        <v>13</v>
      </c>
      <c r="N56" s="296">
        <f t="shared" si="82"/>
        <v>10.4</v>
      </c>
      <c r="O56" s="296">
        <f t="shared" si="82"/>
        <v>9.1</v>
      </c>
      <c r="P56" s="296">
        <f t="shared" si="82"/>
        <v>5.2</v>
      </c>
      <c r="Q56" s="296">
        <f t="shared" si="82"/>
        <v>2.6</v>
      </c>
      <c r="R56" s="296">
        <f t="shared" ref="R56" si="83">R48*1.3</f>
        <v>2.6</v>
      </c>
    </row>
    <row r="57" spans="2:39" ht="18" customHeight="1" x14ac:dyDescent="0.25">
      <c r="B57" s="218"/>
      <c r="C57" s="482" t="s">
        <v>206</v>
      </c>
      <c r="D57" s="483"/>
      <c r="E57" s="226"/>
      <c r="F57" s="302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4"/>
      <c r="R57" s="304"/>
    </row>
    <row r="58" spans="2:39" ht="18" customHeight="1" x14ac:dyDescent="0.3">
      <c r="B58" s="218"/>
      <c r="D58" s="487" t="s">
        <v>196</v>
      </c>
      <c r="E58" s="487"/>
      <c r="F58" s="308"/>
      <c r="G58" s="296">
        <f>G42+G37+G36</f>
        <v>19.791666666666668</v>
      </c>
      <c r="H58" s="296">
        <f t="shared" ref="H58:Q58" si="84">H42+H37+H36</f>
        <v>32.407407407407412</v>
      </c>
      <c r="I58" s="296">
        <f t="shared" si="84"/>
        <v>67.465277777777771</v>
      </c>
      <c r="J58" s="296">
        <f t="shared" si="84"/>
        <v>84.085648148148138</v>
      </c>
      <c r="K58" s="296">
        <f t="shared" si="84"/>
        <v>117.47685185185185</v>
      </c>
      <c r="L58" s="296">
        <f t="shared" si="84"/>
        <v>127.21064814814815</v>
      </c>
      <c r="M58" s="296">
        <f t="shared" si="84"/>
        <v>133.43518518518519</v>
      </c>
      <c r="N58" s="296">
        <f t="shared" si="84"/>
        <v>133.60763888888889</v>
      </c>
      <c r="O58" s="296">
        <f t="shared" si="84"/>
        <v>137.81944444444443</v>
      </c>
      <c r="P58" s="296">
        <f t="shared" si="84"/>
        <v>133.23900462962962</v>
      </c>
      <c r="Q58" s="296">
        <f t="shared" si="84"/>
        <v>90.462962962962962</v>
      </c>
      <c r="R58" s="296">
        <f t="shared" ref="R58" si="85">R42+R37+R36</f>
        <v>40.74074074074074</v>
      </c>
    </row>
    <row r="59" spans="2:39" ht="18" customHeight="1" x14ac:dyDescent="0.3">
      <c r="B59" s="218"/>
      <c r="D59" s="487" t="s">
        <v>139</v>
      </c>
      <c r="E59" s="487"/>
      <c r="F59" s="308"/>
      <c r="G59" s="296">
        <v>1</v>
      </c>
      <c r="H59" s="296">
        <v>2</v>
      </c>
      <c r="I59" s="296">
        <v>3</v>
      </c>
      <c r="J59" s="296">
        <v>6</v>
      </c>
      <c r="K59" s="296">
        <v>8</v>
      </c>
      <c r="L59" s="296">
        <v>11</v>
      </c>
      <c r="M59" s="296">
        <v>12</v>
      </c>
      <c r="N59" s="296">
        <v>12</v>
      </c>
      <c r="O59" s="296">
        <v>8</v>
      </c>
      <c r="P59" s="296">
        <v>7</v>
      </c>
      <c r="Q59" s="296">
        <v>5</v>
      </c>
      <c r="R59" s="296">
        <v>2</v>
      </c>
    </row>
    <row r="60" spans="2:39" ht="18" customHeight="1" x14ac:dyDescent="0.3">
      <c r="B60" s="218"/>
      <c r="D60" s="487" t="s">
        <v>198</v>
      </c>
      <c r="E60" s="487"/>
      <c r="F60" s="308"/>
      <c r="G60" s="296">
        <f>G59</f>
        <v>1</v>
      </c>
      <c r="H60" s="296">
        <f t="shared" ref="H60:R60" si="86">H59</f>
        <v>2</v>
      </c>
      <c r="I60" s="296">
        <f t="shared" si="86"/>
        <v>3</v>
      </c>
      <c r="J60" s="296">
        <v>5</v>
      </c>
      <c r="K60" s="296">
        <v>7</v>
      </c>
      <c r="L60" s="296">
        <v>10</v>
      </c>
      <c r="M60" s="296">
        <v>10</v>
      </c>
      <c r="N60" s="296">
        <v>10</v>
      </c>
      <c r="O60" s="296">
        <v>7</v>
      </c>
      <c r="P60" s="296">
        <v>6</v>
      </c>
      <c r="Q60" s="296">
        <v>4</v>
      </c>
      <c r="R60" s="296">
        <f t="shared" si="86"/>
        <v>2</v>
      </c>
      <c r="S60" s="296">
        <f t="shared" ref="S60:AM60" si="87">S30</f>
        <v>0</v>
      </c>
      <c r="T60" s="296">
        <f t="shared" si="87"/>
        <v>0</v>
      </c>
      <c r="U60" s="296">
        <f t="shared" si="87"/>
        <v>0</v>
      </c>
      <c r="V60" s="296">
        <f t="shared" si="87"/>
        <v>0</v>
      </c>
      <c r="W60" s="296">
        <f t="shared" si="87"/>
        <v>0</v>
      </c>
      <c r="X60" s="296">
        <f t="shared" si="87"/>
        <v>0</v>
      </c>
      <c r="Y60" s="296">
        <f t="shared" si="87"/>
        <v>0</v>
      </c>
      <c r="Z60" s="296">
        <f t="shared" si="87"/>
        <v>0</v>
      </c>
      <c r="AA60" s="296">
        <f t="shared" si="87"/>
        <v>0</v>
      </c>
      <c r="AB60" s="296">
        <f t="shared" si="87"/>
        <v>0</v>
      </c>
      <c r="AC60" s="296">
        <f t="shared" si="87"/>
        <v>0</v>
      </c>
      <c r="AD60" s="296">
        <f t="shared" si="87"/>
        <v>0</v>
      </c>
      <c r="AE60" s="296">
        <f t="shared" si="87"/>
        <v>0</v>
      </c>
      <c r="AF60" s="296">
        <f t="shared" si="87"/>
        <v>0</v>
      </c>
      <c r="AG60" s="296">
        <f t="shared" si="87"/>
        <v>0</v>
      </c>
      <c r="AH60" s="296">
        <f t="shared" si="87"/>
        <v>0</v>
      </c>
      <c r="AI60" s="296">
        <f t="shared" si="87"/>
        <v>0</v>
      </c>
      <c r="AJ60" s="296">
        <f t="shared" si="87"/>
        <v>0</v>
      </c>
      <c r="AK60" s="296">
        <f t="shared" si="87"/>
        <v>67555</v>
      </c>
      <c r="AL60" s="296">
        <f t="shared" si="87"/>
        <v>0</v>
      </c>
      <c r="AM60" s="296">
        <f t="shared" si="87"/>
        <v>0</v>
      </c>
    </row>
    <row r="61" spans="2:39" ht="18" customHeight="1" x14ac:dyDescent="0.25">
      <c r="B61" s="218"/>
      <c r="D61" s="225"/>
      <c r="E61" s="225"/>
      <c r="F61" s="227"/>
      <c r="G61" s="198"/>
      <c r="H61" s="198"/>
      <c r="I61" s="198"/>
      <c r="J61" s="198"/>
      <c r="K61" s="198"/>
      <c r="L61" s="198"/>
      <c r="M61" s="198"/>
      <c r="N61" s="198"/>
      <c r="O61" s="198"/>
      <c r="P61" s="198"/>
      <c r="Q61" s="198"/>
    </row>
    <row r="62" spans="2:39" ht="18" customHeight="1" x14ac:dyDescent="0.25">
      <c r="B62" s="218"/>
      <c r="D62" s="225"/>
      <c r="E62" s="225"/>
      <c r="F62" s="227"/>
      <c r="G62" s="198"/>
      <c r="H62" s="198"/>
      <c r="I62" s="198"/>
      <c r="J62" s="198"/>
      <c r="K62" s="198"/>
      <c r="L62" s="198"/>
      <c r="M62" s="198"/>
      <c r="N62" s="198"/>
      <c r="O62" s="198"/>
      <c r="P62" s="198"/>
      <c r="Q62" s="198"/>
    </row>
    <row r="63" spans="2:39" ht="18" hidden="1" customHeight="1" x14ac:dyDescent="0.25">
      <c r="B63" s="218"/>
      <c r="D63" s="225"/>
      <c r="E63" s="225"/>
      <c r="F63" s="227"/>
      <c r="G63" s="267">
        <f>G50+G51+G52+G53+G54+G55+G56</f>
        <v>72.511111111111106</v>
      </c>
      <c r="H63" s="267">
        <f t="shared" ref="H63:Q63" si="88">H50+H51+H52+H53+H54+H55+H56</f>
        <v>134.28518518518518</v>
      </c>
      <c r="I63" s="267">
        <f t="shared" si="88"/>
        <v>293.29444444444442</v>
      </c>
      <c r="J63" s="267">
        <f t="shared" si="88"/>
        <v>382.6092592592592</v>
      </c>
      <c r="K63" s="267">
        <f t="shared" si="88"/>
        <v>545.37407407407397</v>
      </c>
      <c r="L63" s="267">
        <f t="shared" si="88"/>
        <v>598.69814814814811</v>
      </c>
      <c r="M63" s="267">
        <f t="shared" si="88"/>
        <v>637.38518518518515</v>
      </c>
      <c r="N63" s="267">
        <f t="shared" si="88"/>
        <v>644.25833333333333</v>
      </c>
      <c r="O63" s="267">
        <f t="shared" si="88"/>
        <v>663.72222222222229</v>
      </c>
      <c r="P63" s="267">
        <f t="shared" si="88"/>
        <v>651.63101851851854</v>
      </c>
      <c r="Q63" s="267">
        <f t="shared" si="88"/>
        <v>479.50740740740741</v>
      </c>
    </row>
    <row r="64" spans="2:39" ht="18" customHeight="1" x14ac:dyDescent="0.25">
      <c r="B64" s="218"/>
      <c r="D64" s="225"/>
      <c r="E64" s="225"/>
      <c r="F64" s="22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</row>
    <row r="65" spans="2:2" ht="34.5" customHeight="1" x14ac:dyDescent="0.25">
      <c r="B65" s="218"/>
    </row>
  </sheetData>
  <mergeCells count="35">
    <mergeCell ref="D56:E56"/>
    <mergeCell ref="D50:E50"/>
    <mergeCell ref="D51:E51"/>
    <mergeCell ref="D52:E52"/>
    <mergeCell ref="D53:E53"/>
    <mergeCell ref="D54:E54"/>
    <mergeCell ref="D58:E58"/>
    <mergeCell ref="D59:E59"/>
    <mergeCell ref="D60:E60"/>
    <mergeCell ref="C57:D57"/>
    <mergeCell ref="D36:E36"/>
    <mergeCell ref="D37:E37"/>
    <mergeCell ref="D38:E38"/>
    <mergeCell ref="D39:E39"/>
    <mergeCell ref="D41:E41"/>
    <mergeCell ref="D42:E42"/>
    <mergeCell ref="D43:E43"/>
    <mergeCell ref="D44:E44"/>
    <mergeCell ref="D46:E46"/>
    <mergeCell ref="D47:E47"/>
    <mergeCell ref="D48:E48"/>
    <mergeCell ref="D55:E55"/>
    <mergeCell ref="C35:D35"/>
    <mergeCell ref="C45:D45"/>
    <mergeCell ref="C40:D40"/>
    <mergeCell ref="C34:D34"/>
    <mergeCell ref="B3:AI3"/>
    <mergeCell ref="A1:AO1"/>
    <mergeCell ref="A2:AO2"/>
    <mergeCell ref="G4:R4"/>
    <mergeCell ref="F4:F5"/>
    <mergeCell ref="E4:E5"/>
    <mergeCell ref="D4:D5"/>
    <mergeCell ref="C4:C5"/>
    <mergeCell ref="B4:B5"/>
  </mergeCells>
  <printOptions horizontalCentered="1"/>
  <pageMargins left="0" right="0" top="0.5" bottom="0.75" header="0.3" footer="0.3"/>
  <pageSetup paperSize="9" scale="35" fitToHeight="0" orientation="landscape" horizontalDpi="4294967295" verticalDpi="4294967295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N13"/>
  <sheetViews>
    <sheetView topLeftCell="A20" zoomScale="70" zoomScaleNormal="70" workbookViewId="0">
      <selection activeCell="B58" sqref="B58"/>
    </sheetView>
  </sheetViews>
  <sheetFormatPr defaultRowHeight="15" x14ac:dyDescent="0.25"/>
  <cols>
    <col min="2" max="2" width="26.375" bestFit="1" customWidth="1"/>
    <col min="3" max="3" width="9" customWidth="1"/>
    <col min="4" max="4" width="9.625" customWidth="1"/>
    <col min="5" max="5" width="9.75" customWidth="1"/>
    <col min="6" max="6" width="9" customWidth="1"/>
    <col min="7" max="7" width="11" customWidth="1"/>
    <col min="8" max="8" width="9.625" customWidth="1"/>
    <col min="9" max="9" width="9.875" customWidth="1"/>
    <col min="10" max="10" width="8.875" customWidth="1"/>
    <col min="11" max="11" width="9.875" customWidth="1"/>
    <col min="12" max="12" width="9.75" customWidth="1"/>
    <col min="13" max="13" width="8.875" customWidth="1"/>
    <col min="14" max="14" width="10" customWidth="1"/>
  </cols>
  <sheetData>
    <row r="1" spans="2:14" ht="31.5" customHeight="1" thickBot="1" x14ac:dyDescent="0.3"/>
    <row r="2" spans="2:14" ht="16.5" thickBot="1" x14ac:dyDescent="0.3">
      <c r="B2" s="206"/>
      <c r="C2" s="207" t="str">
        <f>'Piping W.L.'!G5</f>
        <v>Jan</v>
      </c>
      <c r="D2" s="207" t="str">
        <f>'Piping W.L.'!H5</f>
        <v>Feb</v>
      </c>
      <c r="E2" s="207" t="str">
        <f>'Piping W.L.'!I5</f>
        <v>Mar</v>
      </c>
      <c r="F2" s="207" t="str">
        <f>'Piping W.L.'!J5</f>
        <v>Apr</v>
      </c>
      <c r="G2" s="207" t="str">
        <f>'Piping W.L.'!K5</f>
        <v>May</v>
      </c>
      <c r="H2" s="207" t="str">
        <f>'Piping W.L.'!L5</f>
        <v>Jun</v>
      </c>
      <c r="I2" s="207" t="str">
        <f>'Piping W.L.'!M5</f>
        <v>Jul</v>
      </c>
      <c r="J2" s="207" t="str">
        <f>'Piping W.L.'!N5</f>
        <v>Aug</v>
      </c>
      <c r="K2" s="207" t="str">
        <f>'Piping W.L.'!O5</f>
        <v>Sep</v>
      </c>
      <c r="L2" s="207" t="str">
        <f>'Piping W.L.'!P5</f>
        <v>Oct</v>
      </c>
      <c r="M2" s="207" t="str">
        <f>'Piping W.L.'!Q5</f>
        <v>Nov</v>
      </c>
      <c r="N2" s="208" t="str">
        <f>'Piping W.L.'!R5</f>
        <v>Dec</v>
      </c>
    </row>
    <row r="3" spans="2:14" ht="15.75" x14ac:dyDescent="0.25">
      <c r="B3" s="215" t="s">
        <v>210</v>
      </c>
      <c r="C3" s="270">
        <f>'Piping W.L.'!G36+'Piping W.L.'!G37+'Piping W.L.'!G38+'Piping W.L.'!G39+'Piping W.L.'!G41+'Piping W.L.'!G42+'Piping W.L.'!G43+'Piping W.L.'!G44</f>
        <v>52.777777777777779</v>
      </c>
      <c r="D3" s="270">
        <f>'Piping W.L.'!H36+'Piping W.L.'!H37+'Piping W.L.'!H38+'Piping W.L.'!H39+'Piping W.L.'!H41+'Piping W.L.'!H42+'Piping W.L.'!H43+'Piping W.L.'!H44</f>
        <v>96.296296296296305</v>
      </c>
      <c r="E3" s="270">
        <f>'Piping W.L.'!I36+'Piping W.L.'!I37+'Piping W.L.'!I38+'Piping W.L.'!I39+'Piping W.L.'!I41+'Piping W.L.'!I42+'Piping W.L.'!I43+'Piping W.L.'!I44</f>
        <v>213.61111111111109</v>
      </c>
      <c r="F3" s="270">
        <f>'Piping W.L.'!J36+'Piping W.L.'!J37+'Piping W.L.'!J38+'Piping W.L.'!J39+'Piping W.L.'!J41+'Piping W.L.'!J42+'Piping W.L.'!J43+'Piping W.L.'!J44</f>
        <v>277.31481481481478</v>
      </c>
      <c r="G3" s="270">
        <f>'Piping W.L.'!K36+'Piping W.L.'!K37+'Piping W.L.'!K38+'Piping W.L.'!K39+'Piping W.L.'!K41+'Piping W.L.'!K42+'Piping W.L.'!K43+'Piping W.L.'!K44</f>
        <v>393.51851851851848</v>
      </c>
      <c r="H3" s="270">
        <f>'Piping W.L.'!L36+'Piping W.L.'!L37+'Piping W.L.'!L38+'Piping W.L.'!L39+'Piping W.L.'!L41+'Piping W.L.'!L42+'Piping W.L.'!L43+'Piping W.L.'!L44</f>
        <v>434.53703703703701</v>
      </c>
      <c r="I3" s="270">
        <f>'Piping W.L.'!M36+'Piping W.L.'!M37+'Piping W.L.'!M38+'Piping W.L.'!M39+'Piping W.L.'!M41+'Piping W.L.'!M42+'Piping W.L.'!M43+'Piping W.L.'!M44</f>
        <v>464.29629629629625</v>
      </c>
      <c r="J3" s="270">
        <f>'Piping W.L.'!N36+'Piping W.L.'!N37+'Piping W.L.'!N38+'Piping W.L.'!N39+'Piping W.L.'!N41+'Piping W.L.'!N42+'Piping W.L.'!N43+'Piping W.L.'!N44</f>
        <v>471.58333333333331</v>
      </c>
      <c r="K3" s="270">
        <f>'Piping W.L.'!O36+'Piping W.L.'!O37+'Piping W.L.'!O38+'Piping W.L.'!O39+'Piping W.L.'!O41+'Piping W.L.'!O42+'Piping W.L.'!O43+'Piping W.L.'!O44</f>
        <v>491.55555555555549</v>
      </c>
      <c r="L3" s="270">
        <f>'Piping W.L.'!P36+'Piping W.L.'!P37+'Piping W.L.'!P38+'Piping W.L.'!P39+'Piping W.L.'!P41+'Piping W.L.'!P42+'Piping W.L.'!P43+'Piping W.L.'!P44</f>
        <v>489.25462962962956</v>
      </c>
      <c r="M3" s="270">
        <f>'Piping W.L.'!Q36+'Piping W.L.'!Q37+'Piping W.L.'!Q38+'Piping W.L.'!Q39+'Piping W.L.'!Q41+'Piping W.L.'!Q42+'Piping W.L.'!Q43+'Piping W.L.'!Q44</f>
        <v>361.85185185185185</v>
      </c>
      <c r="N3" s="270">
        <f>'Piping W.L.'!R36+'Piping W.L.'!R37+'Piping W.L.'!R38+'Piping W.L.'!R39+'Piping W.L.'!R41+'Piping W.L.'!R42+'Piping W.L.'!R43+'Piping W.L.'!R44</f>
        <v>162.96296296296296</v>
      </c>
    </row>
    <row r="4" spans="2:14" ht="15.75" x14ac:dyDescent="0.25">
      <c r="B4" s="210" t="s">
        <v>211</v>
      </c>
      <c r="C4" s="210">
        <f>'Piping W.L.'!G46+'Piping W.L.'!G47+'Piping W.L.'!G48</f>
        <v>3</v>
      </c>
      <c r="D4" s="210">
        <f>'Piping W.L.'!H46+'Piping W.L.'!H47+'Piping W.L.'!H48</f>
        <v>7</v>
      </c>
      <c r="E4" s="210">
        <f>'Piping W.L.'!I46+'Piping W.L.'!I47+'Piping W.L.'!I48</f>
        <v>12</v>
      </c>
      <c r="F4" s="210">
        <f>'Piping W.L.'!J46+'Piping W.L.'!J47+'Piping W.L.'!J48</f>
        <v>17</v>
      </c>
      <c r="G4" s="210">
        <f>'Piping W.L.'!K46+'Piping W.L.'!K47+'Piping W.L.'!K48</f>
        <v>26</v>
      </c>
      <c r="H4" s="210">
        <f>'Piping W.L.'!L46+'Piping W.L.'!L47+'Piping W.L.'!L48</f>
        <v>26</v>
      </c>
      <c r="I4" s="210">
        <f>'Piping W.L.'!M46+'Piping W.L.'!M47+'Piping W.L.'!M48</f>
        <v>26</v>
      </c>
      <c r="J4" s="210">
        <f>'Piping W.L.'!N46+'Piping W.L.'!N47+'Piping W.L.'!N48</f>
        <v>24</v>
      </c>
      <c r="K4" s="210">
        <f>'Piping W.L.'!O46+'Piping W.L.'!O47+'Piping W.L.'!O48</f>
        <v>19</v>
      </c>
      <c r="L4" s="210">
        <f>'Piping W.L.'!P46+'Piping W.L.'!P47+'Piping W.L.'!P48</f>
        <v>12</v>
      </c>
      <c r="M4" s="210">
        <f>'Piping W.L.'!Q46+'Piping W.L.'!Q47+'Piping W.L.'!Q48</f>
        <v>7</v>
      </c>
      <c r="N4" s="210">
        <f>'Piping W.L.'!R46+'Piping W.L.'!R47+'Piping W.L.'!R48</f>
        <v>7</v>
      </c>
    </row>
    <row r="5" spans="2:14" ht="15.75" x14ac:dyDescent="0.25">
      <c r="B5" s="210" t="s">
        <v>212</v>
      </c>
      <c r="C5" s="219">
        <f>C3+C4</f>
        <v>55.777777777777779</v>
      </c>
      <c r="D5" s="219">
        <f t="shared" ref="D5:N5" si="0">D3+D4</f>
        <v>103.2962962962963</v>
      </c>
      <c r="E5" s="219">
        <f t="shared" si="0"/>
        <v>225.61111111111109</v>
      </c>
      <c r="F5" s="219">
        <f t="shared" si="0"/>
        <v>294.31481481481478</v>
      </c>
      <c r="G5" s="219">
        <f t="shared" si="0"/>
        <v>419.51851851851848</v>
      </c>
      <c r="H5" s="219">
        <f t="shared" si="0"/>
        <v>460.53703703703701</v>
      </c>
      <c r="I5" s="219">
        <f t="shared" si="0"/>
        <v>490.29629629629625</v>
      </c>
      <c r="J5" s="219">
        <f t="shared" si="0"/>
        <v>495.58333333333331</v>
      </c>
      <c r="K5" s="219">
        <f t="shared" si="0"/>
        <v>510.55555555555549</v>
      </c>
      <c r="L5" s="219">
        <f t="shared" si="0"/>
        <v>501.25462962962956</v>
      </c>
      <c r="M5" s="219">
        <f t="shared" si="0"/>
        <v>368.85185185185185</v>
      </c>
      <c r="N5" s="219">
        <f t="shared" si="0"/>
        <v>169.96296296296296</v>
      </c>
    </row>
    <row r="6" spans="2:14" ht="15.75" x14ac:dyDescent="0.25">
      <c r="B6" s="210" t="s">
        <v>208</v>
      </c>
      <c r="C6" s="219">
        <f>'Piping W.L.'!G8</f>
        <v>3800</v>
      </c>
      <c r="D6" s="219">
        <f>'Piping W.L.'!H8</f>
        <v>4800</v>
      </c>
      <c r="E6" s="219">
        <f>'Piping W.L.'!I8</f>
        <v>8100</v>
      </c>
      <c r="F6" s="219">
        <f>'Piping W.L.'!J8</f>
        <v>8500</v>
      </c>
      <c r="G6" s="219">
        <f>'Piping W.L.'!K8</f>
        <v>11000</v>
      </c>
      <c r="H6" s="219">
        <f>'Piping W.L.'!L8</f>
        <v>10700</v>
      </c>
      <c r="I6" s="219">
        <f>'Piping W.L.'!M8</f>
        <v>10000</v>
      </c>
      <c r="J6" s="219">
        <f>'Piping W.L.'!N8</f>
        <v>9050</v>
      </c>
      <c r="K6" s="219">
        <f>'Piping W.L.'!O8</f>
        <v>8600</v>
      </c>
      <c r="L6" s="219">
        <f>'Piping W.L.'!P8</f>
        <v>6293</v>
      </c>
      <c r="M6" s="219">
        <f>'Piping W.L.'!Q8</f>
        <v>0</v>
      </c>
      <c r="N6" s="219">
        <f>'Piping W.L.'!R8</f>
        <v>0</v>
      </c>
    </row>
    <row r="7" spans="2:14" x14ac:dyDescent="0.25">
      <c r="B7" s="268" t="s">
        <v>209</v>
      </c>
      <c r="C7" s="269">
        <f>'Piping W.L.'!G26</f>
        <v>0</v>
      </c>
      <c r="D7" s="269">
        <f>'Piping W.L.'!H26</f>
        <v>800</v>
      </c>
      <c r="E7" s="269">
        <f>'Piping W.L.'!I26</f>
        <v>2730</v>
      </c>
      <c r="F7" s="269">
        <f>'Piping W.L.'!J26</f>
        <v>4300</v>
      </c>
      <c r="G7" s="269">
        <f>'Piping W.L.'!K26</f>
        <v>6500</v>
      </c>
      <c r="H7" s="269">
        <f>'Piping W.L.'!L26</f>
        <v>7720</v>
      </c>
      <c r="I7" s="269">
        <f>'Piping W.L.'!M26</f>
        <v>8786</v>
      </c>
      <c r="J7" s="269">
        <f>'Piping W.L.'!N26</f>
        <v>9339</v>
      </c>
      <c r="K7" s="269">
        <f>'Piping W.L.'!O26</f>
        <v>10047</v>
      </c>
      <c r="L7" s="269">
        <f>'Piping W.L.'!P26</f>
        <v>10850</v>
      </c>
      <c r="M7" s="269">
        <f>'Piping W.L.'!Q26</f>
        <v>9770</v>
      </c>
      <c r="N7" s="269">
        <f>'Piping W.L.'!R26</f>
        <v>4400</v>
      </c>
    </row>
    <row r="8" spans="2:14" ht="68.25" customHeight="1" x14ac:dyDescent="0.25"/>
    <row r="9" spans="2:14" hidden="1" x14ac:dyDescent="0.25"/>
    <row r="13" spans="2:14" x14ac:dyDescent="0.25">
      <c r="B13" t="s">
        <v>184</v>
      </c>
    </row>
  </sheetData>
  <printOptions horizontalCentered="1"/>
  <pageMargins left="0.7" right="0.7" top="0.75" bottom="0.75" header="0.3" footer="0.3"/>
  <pageSetup paperSize="9" scale="63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A1:AK50"/>
  <sheetViews>
    <sheetView topLeftCell="A19" zoomScale="50" zoomScaleNormal="50" workbookViewId="0">
      <selection activeCell="B58" sqref="B58"/>
    </sheetView>
  </sheetViews>
  <sheetFormatPr defaultRowHeight="15" x14ac:dyDescent="0.25"/>
  <cols>
    <col min="2" max="2" width="87" customWidth="1"/>
    <col min="3" max="3" width="18.125" customWidth="1"/>
    <col min="4" max="4" width="18.875" customWidth="1"/>
    <col min="5" max="5" width="15.375" style="198" customWidth="1"/>
    <col min="6" max="6" width="22.875" customWidth="1"/>
    <col min="7" max="16" width="26.375" customWidth="1"/>
    <col min="17" max="17" width="17.875" customWidth="1"/>
    <col min="18" max="22" width="9.125" customWidth="1"/>
    <col min="24" max="25" width="9.125" customWidth="1"/>
  </cols>
  <sheetData>
    <row r="1" spans="1:25" ht="60" customHeight="1" x14ac:dyDescent="0.45">
      <c r="A1" s="346"/>
      <c r="B1" s="470" t="s">
        <v>149</v>
      </c>
      <c r="C1" s="470"/>
      <c r="D1" s="470"/>
      <c r="E1" s="470"/>
      <c r="F1" s="470"/>
      <c r="G1" s="470"/>
      <c r="H1" s="470"/>
      <c r="I1" s="470"/>
      <c r="J1" s="470"/>
      <c r="K1" s="470"/>
      <c r="L1" s="470"/>
      <c r="M1" s="470"/>
      <c r="N1" s="470"/>
      <c r="O1" s="470"/>
      <c r="P1" s="470"/>
      <c r="Q1" s="346"/>
      <c r="R1" s="346"/>
      <c r="S1" s="346"/>
      <c r="T1" s="346"/>
      <c r="U1" s="346"/>
      <c r="V1" s="346"/>
    </row>
    <row r="2" spans="1:25" ht="26.25" x14ac:dyDescent="0.25">
      <c r="A2" s="347"/>
      <c r="B2" s="471" t="s">
        <v>219</v>
      </c>
      <c r="C2" s="471"/>
      <c r="D2" s="471"/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P2" s="471"/>
      <c r="Q2" s="347"/>
      <c r="R2" s="347"/>
      <c r="S2" s="347"/>
      <c r="T2" s="347"/>
      <c r="U2" s="347"/>
      <c r="V2" s="347"/>
    </row>
    <row r="3" spans="1:25" ht="27" thickBot="1" x14ac:dyDescent="0.3">
      <c r="A3" s="205"/>
      <c r="B3" s="486" t="s">
        <v>150</v>
      </c>
      <c r="C3" s="485"/>
      <c r="D3" s="485"/>
      <c r="E3" s="485"/>
      <c r="F3" s="485"/>
      <c r="G3" s="485"/>
      <c r="H3" s="485"/>
      <c r="I3" s="485"/>
      <c r="J3" s="485"/>
      <c r="K3" s="485"/>
      <c r="L3" s="485"/>
      <c r="M3" s="485"/>
      <c r="N3" s="485"/>
      <c r="O3" s="216"/>
      <c r="P3" s="216"/>
      <c r="Q3" s="205"/>
      <c r="R3" s="205"/>
      <c r="S3" s="205"/>
      <c r="T3" s="205"/>
      <c r="U3" s="205"/>
      <c r="V3" s="205"/>
    </row>
    <row r="4" spans="1:25" ht="27" thickBot="1" x14ac:dyDescent="0.3">
      <c r="A4" s="205"/>
      <c r="B4" s="495" t="s">
        <v>143</v>
      </c>
      <c r="C4" s="497" t="s">
        <v>116</v>
      </c>
      <c r="D4" s="497" t="s">
        <v>118</v>
      </c>
      <c r="E4" s="503" t="s">
        <v>142</v>
      </c>
      <c r="F4" s="505" t="s">
        <v>213</v>
      </c>
      <c r="G4" s="325">
        <v>2022</v>
      </c>
      <c r="H4" s="507">
        <v>2023</v>
      </c>
      <c r="I4" s="508"/>
      <c r="J4" s="508"/>
      <c r="K4" s="508"/>
      <c r="L4" s="508"/>
      <c r="M4" s="508"/>
      <c r="N4" s="508"/>
      <c r="O4" s="508"/>
      <c r="P4" s="509"/>
      <c r="Q4" s="205"/>
      <c r="R4" s="205"/>
      <c r="S4" s="205"/>
      <c r="T4" s="205"/>
      <c r="U4" s="205"/>
      <c r="V4" s="205"/>
    </row>
    <row r="5" spans="1:25" ht="56.25" customHeight="1" thickBot="1" x14ac:dyDescent="0.3">
      <c r="B5" s="496"/>
      <c r="C5" s="498"/>
      <c r="D5" s="498"/>
      <c r="E5" s="504"/>
      <c r="F5" s="506"/>
      <c r="G5" s="326" t="s">
        <v>145</v>
      </c>
      <c r="H5" s="327" t="s">
        <v>146</v>
      </c>
      <c r="I5" s="328" t="s">
        <v>147</v>
      </c>
      <c r="J5" s="328" t="s">
        <v>148</v>
      </c>
      <c r="K5" s="328" t="s">
        <v>174</v>
      </c>
      <c r="L5" s="328" t="s">
        <v>175</v>
      </c>
      <c r="M5" s="328" t="s">
        <v>176</v>
      </c>
      <c r="N5" s="328" t="s">
        <v>177</v>
      </c>
      <c r="O5" s="328" t="s">
        <v>178</v>
      </c>
      <c r="P5" s="329" t="s">
        <v>179</v>
      </c>
      <c r="Q5" s="197"/>
    </row>
    <row r="6" spans="1:25" ht="33" customHeight="1" x14ac:dyDescent="0.25">
      <c r="A6">
        <v>166.3</v>
      </c>
      <c r="B6" s="290" t="str">
        <f>'Control sheet'!I371</f>
        <v>SWS S21-1 (ZP-16) (166.3 Tons)                                                 Priority 01</v>
      </c>
      <c r="C6" s="284">
        <f>'Control sheet'!J371</f>
        <v>44910</v>
      </c>
      <c r="D6" s="284">
        <f>'Control sheet'!K371</f>
        <v>45073</v>
      </c>
      <c r="E6" s="285">
        <f>D6-C6+1</f>
        <v>164</v>
      </c>
      <c r="F6" s="321">
        <f>SUM(G6:P6)</f>
        <v>166.3</v>
      </c>
      <c r="G6" s="322">
        <v>10.3</v>
      </c>
      <c r="H6" s="274">
        <v>30</v>
      </c>
      <c r="I6" s="274">
        <v>30</v>
      </c>
      <c r="J6" s="274">
        <v>30</v>
      </c>
      <c r="K6" s="274">
        <v>30</v>
      </c>
      <c r="L6" s="274">
        <v>36</v>
      </c>
      <c r="M6" s="274"/>
      <c r="N6" s="274"/>
      <c r="O6" s="274"/>
      <c r="P6" s="275"/>
      <c r="Q6" s="33"/>
      <c r="R6">
        <v>166.3</v>
      </c>
      <c r="S6">
        <f t="shared" ref="S6:S18" si="0">R6-F6</f>
        <v>0</v>
      </c>
      <c r="X6">
        <v>166</v>
      </c>
      <c r="Y6" s="33">
        <f t="shared" ref="Y6:Y18" si="1">X6-F6</f>
        <v>-0.30000000000001137</v>
      </c>
    </row>
    <row r="7" spans="1:25" ht="33" customHeight="1" x14ac:dyDescent="0.25">
      <c r="A7">
        <v>90</v>
      </c>
      <c r="B7" s="290" t="str">
        <f>'Control sheet'!I375</f>
        <v>R26-ZJ-020 (90 tons )                                                               Priority 01</v>
      </c>
      <c r="C7" s="286">
        <f>'Control sheet'!J375</f>
        <v>44916</v>
      </c>
      <c r="D7" s="286">
        <f>'Control sheet'!K375</f>
        <v>44951</v>
      </c>
      <c r="E7" s="287">
        <f t="shared" ref="E7:E17" si="2">D7-C7+1</f>
        <v>36</v>
      </c>
      <c r="F7" s="321">
        <f t="shared" ref="F7:F18" si="3">SUM(G7:P7)</f>
        <v>90</v>
      </c>
      <c r="G7" s="323">
        <v>15</v>
      </c>
      <c r="H7" s="274">
        <v>75</v>
      </c>
      <c r="I7" s="274"/>
      <c r="J7" s="274"/>
      <c r="K7" s="274"/>
      <c r="L7" s="276"/>
      <c r="M7" s="274"/>
      <c r="N7" s="274"/>
      <c r="O7" s="274"/>
      <c r="P7" s="275"/>
      <c r="Q7" s="33"/>
      <c r="R7">
        <v>90</v>
      </c>
      <c r="S7">
        <f t="shared" si="0"/>
        <v>0</v>
      </c>
      <c r="X7">
        <v>65</v>
      </c>
      <c r="Y7" s="33">
        <f t="shared" si="1"/>
        <v>-25</v>
      </c>
    </row>
    <row r="8" spans="1:25" ht="33" customHeight="1" x14ac:dyDescent="0.25">
      <c r="A8">
        <v>341</v>
      </c>
      <c r="B8" s="290" t="str">
        <f>'Control sheet'!I376</f>
        <v>R22-1 Pipe Rack ZJ-005 (341 tons)                                         Priority 02</v>
      </c>
      <c r="C8" s="286">
        <f>'Control sheet'!J376</f>
        <v>44915</v>
      </c>
      <c r="D8" s="286">
        <f>'Control sheet'!K376</f>
        <v>45008</v>
      </c>
      <c r="E8" s="287">
        <f t="shared" si="2"/>
        <v>94</v>
      </c>
      <c r="F8" s="321">
        <f t="shared" si="3"/>
        <v>341</v>
      </c>
      <c r="G8" s="323">
        <v>15</v>
      </c>
      <c r="H8" s="274">
        <v>100</v>
      </c>
      <c r="I8" s="274">
        <v>140</v>
      </c>
      <c r="J8" s="274">
        <v>86</v>
      </c>
      <c r="K8" s="274"/>
      <c r="L8" s="276"/>
      <c r="M8" s="274"/>
      <c r="N8" s="274"/>
      <c r="O8" s="274"/>
      <c r="P8" s="275"/>
      <c r="Q8" s="33"/>
      <c r="R8">
        <v>341</v>
      </c>
      <c r="S8">
        <f t="shared" si="0"/>
        <v>0</v>
      </c>
      <c r="X8">
        <v>341</v>
      </c>
      <c r="Y8" s="33">
        <f t="shared" si="1"/>
        <v>0</v>
      </c>
    </row>
    <row r="9" spans="1:25" ht="33" customHeight="1" x14ac:dyDescent="0.25">
      <c r="A9">
        <v>490</v>
      </c>
      <c r="B9" s="290" t="str">
        <f>'Control sheet'!I378</f>
        <v>B90 Pipe Rack ZJ-003 (490 tons)                                            Priority 03</v>
      </c>
      <c r="C9" s="286">
        <f>'Control sheet'!J378</f>
        <v>44941</v>
      </c>
      <c r="D9" s="286">
        <f>'Control sheet'!K378</f>
        <v>45061</v>
      </c>
      <c r="E9" s="287">
        <f t="shared" si="2"/>
        <v>121</v>
      </c>
      <c r="F9" s="321">
        <f t="shared" si="3"/>
        <v>490</v>
      </c>
      <c r="G9" s="324"/>
      <c r="H9" s="276">
        <v>80</v>
      </c>
      <c r="I9" s="274">
        <v>120</v>
      </c>
      <c r="J9" s="274">
        <v>150</v>
      </c>
      <c r="K9" s="274">
        <v>120</v>
      </c>
      <c r="L9" s="274">
        <v>20</v>
      </c>
      <c r="M9" s="274"/>
      <c r="N9" s="274"/>
      <c r="O9" s="274"/>
      <c r="P9" s="275"/>
      <c r="Q9" s="33"/>
      <c r="R9">
        <v>490</v>
      </c>
      <c r="S9">
        <f t="shared" si="0"/>
        <v>0</v>
      </c>
      <c r="X9">
        <v>490</v>
      </c>
      <c r="Y9" s="33">
        <f t="shared" si="1"/>
        <v>0</v>
      </c>
    </row>
    <row r="10" spans="1:25" ht="33" customHeight="1" x14ac:dyDescent="0.25">
      <c r="A10">
        <v>277</v>
      </c>
      <c r="B10" s="290" t="str">
        <f>'Control sheet'!I377</f>
        <v>R26-ZJ-020 (277 tons )                                                            Priority 01</v>
      </c>
      <c r="C10" s="286">
        <f>'Control sheet'!J377</f>
        <v>44952</v>
      </c>
      <c r="D10" s="286">
        <f>'Control sheet'!K377</f>
        <v>45046</v>
      </c>
      <c r="E10" s="287">
        <f t="shared" si="2"/>
        <v>95</v>
      </c>
      <c r="F10" s="321">
        <f t="shared" si="3"/>
        <v>277</v>
      </c>
      <c r="G10" s="324"/>
      <c r="H10" s="276">
        <v>48</v>
      </c>
      <c r="I10" s="274">
        <v>60</v>
      </c>
      <c r="J10" s="274">
        <v>109</v>
      </c>
      <c r="K10" s="274">
        <v>60</v>
      </c>
      <c r="L10" s="274"/>
      <c r="M10" s="274"/>
      <c r="N10" s="274"/>
      <c r="O10" s="274"/>
      <c r="P10" s="275"/>
      <c r="Q10" s="33"/>
      <c r="R10">
        <v>277</v>
      </c>
      <c r="S10">
        <f t="shared" si="0"/>
        <v>0</v>
      </c>
      <c r="X10">
        <v>277</v>
      </c>
      <c r="Y10" s="33">
        <f t="shared" si="1"/>
        <v>0</v>
      </c>
    </row>
    <row r="11" spans="1:25" ht="33" customHeight="1" x14ac:dyDescent="0.25">
      <c r="A11">
        <v>68.5</v>
      </c>
      <c r="B11" s="290" t="str">
        <f>'Control sheet'!I372</f>
        <v>SWS S21-2 ( ZJ-19) (68.5 Tons)                                                   Priority 01</v>
      </c>
      <c r="C11" s="286">
        <f>'Control sheet'!J372</f>
        <v>45040</v>
      </c>
      <c r="D11" s="286">
        <f>'Control sheet'!K372</f>
        <v>45087</v>
      </c>
      <c r="E11" s="287">
        <f t="shared" si="2"/>
        <v>48</v>
      </c>
      <c r="F11" s="321">
        <f t="shared" si="3"/>
        <v>68.5</v>
      </c>
      <c r="G11" s="324"/>
      <c r="H11" s="276"/>
      <c r="I11" s="274"/>
      <c r="J11" s="274"/>
      <c r="K11" s="276">
        <v>4.5</v>
      </c>
      <c r="L11" s="274">
        <v>49</v>
      </c>
      <c r="M11" s="278">
        <v>15</v>
      </c>
      <c r="N11" s="274"/>
      <c r="O11" s="274"/>
      <c r="P11" s="275"/>
      <c r="Q11" s="33"/>
      <c r="R11">
        <v>68.5</v>
      </c>
      <c r="S11">
        <f t="shared" si="0"/>
        <v>0</v>
      </c>
      <c r="X11">
        <v>68.5</v>
      </c>
      <c r="Y11" s="33">
        <f t="shared" si="1"/>
        <v>0</v>
      </c>
    </row>
    <row r="12" spans="1:25" ht="33" customHeight="1" x14ac:dyDescent="0.25">
      <c r="A12">
        <v>1560</v>
      </c>
      <c r="B12" s="290" t="str">
        <f>'Control sheet'!I381</f>
        <v>R28 ZJ-004  (1560 tons)                                                          Priority 01</v>
      </c>
      <c r="C12" s="288">
        <f>'Control sheet'!J381</f>
        <v>44951</v>
      </c>
      <c r="D12" s="288">
        <f>'Control sheet'!K381</f>
        <v>45106</v>
      </c>
      <c r="E12" s="287">
        <f t="shared" si="2"/>
        <v>156</v>
      </c>
      <c r="F12" s="321">
        <f t="shared" si="3"/>
        <v>1560</v>
      </c>
      <c r="G12" s="324"/>
      <c r="H12" s="276">
        <v>20</v>
      </c>
      <c r="I12" s="274">
        <v>160</v>
      </c>
      <c r="J12" s="274">
        <v>160</v>
      </c>
      <c r="K12" s="274">
        <v>170</v>
      </c>
      <c r="L12" s="274">
        <v>470</v>
      </c>
      <c r="M12" s="274">
        <v>580</v>
      </c>
      <c r="N12" s="274"/>
      <c r="O12" s="274"/>
      <c r="P12" s="275"/>
      <c r="Q12" s="33"/>
      <c r="R12">
        <v>1560</v>
      </c>
      <c r="S12">
        <f t="shared" si="0"/>
        <v>0</v>
      </c>
      <c r="T12">
        <f>R12+R13</f>
        <v>1726.3</v>
      </c>
      <c r="X12">
        <v>1565</v>
      </c>
      <c r="Y12" s="33">
        <f t="shared" si="1"/>
        <v>5</v>
      </c>
    </row>
    <row r="13" spans="1:25" ht="33" customHeight="1" x14ac:dyDescent="0.25">
      <c r="A13">
        <v>166.3</v>
      </c>
      <c r="B13" s="290" t="str">
        <f>'Control sheet'!I373</f>
        <v>SWS S21-2 ( ZP-17) (166.3 Tons)                                               Priority 01</v>
      </c>
      <c r="C13" s="288">
        <f>'Control sheet'!J373</f>
        <v>44959</v>
      </c>
      <c r="D13" s="288">
        <f>'Control sheet'!K373</f>
        <v>45111</v>
      </c>
      <c r="E13" s="287">
        <f t="shared" si="2"/>
        <v>153</v>
      </c>
      <c r="F13" s="321">
        <f t="shared" si="3"/>
        <v>166.3</v>
      </c>
      <c r="G13" s="324"/>
      <c r="H13" s="274"/>
      <c r="I13" s="274">
        <v>32.299999999999997</v>
      </c>
      <c r="J13" s="274">
        <v>30</v>
      </c>
      <c r="K13" s="274">
        <v>30</v>
      </c>
      <c r="L13" s="274">
        <v>31</v>
      </c>
      <c r="M13" s="274">
        <v>31</v>
      </c>
      <c r="N13" s="278">
        <v>12</v>
      </c>
      <c r="O13" s="278"/>
      <c r="P13" s="277"/>
      <c r="Q13" s="33"/>
      <c r="R13">
        <v>166.3</v>
      </c>
      <c r="S13">
        <f t="shared" si="0"/>
        <v>0</v>
      </c>
      <c r="X13">
        <v>166</v>
      </c>
      <c r="Y13" s="33">
        <f t="shared" si="1"/>
        <v>-0.30000000000001137</v>
      </c>
    </row>
    <row r="14" spans="1:25" ht="33" customHeight="1" x14ac:dyDescent="0.25">
      <c r="A14">
        <v>715</v>
      </c>
      <c r="B14" s="290" t="str">
        <f>'Control sheet'!I383</f>
        <v>U24 BOILER AREA (ZJ-006/007/012,  ZP-xx) (715 tons)       Priority 04</v>
      </c>
      <c r="C14" s="288">
        <f>'Control sheet'!J383</f>
        <v>44991</v>
      </c>
      <c r="D14" s="288">
        <f>'Control sheet'!K383</f>
        <v>45138</v>
      </c>
      <c r="E14" s="287">
        <f t="shared" si="2"/>
        <v>148</v>
      </c>
      <c r="F14" s="321">
        <f t="shared" si="3"/>
        <v>715</v>
      </c>
      <c r="G14" s="324"/>
      <c r="H14" s="274"/>
      <c r="I14" s="274"/>
      <c r="J14" s="274">
        <v>35</v>
      </c>
      <c r="K14" s="274">
        <v>90</v>
      </c>
      <c r="L14" s="274">
        <v>110</v>
      </c>
      <c r="M14" s="274">
        <v>110</v>
      </c>
      <c r="N14" s="274">
        <v>370</v>
      </c>
      <c r="O14" s="274"/>
      <c r="P14" s="275"/>
      <c r="Q14" s="33"/>
      <c r="R14">
        <v>715</v>
      </c>
      <c r="S14">
        <f t="shared" si="0"/>
        <v>0</v>
      </c>
      <c r="T14">
        <f>R14+R15</f>
        <v>777</v>
      </c>
      <c r="X14">
        <v>715</v>
      </c>
      <c r="Y14" s="33">
        <f t="shared" si="1"/>
        <v>0</v>
      </c>
    </row>
    <row r="15" spans="1:25" ht="33" customHeight="1" x14ac:dyDescent="0.25">
      <c r="A15">
        <v>62</v>
      </c>
      <c r="B15" s="290" t="str">
        <f>'Control sheet'!I386</f>
        <v>P22-2 Tanks (ZJ-08/010/11)  (62 tons)    (R28 ZJ-004  Area)      Priority 02</v>
      </c>
      <c r="C15" s="288">
        <f>'Control sheet'!J386</f>
        <v>45018</v>
      </c>
      <c r="D15" s="288">
        <f>'Control sheet'!K386</f>
        <v>45059</v>
      </c>
      <c r="E15" s="287">
        <f t="shared" si="2"/>
        <v>42</v>
      </c>
      <c r="F15" s="321">
        <f t="shared" si="3"/>
        <v>62</v>
      </c>
      <c r="G15" s="324"/>
      <c r="H15" s="274"/>
      <c r="I15" s="274"/>
      <c r="J15" s="276"/>
      <c r="K15" s="274">
        <v>45</v>
      </c>
      <c r="L15" s="278">
        <v>17</v>
      </c>
      <c r="M15" s="274"/>
      <c r="N15" s="274"/>
      <c r="O15" s="274"/>
      <c r="P15" s="275"/>
      <c r="Q15" s="33"/>
      <c r="R15">
        <v>62</v>
      </c>
      <c r="S15">
        <f t="shared" si="0"/>
        <v>0</v>
      </c>
      <c r="X15">
        <v>62</v>
      </c>
      <c r="Y15" s="33">
        <f t="shared" si="1"/>
        <v>0</v>
      </c>
    </row>
    <row r="16" spans="1:25" ht="33" customHeight="1" x14ac:dyDescent="0.25">
      <c r="A16">
        <v>100</v>
      </c>
      <c r="B16" s="290" t="str">
        <f>'Control sheet'!I387</f>
        <v>P22-2 Tanks (ZJ-08/010/11) (100 tons)                                   Priority 02</v>
      </c>
      <c r="C16" s="288">
        <f>'Control sheet'!J387</f>
        <v>45118</v>
      </c>
      <c r="D16" s="288">
        <f>'Control sheet'!K387</f>
        <v>45187</v>
      </c>
      <c r="E16" s="287"/>
      <c r="F16" s="321">
        <f t="shared" si="3"/>
        <v>100</v>
      </c>
      <c r="G16" s="324"/>
      <c r="H16" s="274"/>
      <c r="I16" s="274"/>
      <c r="J16" s="276"/>
      <c r="K16" s="274"/>
      <c r="L16" s="274"/>
      <c r="M16" s="274"/>
      <c r="N16" s="274">
        <v>15</v>
      </c>
      <c r="O16" s="274">
        <v>50</v>
      </c>
      <c r="P16" s="275">
        <v>35</v>
      </c>
      <c r="Q16" s="33"/>
      <c r="R16">
        <v>100</v>
      </c>
      <c r="S16">
        <f t="shared" si="0"/>
        <v>0</v>
      </c>
      <c r="X16">
        <v>162</v>
      </c>
      <c r="Y16" s="33"/>
    </row>
    <row r="17" spans="1:37" ht="33" customHeight="1" x14ac:dyDescent="0.25">
      <c r="A17">
        <v>93</v>
      </c>
      <c r="B17" s="290" t="str">
        <f>'Control sheet'!I379</f>
        <v>F23 LLP Flare P/R ZJ-040 (93 tons)                                        Priority 03</v>
      </c>
      <c r="C17" s="286">
        <f>'Control sheet'!J379</f>
        <v>45041</v>
      </c>
      <c r="D17" s="286">
        <f>'Control sheet'!K379</f>
        <v>45078</v>
      </c>
      <c r="E17" s="287">
        <f t="shared" si="2"/>
        <v>38</v>
      </c>
      <c r="F17" s="321">
        <f t="shared" si="3"/>
        <v>93</v>
      </c>
      <c r="G17" s="324"/>
      <c r="H17" s="274"/>
      <c r="I17" s="274"/>
      <c r="J17" s="274"/>
      <c r="K17" s="276">
        <v>30</v>
      </c>
      <c r="L17" s="274">
        <v>60</v>
      </c>
      <c r="M17" s="278">
        <v>3</v>
      </c>
      <c r="N17" s="274"/>
      <c r="O17" s="274"/>
      <c r="P17" s="275"/>
      <c r="Q17" s="33"/>
      <c r="R17">
        <v>93</v>
      </c>
      <c r="S17">
        <f t="shared" si="0"/>
        <v>0</v>
      </c>
      <c r="X17">
        <v>93</v>
      </c>
      <c r="Y17" s="33">
        <f t="shared" si="1"/>
        <v>0</v>
      </c>
    </row>
    <row r="18" spans="1:37" ht="33" customHeight="1" thickBot="1" x14ac:dyDescent="0.3">
      <c r="A18">
        <v>130</v>
      </c>
      <c r="B18" s="350" t="str">
        <f>'Control sheet'!I380</f>
        <v>OTHER (Shelter,  Inj Pump PR, support misc) (130 tons)          Priority 04</v>
      </c>
      <c r="C18" s="351">
        <f>'Control sheet'!J380</f>
        <v>45041</v>
      </c>
      <c r="D18" s="351">
        <f>'Control sheet'!K380</f>
        <v>45092</v>
      </c>
      <c r="E18" s="298">
        <f>D18-C18+1</f>
        <v>52</v>
      </c>
      <c r="F18" s="352">
        <f t="shared" si="3"/>
        <v>130</v>
      </c>
      <c r="G18" s="324"/>
      <c r="H18" s="274"/>
      <c r="I18" s="274"/>
      <c r="J18" s="274"/>
      <c r="K18" s="276">
        <v>20</v>
      </c>
      <c r="L18" s="274">
        <v>50</v>
      </c>
      <c r="M18" s="278">
        <v>60</v>
      </c>
      <c r="N18" s="274"/>
      <c r="O18" s="274"/>
      <c r="P18" s="275"/>
      <c r="Q18" s="33"/>
      <c r="R18">
        <v>130</v>
      </c>
      <c r="S18">
        <f t="shared" si="0"/>
        <v>0</v>
      </c>
      <c r="X18">
        <v>130</v>
      </c>
      <c r="Y18" s="33">
        <f t="shared" si="1"/>
        <v>0</v>
      </c>
    </row>
    <row r="19" spans="1:37" ht="18.75" x14ac:dyDescent="0.25">
      <c r="B19" s="353" t="s">
        <v>187</v>
      </c>
      <c r="C19" s="354"/>
      <c r="D19" s="354"/>
      <c r="E19" s="354"/>
      <c r="F19" s="354">
        <f t="shared" ref="F19" si="4">SUM(G19:N19)</f>
        <v>4174.1000000000004</v>
      </c>
      <c r="G19" s="354">
        <f>SUM(G6:G18)</f>
        <v>40.299999999999997</v>
      </c>
      <c r="H19" s="354">
        <f t="shared" ref="H19:N19" si="5">SUM(H6:H18)</f>
        <v>353</v>
      </c>
      <c r="I19" s="354">
        <f t="shared" si="5"/>
        <v>542.29999999999995</v>
      </c>
      <c r="J19" s="354">
        <f t="shared" si="5"/>
        <v>600</v>
      </c>
      <c r="K19" s="354">
        <f t="shared" si="5"/>
        <v>599.5</v>
      </c>
      <c r="L19" s="354">
        <f t="shared" si="5"/>
        <v>843</v>
      </c>
      <c r="M19" s="354">
        <f t="shared" si="5"/>
        <v>799</v>
      </c>
      <c r="N19" s="354">
        <f t="shared" si="5"/>
        <v>397</v>
      </c>
      <c r="O19" s="354">
        <f t="shared" ref="O19:P19" si="6">SUM(O6:O18)</f>
        <v>50</v>
      </c>
      <c r="P19" s="355">
        <f t="shared" si="6"/>
        <v>35</v>
      </c>
    </row>
    <row r="20" spans="1:37" ht="18.75" x14ac:dyDescent="0.25">
      <c r="B20" s="272" t="s">
        <v>218</v>
      </c>
      <c r="C20" s="279"/>
      <c r="D20" s="279"/>
      <c r="E20" s="279"/>
      <c r="F20" s="279"/>
      <c r="G20" s="279">
        <f>G19</f>
        <v>40.299999999999997</v>
      </c>
      <c r="H20" s="279">
        <f t="shared" ref="H20:P20" si="7">H19+G20</f>
        <v>393.3</v>
      </c>
      <c r="I20" s="279">
        <f t="shared" si="7"/>
        <v>935.59999999999991</v>
      </c>
      <c r="J20" s="279">
        <f t="shared" si="7"/>
        <v>1535.6</v>
      </c>
      <c r="K20" s="279">
        <f t="shared" si="7"/>
        <v>2135.1</v>
      </c>
      <c r="L20" s="279">
        <f t="shared" si="7"/>
        <v>2978.1</v>
      </c>
      <c r="M20" s="279">
        <f t="shared" si="7"/>
        <v>3777.1</v>
      </c>
      <c r="N20" s="279">
        <f t="shared" si="7"/>
        <v>4174.1000000000004</v>
      </c>
      <c r="O20" s="279">
        <f t="shared" si="7"/>
        <v>4224.1000000000004</v>
      </c>
      <c r="P20" s="280">
        <f t="shared" si="7"/>
        <v>4259.1000000000004</v>
      </c>
    </row>
    <row r="21" spans="1:37" ht="18.75" x14ac:dyDescent="0.25">
      <c r="B21" s="272" t="s">
        <v>188</v>
      </c>
      <c r="C21" s="279"/>
      <c r="D21" s="279"/>
      <c r="E21" s="279"/>
      <c r="F21" s="279"/>
      <c r="G21" s="279">
        <f>G19/4</f>
        <v>10.074999999999999</v>
      </c>
      <c r="H21" s="279">
        <f t="shared" ref="H21:N21" si="8">H19/4</f>
        <v>88.25</v>
      </c>
      <c r="I21" s="279">
        <f t="shared" si="8"/>
        <v>135.57499999999999</v>
      </c>
      <c r="J21" s="279">
        <f t="shared" si="8"/>
        <v>150</v>
      </c>
      <c r="K21" s="279">
        <f t="shared" si="8"/>
        <v>149.875</v>
      </c>
      <c r="L21" s="279">
        <f t="shared" si="8"/>
        <v>210.75</v>
      </c>
      <c r="M21" s="279">
        <f t="shared" si="8"/>
        <v>199.75</v>
      </c>
      <c r="N21" s="279">
        <f t="shared" si="8"/>
        <v>99.25</v>
      </c>
      <c r="O21" s="279">
        <f t="shared" ref="O21:P21" si="9">O19/4</f>
        <v>12.5</v>
      </c>
      <c r="P21" s="280">
        <f t="shared" si="9"/>
        <v>8.75</v>
      </c>
    </row>
    <row r="22" spans="1:37" ht="18.75" x14ac:dyDescent="0.25">
      <c r="B22" s="272" t="s">
        <v>189</v>
      </c>
      <c r="C22" s="279"/>
      <c r="D22" s="279"/>
      <c r="E22" s="279"/>
      <c r="F22" s="279"/>
      <c r="G22" s="279">
        <f>G21/6</f>
        <v>1.6791666666666665</v>
      </c>
      <c r="H22" s="279">
        <f t="shared" ref="H22:N22" si="10">H21/6</f>
        <v>14.708333333333334</v>
      </c>
      <c r="I22" s="279">
        <f t="shared" si="10"/>
        <v>22.595833333333331</v>
      </c>
      <c r="J22" s="279">
        <f t="shared" si="10"/>
        <v>25</v>
      </c>
      <c r="K22" s="279">
        <f t="shared" si="10"/>
        <v>24.979166666666668</v>
      </c>
      <c r="L22" s="279">
        <f t="shared" si="10"/>
        <v>35.125</v>
      </c>
      <c r="M22" s="279">
        <f t="shared" si="10"/>
        <v>33.291666666666664</v>
      </c>
      <c r="N22" s="279">
        <f t="shared" si="10"/>
        <v>16.541666666666668</v>
      </c>
      <c r="O22" s="279">
        <f t="shared" ref="O22:P22" si="11">O21/6</f>
        <v>2.0833333333333335</v>
      </c>
      <c r="P22" s="280">
        <f t="shared" si="11"/>
        <v>1.4583333333333333</v>
      </c>
      <c r="Q22" s="33"/>
      <c r="R22" s="33">
        <f>SUM(R6:R18)</f>
        <v>4259.1000000000004</v>
      </c>
    </row>
    <row r="23" spans="1:37" ht="24" customHeight="1" thickBot="1" x14ac:dyDescent="0.3">
      <c r="B23" s="273" t="s">
        <v>186</v>
      </c>
      <c r="C23" s="282"/>
      <c r="D23" s="282"/>
      <c r="E23" s="282"/>
      <c r="F23" s="289" t="s">
        <v>214</v>
      </c>
      <c r="G23" s="281">
        <v>1</v>
      </c>
      <c r="H23" s="281">
        <v>5</v>
      </c>
      <c r="I23" s="281">
        <v>8</v>
      </c>
      <c r="J23" s="281">
        <v>9</v>
      </c>
      <c r="K23" s="281">
        <v>9</v>
      </c>
      <c r="L23" s="281">
        <v>12</v>
      </c>
      <c r="M23" s="281">
        <v>12</v>
      </c>
      <c r="N23" s="281">
        <v>6</v>
      </c>
      <c r="O23" s="281">
        <v>2</v>
      </c>
      <c r="P23" s="283">
        <v>1</v>
      </c>
    </row>
    <row r="24" spans="1:37" ht="34.5" customHeight="1" x14ac:dyDescent="0.25"/>
    <row r="25" spans="1:37" ht="34.5" customHeight="1" x14ac:dyDescent="0.25"/>
    <row r="26" spans="1:37" ht="18" customHeight="1" x14ac:dyDescent="0.25">
      <c r="B26" s="218"/>
      <c r="C26" s="493" t="s">
        <v>205</v>
      </c>
      <c r="D26" s="494"/>
      <c r="E26" s="309"/>
      <c r="F26" s="309"/>
      <c r="G26" s="309"/>
      <c r="H26" s="309"/>
      <c r="I26" s="309"/>
      <c r="J26" s="309"/>
      <c r="K26" s="309"/>
      <c r="L26" s="309"/>
      <c r="M26" s="309"/>
      <c r="N26" s="302"/>
      <c r="O26" s="302"/>
      <c r="P26" s="302"/>
      <c r="Q26" s="222"/>
      <c r="R26" s="222"/>
      <c r="S26" s="222"/>
      <c r="T26" s="223"/>
      <c r="U26" s="223"/>
      <c r="V26" s="223"/>
      <c r="W26" s="223"/>
      <c r="X26" s="223"/>
      <c r="Y26" s="223"/>
      <c r="Z26" s="223"/>
      <c r="AA26" s="223"/>
      <c r="AB26" s="223"/>
      <c r="AC26" s="223"/>
      <c r="AD26" s="223"/>
      <c r="AE26" s="223"/>
      <c r="AF26" s="223"/>
      <c r="AG26" s="223"/>
      <c r="AH26" s="223"/>
      <c r="AI26" s="223"/>
      <c r="AJ26" s="223"/>
      <c r="AK26" s="223"/>
    </row>
    <row r="27" spans="1:37" ht="18" customHeight="1" x14ac:dyDescent="0.25">
      <c r="B27" s="218"/>
      <c r="C27" s="501" t="s">
        <v>217</v>
      </c>
      <c r="D27" s="502"/>
      <c r="E27" s="310"/>
      <c r="F27" s="291" t="s">
        <v>197</v>
      </c>
      <c r="G27" s="300"/>
      <c r="H27" s="300"/>
      <c r="I27" s="300"/>
      <c r="J27" s="300"/>
      <c r="K27" s="300"/>
      <c r="L27" s="300"/>
      <c r="M27" s="300"/>
      <c r="N27" s="311"/>
      <c r="O27" s="311"/>
      <c r="P27" s="311"/>
      <c r="Q27" s="199"/>
      <c r="R27" s="199"/>
      <c r="S27" s="199"/>
      <c r="T27" s="199"/>
      <c r="U27" s="199"/>
      <c r="V27" s="199"/>
      <c r="W27" s="199"/>
      <c r="X27" s="199"/>
      <c r="Y27" s="199"/>
      <c r="Z27" s="199"/>
      <c r="AA27" s="199"/>
      <c r="AB27" s="199"/>
      <c r="AC27" s="199"/>
      <c r="AD27" s="199"/>
      <c r="AE27" s="199"/>
      <c r="AF27" s="199"/>
      <c r="AG27" s="199"/>
      <c r="AH27" s="199"/>
      <c r="AI27" s="199"/>
      <c r="AJ27" s="199"/>
      <c r="AK27" s="199"/>
    </row>
    <row r="28" spans="1:37" ht="18" customHeight="1" x14ac:dyDescent="0.3">
      <c r="B28" s="218"/>
      <c r="C28" s="312"/>
      <c r="D28" s="491" t="s">
        <v>135</v>
      </c>
      <c r="E28" s="492"/>
      <c r="F28" s="285">
        <v>1</v>
      </c>
      <c r="G28" s="295">
        <f>G23*$F$28</f>
        <v>1</v>
      </c>
      <c r="H28" s="295">
        <f t="shared" ref="H28:N28" si="12">H23*$F$28</f>
        <v>5</v>
      </c>
      <c r="I28" s="295">
        <f t="shared" si="12"/>
        <v>8</v>
      </c>
      <c r="J28" s="295">
        <f t="shared" si="12"/>
        <v>9</v>
      </c>
      <c r="K28" s="295">
        <f t="shared" si="12"/>
        <v>9</v>
      </c>
      <c r="L28" s="295">
        <f t="shared" si="12"/>
        <v>12</v>
      </c>
      <c r="M28" s="295">
        <f t="shared" si="12"/>
        <v>12</v>
      </c>
      <c r="N28" s="295">
        <f t="shared" si="12"/>
        <v>6</v>
      </c>
      <c r="O28" s="295">
        <f t="shared" ref="O28:P28" si="13">O23*$F$28</f>
        <v>2</v>
      </c>
      <c r="P28" s="295">
        <f t="shared" si="13"/>
        <v>1</v>
      </c>
      <c r="Q28" s="223"/>
      <c r="R28" s="223"/>
      <c r="S28" s="223"/>
      <c r="T28" s="223"/>
      <c r="U28" s="223"/>
      <c r="V28" s="223"/>
      <c r="W28" s="223"/>
      <c r="X28" s="223"/>
      <c r="Y28" s="223"/>
      <c r="Z28" s="223"/>
      <c r="AA28" s="223"/>
      <c r="AB28" s="223"/>
      <c r="AC28" s="223"/>
      <c r="AD28" s="223"/>
      <c r="AE28" s="223"/>
      <c r="AF28" s="223"/>
      <c r="AG28" s="223"/>
      <c r="AH28" s="223"/>
      <c r="AI28" s="223"/>
      <c r="AJ28" s="223"/>
      <c r="AK28" s="223"/>
    </row>
    <row r="29" spans="1:37" ht="18" customHeight="1" x14ac:dyDescent="0.3">
      <c r="B29" s="218"/>
      <c r="C29" s="312"/>
      <c r="D29" s="491" t="s">
        <v>138</v>
      </c>
      <c r="E29" s="492"/>
      <c r="F29" s="287">
        <v>1</v>
      </c>
      <c r="G29" s="296">
        <f>G28</f>
        <v>1</v>
      </c>
      <c r="H29" s="296">
        <f t="shared" ref="H29:N29" si="14">H28</f>
        <v>5</v>
      </c>
      <c r="I29" s="296">
        <f t="shared" si="14"/>
        <v>8</v>
      </c>
      <c r="J29" s="296">
        <f t="shared" si="14"/>
        <v>9</v>
      </c>
      <c r="K29" s="296">
        <f t="shared" si="14"/>
        <v>9</v>
      </c>
      <c r="L29" s="296">
        <f t="shared" si="14"/>
        <v>12</v>
      </c>
      <c r="M29" s="296">
        <f t="shared" si="14"/>
        <v>12</v>
      </c>
      <c r="N29" s="296">
        <f t="shared" si="14"/>
        <v>6</v>
      </c>
      <c r="O29" s="296">
        <f t="shared" ref="O29:P29" si="15">O28</f>
        <v>2</v>
      </c>
      <c r="P29" s="296">
        <f t="shared" si="15"/>
        <v>1</v>
      </c>
      <c r="Q29" s="223"/>
      <c r="R29" s="223"/>
      <c r="S29" s="223"/>
      <c r="T29" s="223"/>
      <c r="U29" s="223"/>
      <c r="V29" s="223"/>
      <c r="W29" s="223"/>
      <c r="X29" s="223"/>
      <c r="Y29" s="223"/>
      <c r="Z29" s="223"/>
      <c r="AA29" s="223"/>
      <c r="AB29" s="223"/>
      <c r="AC29" s="223"/>
      <c r="AD29" s="223"/>
      <c r="AE29" s="223"/>
      <c r="AF29" s="223"/>
      <c r="AG29" s="223"/>
      <c r="AH29" s="223"/>
      <c r="AI29" s="223"/>
      <c r="AJ29" s="223"/>
      <c r="AK29" s="223"/>
    </row>
    <row r="30" spans="1:37" ht="18" customHeight="1" x14ac:dyDescent="0.3">
      <c r="B30" s="218"/>
      <c r="C30" s="312"/>
      <c r="D30" s="491" t="s">
        <v>192</v>
      </c>
      <c r="E30" s="492"/>
      <c r="F30" s="287">
        <v>2</v>
      </c>
      <c r="G30" s="297">
        <f>G28*2</f>
        <v>2</v>
      </c>
      <c r="H30" s="297">
        <f t="shared" ref="H30:N30" si="16">H28*2</f>
        <v>10</v>
      </c>
      <c r="I30" s="297">
        <f t="shared" si="16"/>
        <v>16</v>
      </c>
      <c r="J30" s="297">
        <f t="shared" si="16"/>
        <v>18</v>
      </c>
      <c r="K30" s="297">
        <f t="shared" si="16"/>
        <v>18</v>
      </c>
      <c r="L30" s="297">
        <f t="shared" si="16"/>
        <v>24</v>
      </c>
      <c r="M30" s="297">
        <f t="shared" si="16"/>
        <v>24</v>
      </c>
      <c r="N30" s="297">
        <f t="shared" si="16"/>
        <v>12</v>
      </c>
      <c r="O30" s="297">
        <f t="shared" ref="O30:P30" si="17">O28*2</f>
        <v>4</v>
      </c>
      <c r="P30" s="297">
        <f t="shared" si="17"/>
        <v>2</v>
      </c>
      <c r="Q30" s="199"/>
      <c r="R30" s="199"/>
      <c r="S30" s="199"/>
      <c r="T30" s="199"/>
      <c r="U30" s="199"/>
      <c r="V30" s="199"/>
      <c r="W30" s="199"/>
      <c r="X30" s="199"/>
      <c r="Y30" s="199"/>
      <c r="Z30" s="199"/>
      <c r="AA30" s="199"/>
      <c r="AB30" s="199"/>
      <c r="AC30" s="199"/>
      <c r="AD30" s="199"/>
      <c r="AE30" s="199"/>
      <c r="AF30" s="199"/>
      <c r="AG30" s="199"/>
      <c r="AH30" s="199"/>
      <c r="AI30" s="199"/>
      <c r="AJ30" s="199"/>
      <c r="AK30" s="199"/>
    </row>
    <row r="31" spans="1:37" ht="18" customHeight="1" x14ac:dyDescent="0.3">
      <c r="B31" s="218"/>
      <c r="C31" s="312"/>
      <c r="D31" s="491" t="s">
        <v>193</v>
      </c>
      <c r="E31" s="492"/>
      <c r="F31" s="298">
        <v>3</v>
      </c>
      <c r="G31" s="299">
        <f>G28*3</f>
        <v>3</v>
      </c>
      <c r="H31" s="299">
        <f t="shared" ref="H31:N31" si="18">H28*3</f>
        <v>15</v>
      </c>
      <c r="I31" s="299">
        <f t="shared" si="18"/>
        <v>24</v>
      </c>
      <c r="J31" s="313">
        <f t="shared" si="18"/>
        <v>27</v>
      </c>
      <c r="K31" s="299">
        <f t="shared" si="18"/>
        <v>27</v>
      </c>
      <c r="L31" s="299">
        <f t="shared" si="18"/>
        <v>36</v>
      </c>
      <c r="M31" s="299">
        <f t="shared" si="18"/>
        <v>36</v>
      </c>
      <c r="N31" s="299">
        <f t="shared" si="18"/>
        <v>18</v>
      </c>
      <c r="O31" s="299">
        <f t="shared" ref="O31:P31" si="19">O28*3</f>
        <v>6</v>
      </c>
      <c r="P31" s="299">
        <f t="shared" si="19"/>
        <v>3</v>
      </c>
      <c r="Q31" s="227"/>
      <c r="R31" s="227"/>
      <c r="S31" s="227"/>
    </row>
    <row r="32" spans="1:37" ht="18" customHeight="1" x14ac:dyDescent="0.25">
      <c r="B32" s="218"/>
      <c r="C32" s="499" t="s">
        <v>202</v>
      </c>
      <c r="D32" s="500"/>
      <c r="E32" s="303"/>
      <c r="F32" s="302" t="s">
        <v>197</v>
      </c>
      <c r="G32" s="303"/>
      <c r="H32" s="303"/>
      <c r="I32" s="303"/>
      <c r="J32" s="303"/>
      <c r="K32" s="303"/>
      <c r="L32" s="303"/>
      <c r="M32" s="303"/>
      <c r="N32" s="302"/>
      <c r="O32" s="302"/>
      <c r="P32" s="302"/>
      <c r="Q32" s="222"/>
      <c r="R32" s="222"/>
      <c r="S32" s="222"/>
    </row>
    <row r="33" spans="2:19" ht="18" customHeight="1" x14ac:dyDescent="0.3">
      <c r="B33" s="218"/>
      <c r="C33" s="312"/>
      <c r="D33" s="491" t="s">
        <v>199</v>
      </c>
      <c r="E33" s="492"/>
      <c r="F33" s="305"/>
      <c r="G33" s="306">
        <v>2</v>
      </c>
      <c r="H33" s="306">
        <v>4</v>
      </c>
      <c r="I33" s="306">
        <v>5</v>
      </c>
      <c r="J33" s="306">
        <v>6</v>
      </c>
      <c r="K33" s="306">
        <v>6</v>
      </c>
      <c r="L33" s="306">
        <v>6</v>
      </c>
      <c r="M33" s="314">
        <v>3</v>
      </c>
      <c r="N33" s="308">
        <v>2</v>
      </c>
      <c r="O33" s="308">
        <v>2</v>
      </c>
      <c r="P33" s="308">
        <v>2</v>
      </c>
      <c r="Q33" s="227"/>
      <c r="R33" s="227"/>
      <c r="S33" s="227"/>
    </row>
    <row r="34" spans="2:19" ht="18" customHeight="1" x14ac:dyDescent="0.3">
      <c r="B34" s="218"/>
      <c r="C34" s="312"/>
      <c r="D34" s="491" t="s">
        <v>200</v>
      </c>
      <c r="E34" s="492"/>
      <c r="F34" s="307"/>
      <c r="G34" s="308">
        <v>3</v>
      </c>
      <c r="H34" s="308">
        <v>3</v>
      </c>
      <c r="I34" s="308">
        <v>4</v>
      </c>
      <c r="J34" s="308">
        <v>8</v>
      </c>
      <c r="K34" s="308">
        <v>8</v>
      </c>
      <c r="L34" s="308">
        <v>8</v>
      </c>
      <c r="M34" s="315">
        <v>5</v>
      </c>
      <c r="N34" s="308">
        <v>4</v>
      </c>
      <c r="O34" s="308">
        <v>4</v>
      </c>
      <c r="P34" s="308">
        <v>4</v>
      </c>
      <c r="Q34" s="227"/>
      <c r="R34" s="227"/>
      <c r="S34" s="227"/>
    </row>
    <row r="35" spans="2:19" ht="18" customHeight="1" x14ac:dyDescent="0.3">
      <c r="B35" s="218"/>
      <c r="C35" s="312"/>
      <c r="D35" s="491" t="s">
        <v>201</v>
      </c>
      <c r="E35" s="492"/>
      <c r="F35" s="307"/>
      <c r="G35" s="287">
        <v>3</v>
      </c>
      <c r="H35" s="287">
        <v>5</v>
      </c>
      <c r="I35" s="287">
        <v>5</v>
      </c>
      <c r="J35" s="287">
        <v>6</v>
      </c>
      <c r="K35" s="287">
        <v>6</v>
      </c>
      <c r="L35" s="287">
        <v>6</v>
      </c>
      <c r="M35" s="316">
        <v>3</v>
      </c>
      <c r="N35" s="287">
        <v>2</v>
      </c>
      <c r="O35" s="287">
        <v>2</v>
      </c>
      <c r="P35" s="287">
        <v>2</v>
      </c>
      <c r="Q35" s="198"/>
      <c r="R35" s="198"/>
      <c r="S35" s="198"/>
    </row>
    <row r="36" spans="2:19" ht="18" customHeight="1" x14ac:dyDescent="0.25">
      <c r="B36" s="218"/>
      <c r="C36" s="317" t="s">
        <v>207</v>
      </c>
      <c r="D36" s="318"/>
      <c r="E36" s="318"/>
      <c r="F36" s="303"/>
      <c r="G36" s="303"/>
      <c r="H36" s="303"/>
      <c r="I36" s="303"/>
      <c r="J36" s="303"/>
      <c r="K36" s="303"/>
      <c r="L36" s="303"/>
      <c r="M36" s="303"/>
      <c r="N36" s="302"/>
      <c r="O36" s="302"/>
      <c r="P36" s="302"/>
      <c r="Q36" s="222"/>
      <c r="R36" s="222"/>
      <c r="S36" s="222"/>
    </row>
    <row r="37" spans="2:19" ht="18" customHeight="1" x14ac:dyDescent="0.3">
      <c r="B37" s="218"/>
      <c r="C37" s="312"/>
      <c r="D37" s="491" t="s">
        <v>135</v>
      </c>
      <c r="E37" s="492"/>
      <c r="F37" s="308"/>
      <c r="G37" s="296">
        <f>G28*1.3</f>
        <v>1.3</v>
      </c>
      <c r="H37" s="296">
        <f t="shared" ref="H37:N37" si="20">H28*1.3</f>
        <v>6.5</v>
      </c>
      <c r="I37" s="296">
        <f t="shared" si="20"/>
        <v>10.4</v>
      </c>
      <c r="J37" s="296">
        <f t="shared" si="20"/>
        <v>11.700000000000001</v>
      </c>
      <c r="K37" s="296">
        <f t="shared" si="20"/>
        <v>11.700000000000001</v>
      </c>
      <c r="L37" s="296">
        <f t="shared" si="20"/>
        <v>15.600000000000001</v>
      </c>
      <c r="M37" s="296">
        <f t="shared" si="20"/>
        <v>15.600000000000001</v>
      </c>
      <c r="N37" s="296">
        <f t="shared" si="20"/>
        <v>7.8000000000000007</v>
      </c>
      <c r="O37" s="296">
        <f t="shared" ref="O37:P37" si="21">O28*1.3</f>
        <v>2.6</v>
      </c>
      <c r="P37" s="296">
        <f t="shared" si="21"/>
        <v>1.3</v>
      </c>
      <c r="Q37" s="267"/>
      <c r="R37" s="267"/>
      <c r="S37" s="267"/>
    </row>
    <row r="38" spans="2:19" ht="18" customHeight="1" x14ac:dyDescent="0.3">
      <c r="B38" s="218"/>
      <c r="C38" s="312"/>
      <c r="D38" s="491" t="s">
        <v>138</v>
      </c>
      <c r="E38" s="492"/>
      <c r="F38" s="308"/>
      <c r="G38" s="296">
        <f>G29*1.3</f>
        <v>1.3</v>
      </c>
      <c r="H38" s="296">
        <f t="shared" ref="H38:N38" si="22">H29*1.3</f>
        <v>6.5</v>
      </c>
      <c r="I38" s="296">
        <f t="shared" si="22"/>
        <v>10.4</v>
      </c>
      <c r="J38" s="296">
        <f t="shared" si="22"/>
        <v>11.700000000000001</v>
      </c>
      <c r="K38" s="296">
        <f t="shared" si="22"/>
        <v>11.700000000000001</v>
      </c>
      <c r="L38" s="296">
        <f t="shared" si="22"/>
        <v>15.600000000000001</v>
      </c>
      <c r="M38" s="296">
        <f t="shared" si="22"/>
        <v>15.600000000000001</v>
      </c>
      <c r="N38" s="296">
        <f t="shared" si="22"/>
        <v>7.8000000000000007</v>
      </c>
      <c r="O38" s="296">
        <f t="shared" ref="O38:P38" si="23">O29*1.3</f>
        <v>2.6</v>
      </c>
      <c r="P38" s="296">
        <f t="shared" si="23"/>
        <v>1.3</v>
      </c>
      <c r="Q38" s="267"/>
      <c r="R38" s="267"/>
      <c r="S38" s="267"/>
    </row>
    <row r="39" spans="2:19" ht="18" customHeight="1" x14ac:dyDescent="0.3">
      <c r="B39" s="218"/>
      <c r="C39" s="312"/>
      <c r="D39" s="491" t="s">
        <v>192</v>
      </c>
      <c r="E39" s="492"/>
      <c r="F39" s="308"/>
      <c r="G39" s="296">
        <f>G30*1.3</f>
        <v>2.6</v>
      </c>
      <c r="H39" s="296">
        <f t="shared" ref="H39:N39" si="24">H30*1.3</f>
        <v>13</v>
      </c>
      <c r="I39" s="296">
        <f t="shared" si="24"/>
        <v>20.8</v>
      </c>
      <c r="J39" s="296">
        <f t="shared" si="24"/>
        <v>23.400000000000002</v>
      </c>
      <c r="K39" s="296">
        <f t="shared" si="24"/>
        <v>23.400000000000002</v>
      </c>
      <c r="L39" s="296">
        <f t="shared" si="24"/>
        <v>31.200000000000003</v>
      </c>
      <c r="M39" s="296">
        <f t="shared" si="24"/>
        <v>31.200000000000003</v>
      </c>
      <c r="N39" s="296">
        <f t="shared" si="24"/>
        <v>15.600000000000001</v>
      </c>
      <c r="O39" s="296">
        <f t="shared" ref="O39:P39" si="25">O30*1.3</f>
        <v>5.2</v>
      </c>
      <c r="P39" s="296">
        <f t="shared" si="25"/>
        <v>2.6</v>
      </c>
      <c r="Q39" s="267"/>
      <c r="R39" s="267"/>
      <c r="S39" s="267"/>
    </row>
    <row r="40" spans="2:19" ht="18" customHeight="1" x14ac:dyDescent="0.3">
      <c r="B40" s="218"/>
      <c r="C40" s="312"/>
      <c r="D40" s="491" t="s">
        <v>193</v>
      </c>
      <c r="E40" s="492"/>
      <c r="F40" s="308"/>
      <c r="G40" s="296">
        <f>G31*1.3</f>
        <v>3.9000000000000004</v>
      </c>
      <c r="H40" s="296">
        <f t="shared" ref="H40:N40" si="26">H31*1.3</f>
        <v>19.5</v>
      </c>
      <c r="I40" s="296">
        <f t="shared" si="26"/>
        <v>31.200000000000003</v>
      </c>
      <c r="J40" s="296">
        <f t="shared" si="26"/>
        <v>35.1</v>
      </c>
      <c r="K40" s="296">
        <f t="shared" si="26"/>
        <v>35.1</v>
      </c>
      <c r="L40" s="296">
        <f t="shared" si="26"/>
        <v>46.800000000000004</v>
      </c>
      <c r="M40" s="296">
        <f t="shared" si="26"/>
        <v>46.800000000000004</v>
      </c>
      <c r="N40" s="296">
        <f t="shared" si="26"/>
        <v>23.400000000000002</v>
      </c>
      <c r="O40" s="296">
        <f t="shared" ref="O40:P40" si="27">O31*1.3</f>
        <v>7.8000000000000007</v>
      </c>
      <c r="P40" s="296">
        <f t="shared" si="27"/>
        <v>3.9000000000000004</v>
      </c>
      <c r="Q40" s="267"/>
      <c r="R40" s="267"/>
      <c r="S40" s="267"/>
    </row>
    <row r="41" spans="2:19" ht="18" customHeight="1" x14ac:dyDescent="0.3">
      <c r="B41" s="218"/>
      <c r="C41" s="312"/>
      <c r="D41" s="491" t="s">
        <v>199</v>
      </c>
      <c r="E41" s="492"/>
      <c r="F41" s="308"/>
      <c r="G41" s="296">
        <f t="shared" ref="G41:N43" si="28">G33*1.3</f>
        <v>2.6</v>
      </c>
      <c r="H41" s="296">
        <f t="shared" si="28"/>
        <v>5.2</v>
      </c>
      <c r="I41" s="296">
        <f t="shared" si="28"/>
        <v>6.5</v>
      </c>
      <c r="J41" s="296">
        <f t="shared" si="28"/>
        <v>7.8000000000000007</v>
      </c>
      <c r="K41" s="296">
        <f t="shared" si="28"/>
        <v>7.8000000000000007</v>
      </c>
      <c r="L41" s="296">
        <f t="shared" si="28"/>
        <v>7.8000000000000007</v>
      </c>
      <c r="M41" s="319">
        <f t="shared" si="28"/>
        <v>3.9000000000000004</v>
      </c>
      <c r="N41" s="296">
        <f t="shared" si="28"/>
        <v>2.6</v>
      </c>
      <c r="O41" s="296">
        <f t="shared" ref="O41:P41" si="29">O33*1.3</f>
        <v>2.6</v>
      </c>
      <c r="P41" s="296">
        <f t="shared" si="29"/>
        <v>2.6</v>
      </c>
      <c r="Q41" s="267"/>
      <c r="R41" s="267"/>
      <c r="S41" s="267"/>
    </row>
    <row r="42" spans="2:19" ht="18" customHeight="1" x14ac:dyDescent="0.3">
      <c r="B42" s="218"/>
      <c r="C42" s="312"/>
      <c r="D42" s="491" t="s">
        <v>200</v>
      </c>
      <c r="E42" s="492"/>
      <c r="F42" s="308"/>
      <c r="G42" s="296">
        <f t="shared" si="28"/>
        <v>3.9000000000000004</v>
      </c>
      <c r="H42" s="296">
        <f t="shared" si="28"/>
        <v>3.9000000000000004</v>
      </c>
      <c r="I42" s="296">
        <f t="shared" si="28"/>
        <v>5.2</v>
      </c>
      <c r="J42" s="296">
        <f t="shared" si="28"/>
        <v>10.4</v>
      </c>
      <c r="K42" s="296">
        <f t="shared" si="28"/>
        <v>10.4</v>
      </c>
      <c r="L42" s="296">
        <f t="shared" si="28"/>
        <v>10.4</v>
      </c>
      <c r="M42" s="319">
        <f t="shared" si="28"/>
        <v>6.5</v>
      </c>
      <c r="N42" s="296">
        <f t="shared" si="28"/>
        <v>5.2</v>
      </c>
      <c r="O42" s="296">
        <f t="shared" ref="O42:P42" si="30">O34*1.3</f>
        <v>5.2</v>
      </c>
      <c r="P42" s="296">
        <f t="shared" si="30"/>
        <v>5.2</v>
      </c>
      <c r="Q42" s="267"/>
      <c r="R42" s="267"/>
      <c r="S42" s="267"/>
    </row>
    <row r="43" spans="2:19" ht="18" customHeight="1" x14ac:dyDescent="0.3">
      <c r="B43" s="218"/>
      <c r="C43" s="312"/>
      <c r="D43" s="491" t="s">
        <v>201</v>
      </c>
      <c r="E43" s="492"/>
      <c r="F43" s="308"/>
      <c r="G43" s="296">
        <f t="shared" si="28"/>
        <v>3.9000000000000004</v>
      </c>
      <c r="H43" s="296">
        <f t="shared" si="28"/>
        <v>6.5</v>
      </c>
      <c r="I43" s="296">
        <f t="shared" si="28"/>
        <v>6.5</v>
      </c>
      <c r="J43" s="296">
        <f t="shared" si="28"/>
        <v>7.8000000000000007</v>
      </c>
      <c r="K43" s="296">
        <f t="shared" si="28"/>
        <v>7.8000000000000007</v>
      </c>
      <c r="L43" s="296">
        <f t="shared" si="28"/>
        <v>7.8000000000000007</v>
      </c>
      <c r="M43" s="319">
        <f t="shared" si="28"/>
        <v>3.9000000000000004</v>
      </c>
      <c r="N43" s="296">
        <f t="shared" si="28"/>
        <v>2.6</v>
      </c>
      <c r="O43" s="296">
        <f t="shared" ref="O43:P43" si="31">O35*1.3</f>
        <v>2.6</v>
      </c>
      <c r="P43" s="296">
        <f t="shared" si="31"/>
        <v>2.6</v>
      </c>
      <c r="Q43" s="267"/>
      <c r="R43" s="267"/>
      <c r="S43" s="267"/>
    </row>
    <row r="44" spans="2:19" ht="18" customHeight="1" x14ac:dyDescent="0.25">
      <c r="B44" s="218"/>
      <c r="C44" s="499" t="s">
        <v>206</v>
      </c>
      <c r="D44" s="500"/>
      <c r="E44" s="303"/>
      <c r="F44" s="302"/>
      <c r="G44" s="303"/>
      <c r="H44" s="303"/>
      <c r="I44" s="303"/>
      <c r="J44" s="303"/>
      <c r="K44" s="303"/>
      <c r="L44" s="303"/>
      <c r="M44" s="303"/>
      <c r="N44" s="302"/>
      <c r="O44" s="302"/>
      <c r="P44" s="302"/>
      <c r="Q44" s="222"/>
      <c r="R44" s="222"/>
      <c r="S44" s="222"/>
    </row>
    <row r="45" spans="2:19" ht="18" customHeight="1" x14ac:dyDescent="0.3">
      <c r="B45" s="218"/>
      <c r="C45" s="312"/>
      <c r="D45" s="490" t="s">
        <v>196</v>
      </c>
      <c r="E45" s="490"/>
      <c r="F45" s="308"/>
      <c r="G45" s="296">
        <f>G29+(G28/2)</f>
        <v>1.5</v>
      </c>
      <c r="H45" s="296">
        <f t="shared" ref="H45:N45" si="32">H29+(H28/2)</f>
        <v>7.5</v>
      </c>
      <c r="I45" s="296">
        <f t="shared" si="32"/>
        <v>12</v>
      </c>
      <c r="J45" s="296">
        <f t="shared" si="32"/>
        <v>13.5</v>
      </c>
      <c r="K45" s="296">
        <f t="shared" si="32"/>
        <v>13.5</v>
      </c>
      <c r="L45" s="296">
        <f t="shared" si="32"/>
        <v>18</v>
      </c>
      <c r="M45" s="296">
        <f t="shared" si="32"/>
        <v>18</v>
      </c>
      <c r="N45" s="296">
        <f t="shared" si="32"/>
        <v>9</v>
      </c>
      <c r="O45" s="296">
        <f t="shared" ref="O45:P45" si="33">O29+(O28/2)</f>
        <v>3</v>
      </c>
      <c r="P45" s="296">
        <f t="shared" si="33"/>
        <v>1.5</v>
      </c>
      <c r="Q45" s="267"/>
      <c r="R45" s="267"/>
      <c r="S45" s="267"/>
    </row>
    <row r="46" spans="2:19" ht="18" customHeight="1" x14ac:dyDescent="0.3">
      <c r="B46" s="218"/>
      <c r="C46" s="312"/>
      <c r="D46" s="490" t="s">
        <v>139</v>
      </c>
      <c r="E46" s="490"/>
      <c r="F46" s="308"/>
      <c r="G46" s="296">
        <v>3</v>
      </c>
      <c r="H46" s="296">
        <v>5</v>
      </c>
      <c r="I46" s="296">
        <v>6</v>
      </c>
      <c r="J46" s="296">
        <v>8</v>
      </c>
      <c r="K46" s="296">
        <v>8</v>
      </c>
      <c r="L46" s="296">
        <v>9</v>
      </c>
      <c r="M46" s="319">
        <v>5</v>
      </c>
      <c r="N46" s="296">
        <v>4</v>
      </c>
      <c r="O46" s="296">
        <v>2</v>
      </c>
      <c r="P46" s="296">
        <v>1</v>
      </c>
      <c r="Q46" s="267"/>
      <c r="R46" s="267"/>
      <c r="S46" s="267"/>
    </row>
    <row r="47" spans="2:19" ht="18" customHeight="1" x14ac:dyDescent="0.3">
      <c r="B47" s="218"/>
      <c r="C47" s="312"/>
      <c r="D47" s="490" t="s">
        <v>198</v>
      </c>
      <c r="E47" s="490"/>
      <c r="F47" s="308"/>
      <c r="G47" s="296">
        <f>G23</f>
        <v>1</v>
      </c>
      <c r="H47" s="296">
        <f t="shared" ref="H47:P47" si="34">H23</f>
        <v>5</v>
      </c>
      <c r="I47" s="296">
        <f t="shared" si="34"/>
        <v>8</v>
      </c>
      <c r="J47" s="296">
        <f t="shared" si="34"/>
        <v>9</v>
      </c>
      <c r="K47" s="296">
        <f t="shared" si="34"/>
        <v>9</v>
      </c>
      <c r="L47" s="296">
        <f t="shared" si="34"/>
        <v>12</v>
      </c>
      <c r="M47" s="296">
        <f t="shared" si="34"/>
        <v>12</v>
      </c>
      <c r="N47" s="296">
        <f t="shared" si="34"/>
        <v>6</v>
      </c>
      <c r="O47" s="296">
        <f t="shared" si="34"/>
        <v>2</v>
      </c>
      <c r="P47" s="296">
        <f t="shared" si="34"/>
        <v>1</v>
      </c>
      <c r="Q47" s="267"/>
      <c r="R47" s="267"/>
      <c r="S47" s="267"/>
    </row>
    <row r="48" spans="2:19" ht="34.5" customHeight="1" x14ac:dyDescent="0.3">
      <c r="C48" s="312"/>
      <c r="D48" s="312"/>
      <c r="E48" s="320"/>
      <c r="F48" s="312"/>
      <c r="G48" s="312"/>
      <c r="H48" s="312"/>
      <c r="I48" s="312"/>
      <c r="J48" s="312"/>
      <c r="K48" s="312"/>
      <c r="L48" s="312"/>
      <c r="M48" s="312"/>
      <c r="N48" s="312"/>
      <c r="O48" s="312"/>
      <c r="P48" s="312"/>
    </row>
    <row r="49" ht="34.5" customHeight="1" x14ac:dyDescent="0.25"/>
    <row r="50" ht="30" customHeight="1" x14ac:dyDescent="0.25"/>
  </sheetData>
  <mergeCells count="30">
    <mergeCell ref="E4:E5"/>
    <mergeCell ref="F4:F5"/>
    <mergeCell ref="H4:P4"/>
    <mergeCell ref="B1:P1"/>
    <mergeCell ref="B2:P2"/>
    <mergeCell ref="C26:D26"/>
    <mergeCell ref="B3:N3"/>
    <mergeCell ref="B4:B5"/>
    <mergeCell ref="C4:C5"/>
    <mergeCell ref="C44:D44"/>
    <mergeCell ref="D37:E37"/>
    <mergeCell ref="C27:D27"/>
    <mergeCell ref="D28:E28"/>
    <mergeCell ref="D29:E29"/>
    <mergeCell ref="D30:E30"/>
    <mergeCell ref="D31:E31"/>
    <mergeCell ref="C32:D32"/>
    <mergeCell ref="D33:E33"/>
    <mergeCell ref="D34:E34"/>
    <mergeCell ref="D35:E35"/>
    <mergeCell ref="D4:D5"/>
    <mergeCell ref="D45:E45"/>
    <mergeCell ref="D46:E46"/>
    <mergeCell ref="D47:E47"/>
    <mergeCell ref="D38:E38"/>
    <mergeCell ref="D39:E39"/>
    <mergeCell ref="D40:E40"/>
    <mergeCell ref="D41:E41"/>
    <mergeCell ref="D42:E42"/>
    <mergeCell ref="D43:E43"/>
  </mergeCells>
  <pageMargins left="0.7" right="0.7" top="0.75" bottom="0.75" header="0.3" footer="0.3"/>
  <pageSetup paperSize="9" scale="24" orientation="landscape" horizontalDpi="4294967295" verticalDpi="4294967295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B1:L6"/>
  <sheetViews>
    <sheetView workbookViewId="0">
      <selection activeCell="B58" sqref="B58"/>
    </sheetView>
  </sheetViews>
  <sheetFormatPr defaultRowHeight="15" x14ac:dyDescent="0.25"/>
  <cols>
    <col min="2" max="2" width="25.25" bestFit="1" customWidth="1"/>
  </cols>
  <sheetData>
    <row r="1" spans="2:12" ht="15.75" thickBot="1" x14ac:dyDescent="0.3"/>
    <row r="2" spans="2:12" ht="16.5" thickBot="1" x14ac:dyDescent="0.3">
      <c r="B2" s="206"/>
      <c r="C2" s="207" t="str">
        <f>'Steel Structure W.L.'!G5</f>
        <v>Dec</v>
      </c>
      <c r="D2" s="207" t="str">
        <f>'Steel Structure W.L.'!H5</f>
        <v>Jan</v>
      </c>
      <c r="E2" s="207" t="str">
        <f>'Steel Structure W.L.'!I5</f>
        <v>Feb</v>
      </c>
      <c r="F2" s="207" t="str">
        <f>'Steel Structure W.L.'!J5</f>
        <v>Mar</v>
      </c>
      <c r="G2" s="207" t="str">
        <f>'Steel Structure W.L.'!K5</f>
        <v>Apr</v>
      </c>
      <c r="H2" s="207" t="str">
        <f>'Steel Structure W.L.'!L5</f>
        <v>May</v>
      </c>
      <c r="I2" s="207" t="str">
        <f>'Steel Structure W.L.'!M5</f>
        <v>Jun</v>
      </c>
      <c r="J2" s="207" t="str">
        <f>'Steel Structure W.L.'!N5</f>
        <v>Jul</v>
      </c>
      <c r="K2" s="207" t="str">
        <f>'Steel Structure W.L.'!O5</f>
        <v>Aug</v>
      </c>
      <c r="L2" s="207" t="str">
        <f>'Steel Structure W.L.'!P5</f>
        <v>Sep</v>
      </c>
    </row>
    <row r="3" spans="2:12" ht="15.75" x14ac:dyDescent="0.25">
      <c r="B3" s="215" t="s">
        <v>210</v>
      </c>
      <c r="C3" s="270">
        <f>'Steel Structure W.L.'!G28+'Steel Structure W.L.'!G29+'Steel Structure W.L.'!G30+'Steel Structure W.L.'!G31</f>
        <v>7</v>
      </c>
      <c r="D3" s="270">
        <f>'Steel Structure W.L.'!H28+'Steel Structure W.L.'!H29+'Steel Structure W.L.'!H30+'Steel Structure W.L.'!H31</f>
        <v>35</v>
      </c>
      <c r="E3" s="270">
        <f>'Steel Structure W.L.'!I28+'Steel Structure W.L.'!I29+'Steel Structure W.L.'!I30+'Steel Structure W.L.'!I31</f>
        <v>56</v>
      </c>
      <c r="F3" s="270">
        <f>'Steel Structure W.L.'!J28+'Steel Structure W.L.'!J29+'Steel Structure W.L.'!J30+'Steel Structure W.L.'!J31</f>
        <v>63</v>
      </c>
      <c r="G3" s="270">
        <f>'Steel Structure W.L.'!K28+'Steel Structure W.L.'!K29+'Steel Structure W.L.'!K30+'Steel Structure W.L.'!K31</f>
        <v>63</v>
      </c>
      <c r="H3" s="270">
        <f>'Steel Structure W.L.'!L28+'Steel Structure W.L.'!L29+'Steel Structure W.L.'!L30+'Steel Structure W.L.'!L31</f>
        <v>84</v>
      </c>
      <c r="I3" s="270">
        <f>'Steel Structure W.L.'!M28+'Steel Structure W.L.'!M29+'Steel Structure W.L.'!M30+'Steel Structure W.L.'!M31</f>
        <v>84</v>
      </c>
      <c r="J3" s="270">
        <f>'Steel Structure W.L.'!N28+'Steel Structure W.L.'!N29+'Steel Structure W.L.'!N30+'Steel Structure W.L.'!N31</f>
        <v>42</v>
      </c>
      <c r="K3" s="270">
        <f>'Steel Structure W.L.'!O28+'Steel Structure W.L.'!O29+'Steel Structure W.L.'!O30+'Steel Structure W.L.'!O31</f>
        <v>14</v>
      </c>
      <c r="L3" s="270">
        <f>'Steel Structure W.L.'!P28+'Steel Structure W.L.'!P29+'Steel Structure W.L.'!P30+'Steel Structure W.L.'!P31</f>
        <v>7</v>
      </c>
    </row>
    <row r="4" spans="2:12" ht="15.75" x14ac:dyDescent="0.25">
      <c r="B4" s="210" t="s">
        <v>211</v>
      </c>
      <c r="C4" s="210">
        <f>'Steel Structure W.L.'!G33+'Steel Structure W.L.'!G34+'Steel Structure W.L.'!G35</f>
        <v>8</v>
      </c>
      <c r="D4" s="210">
        <f>'Steel Structure W.L.'!H33+'Steel Structure W.L.'!H34+'Steel Structure W.L.'!H35</f>
        <v>12</v>
      </c>
      <c r="E4" s="210">
        <f>'Steel Structure W.L.'!I33+'Steel Structure W.L.'!I34+'Steel Structure W.L.'!I35</f>
        <v>14</v>
      </c>
      <c r="F4" s="210">
        <f>'Steel Structure W.L.'!J33+'Steel Structure W.L.'!J34+'Steel Structure W.L.'!J35</f>
        <v>20</v>
      </c>
      <c r="G4" s="210">
        <f>'Steel Structure W.L.'!K33+'Steel Structure W.L.'!K34+'Steel Structure W.L.'!K35</f>
        <v>20</v>
      </c>
      <c r="H4" s="210">
        <f>'Steel Structure W.L.'!L33+'Steel Structure W.L.'!L34+'Steel Structure W.L.'!L35</f>
        <v>20</v>
      </c>
      <c r="I4" s="210">
        <f>'Steel Structure W.L.'!M33+'Steel Structure W.L.'!M34+'Steel Structure W.L.'!M35</f>
        <v>11</v>
      </c>
      <c r="J4" s="210">
        <f>'Steel Structure W.L.'!N33+'Steel Structure W.L.'!N34+'Steel Structure W.L.'!N35</f>
        <v>8</v>
      </c>
      <c r="K4" s="210">
        <f>'Steel Structure W.L.'!O33+'Steel Structure W.L.'!O34+'Steel Structure W.L.'!O35</f>
        <v>8</v>
      </c>
      <c r="L4" s="210">
        <f>'Steel Structure W.L.'!P33+'Steel Structure W.L.'!P34+'Steel Structure W.L.'!P35</f>
        <v>8</v>
      </c>
    </row>
    <row r="5" spans="2:12" ht="15.75" x14ac:dyDescent="0.25">
      <c r="B5" s="210" t="s">
        <v>212</v>
      </c>
      <c r="C5" s="219">
        <f>C3+C4</f>
        <v>15</v>
      </c>
      <c r="D5" s="219">
        <f t="shared" ref="D5:L5" si="0">D3+D4</f>
        <v>47</v>
      </c>
      <c r="E5" s="219">
        <f t="shared" si="0"/>
        <v>70</v>
      </c>
      <c r="F5" s="219">
        <f t="shared" si="0"/>
        <v>83</v>
      </c>
      <c r="G5" s="219">
        <f t="shared" si="0"/>
        <v>83</v>
      </c>
      <c r="H5" s="219">
        <f t="shared" si="0"/>
        <v>104</v>
      </c>
      <c r="I5" s="219">
        <f t="shared" si="0"/>
        <v>95</v>
      </c>
      <c r="J5" s="219">
        <f t="shared" si="0"/>
        <v>50</v>
      </c>
      <c r="K5" s="219">
        <f t="shared" si="0"/>
        <v>22</v>
      </c>
      <c r="L5" s="219">
        <f t="shared" si="0"/>
        <v>15</v>
      </c>
    </row>
    <row r="6" spans="2:12" ht="15.75" x14ac:dyDescent="0.25">
      <c r="B6" s="210" t="s">
        <v>216</v>
      </c>
      <c r="C6" s="219">
        <f>'Steel Structure W.L.'!G19</f>
        <v>40.299999999999997</v>
      </c>
      <c r="D6" s="219">
        <f>'Steel Structure W.L.'!H19</f>
        <v>353</v>
      </c>
      <c r="E6" s="219">
        <f>'Steel Structure W.L.'!I19</f>
        <v>542.29999999999995</v>
      </c>
      <c r="F6" s="219">
        <f>'Steel Structure W.L.'!J19</f>
        <v>600</v>
      </c>
      <c r="G6" s="219">
        <f>'Steel Structure W.L.'!K19</f>
        <v>599.5</v>
      </c>
      <c r="H6" s="219">
        <f>'Steel Structure W.L.'!L19</f>
        <v>843</v>
      </c>
      <c r="I6" s="219">
        <f>'Steel Structure W.L.'!M19</f>
        <v>799</v>
      </c>
      <c r="J6" s="219">
        <f>'Steel Structure W.L.'!N19</f>
        <v>397</v>
      </c>
      <c r="K6" s="219">
        <f>'Steel Structure W.L.'!O19</f>
        <v>50</v>
      </c>
      <c r="L6" s="219">
        <f>'Steel Structure W.L.'!P19</f>
        <v>35</v>
      </c>
    </row>
  </sheetData>
  <printOptions horizontalCentered="1"/>
  <pageMargins left="0.7" right="0.7" top="0.75" bottom="0.75" header="0.3" footer="0.3"/>
  <pageSetup orientation="landscape" horizontalDpi="4294967295" verticalDpi="4294967295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A6A33-6BB5-4389-A999-0C2CC81FC072}">
  <sheetPr codeName="Sheet12"/>
  <dimension ref="B1:N83"/>
  <sheetViews>
    <sheetView showGridLines="0" tabSelected="1" workbookViewId="0">
      <selection activeCell="G27" sqref="G27"/>
    </sheetView>
  </sheetViews>
  <sheetFormatPr defaultRowHeight="15" x14ac:dyDescent="0.25"/>
  <cols>
    <col min="1" max="1" width="18.5" customWidth="1"/>
    <col min="2" max="2" width="10.375" style="439" bestFit="1" customWidth="1"/>
    <col min="3" max="5" width="9" style="198"/>
  </cols>
  <sheetData>
    <row r="1" spans="2:14" s="444" customFormat="1" ht="36.75" customHeight="1" x14ac:dyDescent="0.25">
      <c r="B1" s="442">
        <v>45284</v>
      </c>
      <c r="C1" s="445">
        <f>'Control sheet'!W22</f>
        <v>0.99999999999999978</v>
      </c>
      <c r="D1" s="445">
        <f>'Control sheet'!W83</f>
        <v>0.99037174977584663</v>
      </c>
      <c r="E1" s="445">
        <f>'Control sheet'!W175</f>
        <v>0.98495847605959685</v>
      </c>
      <c r="F1" s="445">
        <f>'Control sheet'!W7</f>
        <v>0.97479757941123202</v>
      </c>
      <c r="G1" s="443"/>
      <c r="H1" s="443"/>
      <c r="I1" s="443"/>
      <c r="J1" s="443"/>
      <c r="K1" s="443"/>
      <c r="L1" s="443"/>
      <c r="M1" s="443"/>
      <c r="N1" s="443"/>
    </row>
    <row r="2" spans="2:14" x14ac:dyDescent="0.25">
      <c r="B2" s="198"/>
    </row>
    <row r="3" spans="2:14" x14ac:dyDescent="0.25">
      <c r="B3" s="439" t="s">
        <v>1200</v>
      </c>
      <c r="C3" s="439" t="s">
        <v>1249</v>
      </c>
      <c r="D3" s="439" t="s">
        <v>1250</v>
      </c>
      <c r="E3" s="439" t="s">
        <v>1251</v>
      </c>
      <c r="F3" s="439" t="s">
        <v>1252</v>
      </c>
    </row>
    <row r="4" spans="2:14" x14ac:dyDescent="0.25">
      <c r="B4" s="440">
        <v>44774</v>
      </c>
      <c r="C4" s="389">
        <v>0.99999999999999978</v>
      </c>
      <c r="D4" s="389">
        <v>0.15405200358645427</v>
      </c>
      <c r="E4" s="389">
        <v>0.37105215376188871</v>
      </c>
      <c r="F4" s="419">
        <v>0.12313703844916582</v>
      </c>
    </row>
    <row r="5" spans="2:14" x14ac:dyDescent="0.25">
      <c r="B5" s="440">
        <f>B4+30</f>
        <v>44804</v>
      </c>
      <c r="C5" s="389">
        <v>0.99999999999999978</v>
      </c>
      <c r="D5" s="389">
        <v>0.15405200358645427</v>
      </c>
      <c r="E5" s="389">
        <v>0.43333669022106447</v>
      </c>
      <c r="F5" s="419">
        <v>0.14146130648395042</v>
      </c>
    </row>
    <row r="6" spans="2:14" x14ac:dyDescent="0.25">
      <c r="B6" s="440">
        <f t="shared" ref="B6:B21" si="0">B5+30</f>
        <v>44834</v>
      </c>
      <c r="C6" s="389">
        <v>0.99999999999999978</v>
      </c>
      <c r="D6" s="389">
        <v>0.15405200358645427</v>
      </c>
      <c r="E6" s="389">
        <v>0.51111535296495636</v>
      </c>
      <c r="F6" s="419">
        <v>0.16434193157622287</v>
      </c>
    </row>
    <row r="7" spans="2:14" x14ac:dyDescent="0.25">
      <c r="B7" s="440">
        <f t="shared" si="0"/>
        <v>44864</v>
      </c>
      <c r="C7" s="389">
        <v>0.99999999999999978</v>
      </c>
      <c r="D7" s="389">
        <v>0.15405200358645427</v>
      </c>
      <c r="E7" s="389">
        <v>0.587919501806623</v>
      </c>
      <c r="F7" s="419">
        <v>0.18717696623685201</v>
      </c>
    </row>
    <row r="8" spans="2:14" x14ac:dyDescent="0.25">
      <c r="B8" s="440">
        <f t="shared" si="0"/>
        <v>44894</v>
      </c>
      <c r="C8" s="389">
        <v>0.99999999999999978</v>
      </c>
      <c r="D8" s="389">
        <v>0.1615509292418045</v>
      </c>
      <c r="E8" s="389">
        <v>0.65029192207456665</v>
      </c>
      <c r="F8" s="419">
        <v>0.20983406712461022</v>
      </c>
    </row>
    <row r="9" spans="2:14" x14ac:dyDescent="0.25">
      <c r="B9" s="440">
        <f t="shared" si="0"/>
        <v>44924</v>
      </c>
      <c r="C9" s="389">
        <v>0.99999999999999978</v>
      </c>
      <c r="D9" s="389">
        <v>0.19698281579100949</v>
      </c>
      <c r="E9" s="389">
        <v>0.72263865914037551</v>
      </c>
      <c r="F9" s="419">
        <v>0.23854083873026441</v>
      </c>
    </row>
    <row r="10" spans="2:14" x14ac:dyDescent="0.25">
      <c r="B10" s="440">
        <f t="shared" si="0"/>
        <v>44954</v>
      </c>
      <c r="C10" s="389">
        <v>0.99999999999999978</v>
      </c>
      <c r="D10" s="389">
        <v>0.19698281579100949</v>
      </c>
      <c r="E10" s="389">
        <v>0.7738724305134852</v>
      </c>
      <c r="F10" s="419">
        <v>0.27555402192987138</v>
      </c>
    </row>
    <row r="11" spans="2:14" x14ac:dyDescent="0.25">
      <c r="B11" s="440">
        <f t="shared" si="0"/>
        <v>44984</v>
      </c>
      <c r="C11" s="389">
        <v>0.99999999999999978</v>
      </c>
      <c r="D11" s="389">
        <v>0.28078169847257373</v>
      </c>
      <c r="E11" s="389">
        <v>0.81963216849758946</v>
      </c>
      <c r="F11" s="419">
        <v>0.32778994059332817</v>
      </c>
    </row>
    <row r="12" spans="2:14" x14ac:dyDescent="0.25">
      <c r="B12" s="440">
        <f t="shared" si="0"/>
        <v>45014</v>
      </c>
      <c r="C12" s="389">
        <v>0.99999999999999978</v>
      </c>
      <c r="D12" s="389">
        <v>0.37207950680948826</v>
      </c>
      <c r="E12" s="389">
        <v>0.85265025023616459</v>
      </c>
      <c r="F12" s="419">
        <v>0.38426810101122244</v>
      </c>
    </row>
    <row r="13" spans="2:14" x14ac:dyDescent="0.25">
      <c r="B13" s="440">
        <f t="shared" si="0"/>
        <v>45044</v>
      </c>
      <c r="C13" s="389">
        <v>0.99999999999999978</v>
      </c>
      <c r="D13" s="389">
        <v>0.45685962427117</v>
      </c>
      <c r="E13" s="389">
        <v>0.87585243862141671</v>
      </c>
      <c r="F13" s="419">
        <v>0.46372360218767755</v>
      </c>
    </row>
    <row r="14" spans="2:14" x14ac:dyDescent="0.25">
      <c r="B14" s="440">
        <f t="shared" si="0"/>
        <v>45074</v>
      </c>
      <c r="C14" s="389">
        <v>0.99999999999999978</v>
      </c>
      <c r="D14" s="389">
        <v>0.63454190474674654</v>
      </c>
      <c r="E14" s="389">
        <v>0.89785667820891268</v>
      </c>
      <c r="F14" s="419">
        <v>0.55494510158413102</v>
      </c>
    </row>
    <row r="15" spans="2:14" x14ac:dyDescent="0.25">
      <c r="B15" s="440">
        <f t="shared" si="0"/>
        <v>45104</v>
      </c>
      <c r="C15" s="389">
        <v>0.99999999999999978</v>
      </c>
      <c r="D15" s="389">
        <v>0.73734952543146215</v>
      </c>
      <c r="E15" s="389">
        <v>0.91507965235657851</v>
      </c>
      <c r="F15" s="419">
        <v>0.65196144594234051</v>
      </c>
    </row>
    <row r="16" spans="2:14" x14ac:dyDescent="0.25">
      <c r="B16" s="440">
        <f t="shared" si="0"/>
        <v>45134</v>
      </c>
      <c r="C16" s="389">
        <v>0.99999999999999978</v>
      </c>
      <c r="D16" s="389">
        <v>0.76410495153511926</v>
      </c>
      <c r="E16" s="389">
        <v>0.92726571897049304</v>
      </c>
      <c r="F16" s="419">
        <v>0.72742603689412477</v>
      </c>
    </row>
    <row r="17" spans="2:6" x14ac:dyDescent="0.25">
      <c r="B17" s="440">
        <f t="shared" si="0"/>
        <v>45164</v>
      </c>
      <c r="C17" s="389">
        <v>0.99999999999999978</v>
      </c>
      <c r="D17" s="389">
        <v>0.85628796680938213</v>
      </c>
      <c r="E17" s="389">
        <v>0.93945178558440756</v>
      </c>
      <c r="F17" s="419">
        <v>0.79594325993250337</v>
      </c>
    </row>
    <row r="18" spans="2:6" x14ac:dyDescent="0.25">
      <c r="B18" s="440">
        <f t="shared" si="0"/>
        <v>45194</v>
      </c>
      <c r="C18" s="389">
        <v>0.99999999999999978</v>
      </c>
      <c r="D18" s="389">
        <v>0.9155766710701535</v>
      </c>
      <c r="E18" s="389">
        <v>0.95163785219832209</v>
      </c>
      <c r="F18" s="419">
        <v>0.85879716570120035</v>
      </c>
    </row>
    <row r="19" spans="2:6" x14ac:dyDescent="0.25">
      <c r="B19" s="440">
        <f t="shared" si="0"/>
        <v>45224</v>
      </c>
      <c r="C19" s="389">
        <v>0.99999999999999978</v>
      </c>
      <c r="D19" s="389">
        <v>0.96148699910338653</v>
      </c>
      <c r="E19" s="389">
        <v>0.96382391881223661</v>
      </c>
      <c r="F19" s="419">
        <v>0.91221062164942746</v>
      </c>
    </row>
    <row r="20" spans="2:6" x14ac:dyDescent="0.25">
      <c r="B20" s="440">
        <f t="shared" si="0"/>
        <v>45254</v>
      </c>
      <c r="C20" s="389">
        <v>0.99999999999999978</v>
      </c>
      <c r="D20" s="389">
        <v>0.98074349955169327</v>
      </c>
      <c r="E20" s="389">
        <v>0.97113555878058533</v>
      </c>
      <c r="F20" s="419">
        <v>0.94991326235052631</v>
      </c>
    </row>
    <row r="21" spans="2:6" x14ac:dyDescent="0.25">
      <c r="B21" s="440">
        <f t="shared" si="0"/>
        <v>45284</v>
      </c>
      <c r="C21" s="389">
        <v>0.99999999999999978</v>
      </c>
      <c r="D21" s="389">
        <v>0.99037174977584663</v>
      </c>
      <c r="E21" s="389">
        <v>0.98495847605959685</v>
      </c>
      <c r="F21" s="419">
        <v>0.97479757941123202</v>
      </c>
    </row>
    <row r="22" spans="2:6" x14ac:dyDescent="0.25">
      <c r="B22" s="440"/>
      <c r="C22" s="441"/>
      <c r="D22" s="441"/>
      <c r="E22" s="389"/>
    </row>
    <row r="23" spans="2:6" x14ac:dyDescent="0.25">
      <c r="B23" s="440"/>
      <c r="C23" s="441"/>
      <c r="D23" s="441"/>
      <c r="E23" s="389"/>
    </row>
    <row r="24" spans="2:6" x14ac:dyDescent="0.25">
      <c r="B24" s="440"/>
      <c r="C24" s="441"/>
      <c r="D24" s="441"/>
      <c r="E24" s="389"/>
    </row>
    <row r="25" spans="2:6" x14ac:dyDescent="0.25">
      <c r="B25" s="440"/>
      <c r="C25" s="441"/>
      <c r="D25" s="441"/>
      <c r="E25" s="389"/>
    </row>
    <row r="26" spans="2:6" x14ac:dyDescent="0.25">
      <c r="B26" s="440"/>
      <c r="C26" s="441"/>
      <c r="D26" s="441"/>
      <c r="E26" s="389"/>
    </row>
    <row r="27" spans="2:6" x14ac:dyDescent="0.25">
      <c r="B27" s="440"/>
      <c r="C27" s="441"/>
      <c r="D27" s="441"/>
      <c r="E27" s="389"/>
    </row>
    <row r="28" spans="2:6" x14ac:dyDescent="0.25">
      <c r="B28" s="440"/>
      <c r="C28" s="441"/>
      <c r="D28" s="441"/>
      <c r="E28" s="389"/>
    </row>
    <row r="29" spans="2:6" x14ac:dyDescent="0.25">
      <c r="B29" s="440"/>
      <c r="C29" s="441"/>
      <c r="D29" s="441"/>
      <c r="E29" s="389"/>
    </row>
    <row r="30" spans="2:6" x14ac:dyDescent="0.25">
      <c r="B30" s="440"/>
      <c r="C30" s="441"/>
      <c r="D30" s="441"/>
      <c r="E30" s="389"/>
    </row>
    <row r="31" spans="2:6" x14ac:dyDescent="0.25">
      <c r="B31" s="440"/>
      <c r="C31" s="441"/>
      <c r="D31" s="441"/>
      <c r="E31" s="389"/>
    </row>
    <row r="32" spans="2:6" x14ac:dyDescent="0.25">
      <c r="B32" s="440"/>
      <c r="C32" s="441"/>
      <c r="D32" s="441"/>
      <c r="E32" s="389"/>
    </row>
    <row r="33" spans="2:5" x14ac:dyDescent="0.25">
      <c r="B33" s="440"/>
      <c r="C33" s="441"/>
      <c r="D33" s="441"/>
      <c r="E33" s="389"/>
    </row>
    <row r="34" spans="2:5" x14ac:dyDescent="0.25">
      <c r="B34" s="440"/>
      <c r="C34" s="441"/>
      <c r="D34" s="441"/>
      <c r="E34" s="389"/>
    </row>
    <row r="35" spans="2:5" x14ac:dyDescent="0.25">
      <c r="B35" s="440"/>
      <c r="C35" s="441"/>
      <c r="D35" s="441"/>
      <c r="E35" s="389"/>
    </row>
    <row r="36" spans="2:5" x14ac:dyDescent="0.25">
      <c r="B36" s="440"/>
      <c r="C36" s="441"/>
      <c r="D36" s="441"/>
      <c r="E36" s="389"/>
    </row>
    <row r="37" spans="2:5" x14ac:dyDescent="0.25">
      <c r="B37" s="440"/>
      <c r="C37" s="441"/>
      <c r="D37" s="441"/>
      <c r="E37" s="389"/>
    </row>
    <row r="38" spans="2:5" x14ac:dyDescent="0.25">
      <c r="B38" s="440"/>
      <c r="C38" s="441"/>
      <c r="D38" s="441"/>
      <c r="E38" s="389"/>
    </row>
    <row r="39" spans="2:5" x14ac:dyDescent="0.25">
      <c r="B39" s="440"/>
      <c r="C39" s="441"/>
      <c r="D39" s="441"/>
      <c r="E39" s="389"/>
    </row>
    <row r="40" spans="2:5" x14ac:dyDescent="0.25">
      <c r="B40" s="440"/>
      <c r="C40" s="441"/>
      <c r="D40" s="441"/>
      <c r="E40" s="389"/>
    </row>
    <row r="41" spans="2:5" x14ac:dyDescent="0.25">
      <c r="B41" s="440"/>
      <c r="C41" s="441"/>
      <c r="D41" s="441"/>
      <c r="E41" s="389"/>
    </row>
    <row r="42" spans="2:5" x14ac:dyDescent="0.25">
      <c r="B42" s="440"/>
      <c r="C42" s="441"/>
      <c r="D42" s="441"/>
      <c r="E42" s="389"/>
    </row>
    <row r="43" spans="2:5" x14ac:dyDescent="0.25">
      <c r="B43" s="440"/>
      <c r="C43" s="441"/>
      <c r="D43" s="441"/>
      <c r="E43" s="389"/>
    </row>
    <row r="44" spans="2:5" x14ac:dyDescent="0.25">
      <c r="B44" s="440"/>
      <c r="C44" s="441"/>
      <c r="D44" s="441"/>
      <c r="E44" s="389"/>
    </row>
    <row r="45" spans="2:5" x14ac:dyDescent="0.25">
      <c r="B45" s="440"/>
      <c r="C45" s="441"/>
      <c r="D45" s="441"/>
      <c r="E45" s="389"/>
    </row>
    <row r="46" spans="2:5" x14ac:dyDescent="0.25">
      <c r="B46" s="440"/>
      <c r="C46" s="441"/>
      <c r="D46" s="441"/>
      <c r="E46" s="389"/>
    </row>
    <row r="47" spans="2:5" x14ac:dyDescent="0.25">
      <c r="B47" s="440"/>
      <c r="C47" s="441"/>
      <c r="D47" s="441"/>
      <c r="E47" s="389"/>
    </row>
    <row r="48" spans="2:5" x14ac:dyDescent="0.25">
      <c r="B48" s="440"/>
      <c r="C48" s="441"/>
      <c r="D48" s="441"/>
      <c r="E48" s="389"/>
    </row>
    <row r="49" spans="2:5" x14ac:dyDescent="0.25">
      <c r="B49" s="440"/>
      <c r="C49" s="441"/>
      <c r="D49" s="441"/>
      <c r="E49" s="389"/>
    </row>
    <row r="50" spans="2:5" x14ac:dyDescent="0.25">
      <c r="B50" s="440"/>
      <c r="C50" s="441"/>
      <c r="D50" s="441"/>
      <c r="E50" s="389"/>
    </row>
    <row r="51" spans="2:5" x14ac:dyDescent="0.25">
      <c r="B51" s="440"/>
      <c r="C51" s="441"/>
      <c r="D51" s="441"/>
      <c r="E51" s="389"/>
    </row>
    <row r="52" spans="2:5" x14ac:dyDescent="0.25">
      <c r="B52" s="440"/>
      <c r="C52" s="441"/>
      <c r="D52" s="441"/>
      <c r="E52" s="389"/>
    </row>
    <row r="53" spans="2:5" x14ac:dyDescent="0.25">
      <c r="B53" s="440"/>
      <c r="C53" s="441"/>
      <c r="D53" s="441"/>
      <c r="E53" s="389"/>
    </row>
    <row r="54" spans="2:5" x14ac:dyDescent="0.25">
      <c r="B54" s="440"/>
      <c r="C54" s="441"/>
      <c r="D54" s="441"/>
      <c r="E54" s="389"/>
    </row>
    <row r="55" spans="2:5" x14ac:dyDescent="0.25">
      <c r="B55" s="440"/>
      <c r="C55" s="441"/>
      <c r="D55" s="441"/>
      <c r="E55" s="389"/>
    </row>
    <row r="56" spans="2:5" x14ac:dyDescent="0.25">
      <c r="B56" s="440"/>
      <c r="C56" s="441"/>
      <c r="D56" s="441"/>
      <c r="E56" s="389"/>
    </row>
    <row r="57" spans="2:5" x14ac:dyDescent="0.25">
      <c r="B57" s="440"/>
      <c r="C57" s="441"/>
      <c r="D57" s="441"/>
      <c r="E57" s="389"/>
    </row>
    <row r="58" spans="2:5" x14ac:dyDescent="0.25">
      <c r="B58" s="440"/>
      <c r="C58" s="441"/>
      <c r="D58" s="441"/>
      <c r="E58" s="389"/>
    </row>
    <row r="59" spans="2:5" x14ac:dyDescent="0.25">
      <c r="B59" s="440"/>
      <c r="C59" s="441"/>
      <c r="D59" s="441"/>
      <c r="E59" s="389"/>
    </row>
    <row r="60" spans="2:5" x14ac:dyDescent="0.25">
      <c r="B60" s="440"/>
      <c r="C60" s="441"/>
      <c r="D60" s="441"/>
      <c r="E60" s="389"/>
    </row>
    <row r="61" spans="2:5" x14ac:dyDescent="0.25">
      <c r="B61" s="440"/>
      <c r="C61" s="441"/>
      <c r="D61" s="441"/>
      <c r="E61" s="389"/>
    </row>
    <row r="62" spans="2:5" x14ac:dyDescent="0.25">
      <c r="B62" s="440"/>
      <c r="C62" s="441"/>
      <c r="D62" s="441"/>
      <c r="E62" s="389"/>
    </row>
    <row r="63" spans="2:5" x14ac:dyDescent="0.25">
      <c r="B63" s="440"/>
      <c r="C63" s="441"/>
      <c r="D63" s="441"/>
      <c r="E63" s="389"/>
    </row>
    <row r="64" spans="2:5" x14ac:dyDescent="0.25">
      <c r="B64" s="440"/>
      <c r="C64" s="441"/>
      <c r="D64" s="441"/>
      <c r="E64" s="389"/>
    </row>
    <row r="65" spans="2:5" x14ac:dyDescent="0.25">
      <c r="B65" s="440"/>
      <c r="C65" s="441"/>
      <c r="D65" s="441"/>
      <c r="E65" s="389"/>
    </row>
    <row r="66" spans="2:5" x14ac:dyDescent="0.25">
      <c r="B66" s="440"/>
      <c r="C66" s="441"/>
      <c r="D66" s="441"/>
      <c r="E66" s="389"/>
    </row>
    <row r="67" spans="2:5" x14ac:dyDescent="0.25">
      <c r="B67" s="440"/>
      <c r="C67" s="441"/>
      <c r="D67" s="441"/>
      <c r="E67" s="389"/>
    </row>
    <row r="68" spans="2:5" x14ac:dyDescent="0.25">
      <c r="B68" s="440"/>
      <c r="C68" s="441"/>
      <c r="D68" s="441"/>
      <c r="E68" s="389"/>
    </row>
    <row r="69" spans="2:5" x14ac:dyDescent="0.25">
      <c r="B69" s="440"/>
      <c r="C69" s="441"/>
      <c r="D69" s="441"/>
      <c r="E69" s="389"/>
    </row>
    <row r="70" spans="2:5" x14ac:dyDescent="0.25">
      <c r="B70" s="440"/>
      <c r="C70" s="441"/>
      <c r="D70" s="441"/>
      <c r="E70" s="389"/>
    </row>
    <row r="71" spans="2:5" x14ac:dyDescent="0.25">
      <c r="B71" s="440"/>
      <c r="C71" s="441"/>
      <c r="D71" s="441"/>
      <c r="E71" s="389"/>
    </row>
    <row r="72" spans="2:5" x14ac:dyDescent="0.25">
      <c r="B72" s="440"/>
      <c r="C72" s="441"/>
      <c r="D72" s="441"/>
      <c r="E72" s="389"/>
    </row>
    <row r="73" spans="2:5" x14ac:dyDescent="0.25">
      <c r="B73" s="440"/>
      <c r="C73" s="441"/>
      <c r="D73" s="441"/>
      <c r="E73" s="389"/>
    </row>
    <row r="74" spans="2:5" x14ac:dyDescent="0.25">
      <c r="B74" s="440"/>
      <c r="C74" s="441"/>
      <c r="D74" s="441"/>
      <c r="E74" s="389"/>
    </row>
    <row r="75" spans="2:5" x14ac:dyDescent="0.25">
      <c r="B75" s="440"/>
      <c r="C75" s="441"/>
      <c r="D75" s="441"/>
      <c r="E75" s="389"/>
    </row>
    <row r="76" spans="2:5" x14ac:dyDescent="0.25">
      <c r="B76" s="440"/>
      <c r="C76" s="441"/>
      <c r="D76" s="441"/>
      <c r="E76" s="389"/>
    </row>
    <row r="77" spans="2:5" x14ac:dyDescent="0.25">
      <c r="B77" s="440"/>
      <c r="C77" s="441"/>
      <c r="D77" s="441"/>
      <c r="E77" s="389"/>
    </row>
    <row r="78" spans="2:5" x14ac:dyDescent="0.25">
      <c r="B78" s="440"/>
      <c r="C78" s="441"/>
      <c r="D78" s="441"/>
      <c r="E78" s="389"/>
    </row>
    <row r="79" spans="2:5" x14ac:dyDescent="0.25">
      <c r="B79" s="440"/>
      <c r="C79" s="441"/>
      <c r="D79" s="441"/>
      <c r="E79" s="389"/>
    </row>
    <row r="80" spans="2:5" x14ac:dyDescent="0.25">
      <c r="B80" s="440"/>
      <c r="C80" s="441"/>
      <c r="D80" s="441"/>
      <c r="E80" s="389"/>
    </row>
    <row r="81" spans="2:5" x14ac:dyDescent="0.25">
      <c r="B81" s="440"/>
      <c r="C81" s="441"/>
      <c r="D81" s="441"/>
      <c r="E81" s="389"/>
    </row>
    <row r="82" spans="2:5" x14ac:dyDescent="0.25">
      <c r="B82" s="440"/>
      <c r="C82" s="441"/>
      <c r="D82" s="441"/>
      <c r="E82" s="389"/>
    </row>
    <row r="83" spans="2:5" x14ac:dyDescent="0.25">
      <c r="B83" s="440"/>
      <c r="C83" s="441"/>
      <c r="D83" s="441"/>
      <c r="E83" s="389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D1:AC685"/>
  <sheetViews>
    <sheetView topLeftCell="J90" zoomScale="85" zoomScaleNormal="85" workbookViewId="0">
      <selection activeCell="V101" sqref="V101"/>
    </sheetView>
  </sheetViews>
  <sheetFormatPr defaultColWidth="9.125" defaultRowHeight="15" x14ac:dyDescent="0.25"/>
  <cols>
    <col min="1" max="3" width="0" style="198" hidden="1" customWidth="1"/>
    <col min="4" max="4" width="53" style="198" hidden="1" customWidth="1"/>
    <col min="5" max="6" width="0" style="198" hidden="1" customWidth="1"/>
    <col min="7" max="7" width="9.125" style="198"/>
    <col min="8" max="8" width="27.875" style="198" customWidth="1"/>
    <col min="9" max="9" width="63.75" style="396" customWidth="1"/>
    <col min="10" max="10" width="14.875" style="198" customWidth="1"/>
    <col min="11" max="11" width="18.75" style="198" customWidth="1"/>
    <col min="12" max="15" width="10.75" style="198" customWidth="1"/>
    <col min="16" max="16" width="16.125" style="198" customWidth="1"/>
    <col min="17" max="17" width="12" style="198" customWidth="1"/>
    <col min="18" max="18" width="11.125" style="198" customWidth="1"/>
    <col min="19" max="19" width="20.25" style="267" customWidth="1"/>
    <col min="20" max="20" width="14.25" style="389" customWidth="1"/>
    <col min="21" max="21" width="15.125" style="198" customWidth="1"/>
    <col min="22" max="22" width="12.375" style="389" customWidth="1"/>
    <col min="23" max="23" width="11.25" style="389" customWidth="1"/>
    <col min="24" max="24" width="13.875" style="389" customWidth="1"/>
    <col min="25" max="25" width="10.625" style="198" customWidth="1"/>
    <col min="26" max="26" width="9.125" style="198"/>
    <col min="27" max="28" width="9.125" style="267"/>
    <col min="29" max="16384" width="9.125" style="198"/>
  </cols>
  <sheetData>
    <row r="1" spans="8:29" x14ac:dyDescent="0.25">
      <c r="K1" s="365"/>
      <c r="AA1" s="198">
        <f>+Y357+Y358+Y359+Y360+Y361+Y362+Y363+Y364+Y365+Y366+Y367</f>
        <v>4259.1000000000004</v>
      </c>
      <c r="AB1" s="267">
        <f>+Y371+Y372+Y373+Y375+Y376+Y377+Y378+Y379+Y380+Y381+Y383+Y386+Y387</f>
        <v>4259.1000000000004</v>
      </c>
      <c r="AC1" s="198">
        <v>20</v>
      </c>
    </row>
    <row r="2" spans="8:29" x14ac:dyDescent="0.25">
      <c r="K2" s="365"/>
    </row>
    <row r="3" spans="8:29" x14ac:dyDescent="0.25">
      <c r="K3" s="365"/>
    </row>
    <row r="4" spans="8:29" x14ac:dyDescent="0.25">
      <c r="K4" s="365"/>
    </row>
    <row r="5" spans="8:29" x14ac:dyDescent="0.25">
      <c r="L5" s="436">
        <f>WL!B1</f>
        <v>45284</v>
      </c>
      <c r="U5" s="417">
        <f>WL!B1</f>
        <v>45284</v>
      </c>
      <c r="V5" s="418" t="s">
        <v>1197</v>
      </c>
    </row>
    <row r="6" spans="8:29" ht="15" customHeight="1" x14ac:dyDescent="0.25">
      <c r="H6" s="413" t="s">
        <v>151</v>
      </c>
      <c r="I6" s="413" t="s">
        <v>152</v>
      </c>
      <c r="J6" s="413" t="s">
        <v>153</v>
      </c>
      <c r="K6" s="413" t="s">
        <v>154</v>
      </c>
      <c r="L6" s="414" t="s">
        <v>155</v>
      </c>
      <c r="M6" s="414" t="s">
        <v>3</v>
      </c>
      <c r="N6" s="414" t="s">
        <v>1179</v>
      </c>
      <c r="O6" s="414" t="s">
        <v>1180</v>
      </c>
      <c r="P6" s="413" t="s">
        <v>1169</v>
      </c>
      <c r="Q6" s="413" t="s">
        <v>1170</v>
      </c>
      <c r="R6" s="413" t="s">
        <v>1171</v>
      </c>
      <c r="S6" s="415" t="s">
        <v>1169</v>
      </c>
      <c r="T6" s="416" t="s">
        <v>1178</v>
      </c>
      <c r="U6" s="413" t="s">
        <v>114</v>
      </c>
      <c r="V6" s="416" t="s">
        <v>1177</v>
      </c>
      <c r="W6" s="416" t="s">
        <v>114</v>
      </c>
      <c r="X6" s="416" t="s">
        <v>1177</v>
      </c>
    </row>
    <row r="7" spans="8:29" ht="15" customHeight="1" x14ac:dyDescent="0.25">
      <c r="H7" s="516" t="s">
        <v>231</v>
      </c>
      <c r="I7" s="517"/>
      <c r="J7" s="408">
        <v>44563</v>
      </c>
      <c r="K7" s="408">
        <v>45452</v>
      </c>
      <c r="L7" s="407">
        <f t="shared" ref="L7:L8" si="0">K7-J7+1</f>
        <v>890</v>
      </c>
      <c r="M7" s="407"/>
      <c r="N7" s="407"/>
      <c r="O7" s="407"/>
      <c r="P7" s="407"/>
      <c r="Q7" s="407"/>
      <c r="R7" s="407"/>
      <c r="S7" s="409">
        <f>S82+S674+S21</f>
        <v>2231961.5135421888</v>
      </c>
      <c r="T7" s="410">
        <f>T82+T674+T21</f>
        <v>1</v>
      </c>
      <c r="U7" s="407"/>
      <c r="V7" s="410"/>
      <c r="W7" s="433">
        <f>W82*T82+W674*T674+W21*T21</f>
        <v>0.97479757941123202</v>
      </c>
      <c r="X7" s="433">
        <f>X82*T82+X674*T674+X21*T21</f>
        <v>0.21235238791563019</v>
      </c>
      <c r="Z7" s="434"/>
    </row>
    <row r="8" spans="8:29" ht="15" customHeight="1" x14ac:dyDescent="0.25">
      <c r="H8" s="514" t="s">
        <v>232</v>
      </c>
      <c r="I8" s="515"/>
      <c r="J8" s="378"/>
      <c r="K8" s="378"/>
      <c r="L8" s="377">
        <f t="shared" si="0"/>
        <v>1</v>
      </c>
      <c r="M8" s="377"/>
      <c r="N8" s="377"/>
      <c r="O8" s="377"/>
      <c r="P8" s="377"/>
      <c r="Q8" s="377"/>
      <c r="R8" s="377"/>
      <c r="S8" s="387"/>
      <c r="T8" s="379"/>
      <c r="U8" s="377"/>
      <c r="V8" s="379"/>
      <c r="W8" s="379"/>
      <c r="X8" s="379"/>
      <c r="Z8" s="435">
        <v>44686</v>
      </c>
      <c r="AA8" s="267">
        <v>0</v>
      </c>
      <c r="AB8" s="267">
        <v>0</v>
      </c>
      <c r="AC8" s="267"/>
    </row>
    <row r="9" spans="8:29" ht="15" customHeight="1" x14ac:dyDescent="0.25">
      <c r="H9" s="268" t="s">
        <v>233</v>
      </c>
      <c r="I9" s="397"/>
      <c r="J9" s="372"/>
      <c r="K9" s="372"/>
      <c r="L9" s="268">
        <v>0</v>
      </c>
      <c r="M9" s="268"/>
      <c r="N9" s="268"/>
      <c r="O9" s="268"/>
      <c r="P9" s="268"/>
      <c r="Q9" s="268"/>
      <c r="R9" s="268"/>
      <c r="S9" s="269"/>
      <c r="T9" s="357"/>
      <c r="U9" s="268"/>
      <c r="V9" s="357"/>
      <c r="W9" s="357"/>
      <c r="X9" s="357"/>
      <c r="Y9" s="198">
        <f>+U9*N9</f>
        <v>0</v>
      </c>
      <c r="Z9" s="435">
        <f>+Z8+7</f>
        <v>44693</v>
      </c>
      <c r="AA9" s="267">
        <v>0</v>
      </c>
      <c r="AB9" s="267">
        <v>0</v>
      </c>
      <c r="AC9" s="267"/>
    </row>
    <row r="10" spans="8:29" x14ac:dyDescent="0.25">
      <c r="H10" s="268" t="s">
        <v>234</v>
      </c>
      <c r="I10" s="397"/>
      <c r="J10" s="372"/>
      <c r="K10" s="372"/>
      <c r="L10" s="268">
        <v>0</v>
      </c>
      <c r="M10" s="268"/>
      <c r="N10" s="268"/>
      <c r="O10" s="268"/>
      <c r="P10" s="268"/>
      <c r="Q10" s="268"/>
      <c r="R10" s="268"/>
      <c r="S10" s="269"/>
      <c r="T10" s="357"/>
      <c r="U10" s="268"/>
      <c r="V10" s="357"/>
      <c r="W10" s="357"/>
      <c r="X10" s="357"/>
      <c r="Y10" s="198">
        <f t="shared" ref="Y10:Y73" si="1">+U10*N10</f>
        <v>0</v>
      </c>
      <c r="Z10" s="435">
        <f t="shared" ref="Z10:Z73" si="2">+Z9+7</f>
        <v>44700</v>
      </c>
      <c r="AA10" s="267">
        <v>0</v>
      </c>
      <c r="AB10" s="267">
        <v>0</v>
      </c>
      <c r="AC10" s="267"/>
    </row>
    <row r="11" spans="8:29" x14ac:dyDescent="0.25">
      <c r="H11" s="268" t="s">
        <v>235</v>
      </c>
      <c r="I11" s="397"/>
      <c r="J11" s="372"/>
      <c r="K11" s="372"/>
      <c r="L11" s="268">
        <v>0</v>
      </c>
      <c r="M11" s="268"/>
      <c r="N11" s="268"/>
      <c r="O11" s="268"/>
      <c r="P11" s="268"/>
      <c r="Q11" s="268"/>
      <c r="R11" s="268"/>
      <c r="S11" s="269"/>
      <c r="T11" s="357"/>
      <c r="U11" s="268"/>
      <c r="V11" s="357"/>
      <c r="W11" s="357"/>
      <c r="X11" s="357"/>
      <c r="Y11" s="198">
        <f t="shared" si="1"/>
        <v>0</v>
      </c>
      <c r="Z11" s="435">
        <f t="shared" si="2"/>
        <v>44707</v>
      </c>
      <c r="AA11" s="267">
        <v>0</v>
      </c>
      <c r="AB11" s="267">
        <v>0</v>
      </c>
      <c r="AC11" s="267"/>
    </row>
    <row r="12" spans="8:29" x14ac:dyDescent="0.25">
      <c r="H12" s="268" t="s">
        <v>236</v>
      </c>
      <c r="I12" s="397"/>
      <c r="J12" s="372"/>
      <c r="K12" s="372"/>
      <c r="L12" s="268">
        <v>0</v>
      </c>
      <c r="M12" s="268"/>
      <c r="N12" s="268"/>
      <c r="O12" s="268"/>
      <c r="P12" s="268"/>
      <c r="Q12" s="268"/>
      <c r="R12" s="268"/>
      <c r="S12" s="269"/>
      <c r="T12" s="357"/>
      <c r="U12" s="268"/>
      <c r="V12" s="357"/>
      <c r="W12" s="357"/>
      <c r="X12" s="357"/>
      <c r="Y12" s="198">
        <f t="shared" si="1"/>
        <v>0</v>
      </c>
      <c r="Z12" s="435">
        <f t="shared" si="2"/>
        <v>44714</v>
      </c>
      <c r="AA12" s="267">
        <v>0</v>
      </c>
      <c r="AB12" s="267">
        <v>0</v>
      </c>
      <c r="AC12" s="267"/>
    </row>
    <row r="13" spans="8:29" x14ac:dyDescent="0.25">
      <c r="H13" s="268" t="s">
        <v>237</v>
      </c>
      <c r="I13" s="397"/>
      <c r="J13" s="372"/>
      <c r="K13" s="372"/>
      <c r="L13" s="268">
        <v>0</v>
      </c>
      <c r="M13" s="268"/>
      <c r="N13" s="268"/>
      <c r="O13" s="268"/>
      <c r="P13" s="268"/>
      <c r="Q13" s="268"/>
      <c r="R13" s="268"/>
      <c r="S13" s="269"/>
      <c r="T13" s="357"/>
      <c r="U13" s="268"/>
      <c r="V13" s="357"/>
      <c r="W13" s="357"/>
      <c r="X13" s="357"/>
      <c r="Y13" s="198">
        <f t="shared" si="1"/>
        <v>0</v>
      </c>
      <c r="Z13" s="435">
        <f t="shared" si="2"/>
        <v>44721</v>
      </c>
      <c r="AA13" s="267">
        <v>0</v>
      </c>
      <c r="AB13" s="267">
        <v>0</v>
      </c>
      <c r="AC13" s="267"/>
    </row>
    <row r="14" spans="8:29" x14ac:dyDescent="0.25">
      <c r="H14" s="268" t="s">
        <v>238</v>
      </c>
      <c r="I14" s="397"/>
      <c r="J14" s="372"/>
      <c r="K14" s="372"/>
      <c r="L14" s="268">
        <v>0</v>
      </c>
      <c r="M14" s="268"/>
      <c r="N14" s="268"/>
      <c r="O14" s="268"/>
      <c r="P14" s="268"/>
      <c r="Q14" s="268"/>
      <c r="R14" s="268"/>
      <c r="S14" s="269"/>
      <c r="T14" s="357"/>
      <c r="U14" s="268"/>
      <c r="V14" s="357"/>
      <c r="W14" s="357"/>
      <c r="X14" s="357"/>
      <c r="Y14" s="198">
        <f t="shared" si="1"/>
        <v>0</v>
      </c>
      <c r="Z14" s="435">
        <f t="shared" si="2"/>
        <v>44728</v>
      </c>
      <c r="AA14" s="267">
        <v>0</v>
      </c>
      <c r="AB14" s="267">
        <v>0</v>
      </c>
      <c r="AC14" s="267"/>
    </row>
    <row r="15" spans="8:29" x14ac:dyDescent="0.25">
      <c r="H15" s="268" t="s">
        <v>239</v>
      </c>
      <c r="I15" s="397"/>
      <c r="J15" s="372"/>
      <c r="K15" s="372"/>
      <c r="L15" s="268">
        <v>0</v>
      </c>
      <c r="M15" s="268"/>
      <c r="N15" s="268"/>
      <c r="O15" s="268"/>
      <c r="P15" s="268"/>
      <c r="Q15" s="268"/>
      <c r="R15" s="268"/>
      <c r="S15" s="269"/>
      <c r="T15" s="357"/>
      <c r="U15" s="268"/>
      <c r="V15" s="357"/>
      <c r="W15" s="357"/>
      <c r="X15" s="357"/>
      <c r="Y15" s="198">
        <f t="shared" si="1"/>
        <v>0</v>
      </c>
      <c r="Z15" s="435">
        <f t="shared" si="2"/>
        <v>44735</v>
      </c>
      <c r="AA15" s="267">
        <v>0</v>
      </c>
      <c r="AB15" s="267">
        <v>0</v>
      </c>
      <c r="AC15" s="267"/>
    </row>
    <row r="16" spans="8:29" x14ac:dyDescent="0.25">
      <c r="H16" s="268" t="s">
        <v>240</v>
      </c>
      <c r="I16" s="397"/>
      <c r="J16" s="372"/>
      <c r="K16" s="372"/>
      <c r="L16" s="268">
        <v>0</v>
      </c>
      <c r="M16" s="268"/>
      <c r="N16" s="268"/>
      <c r="O16" s="268"/>
      <c r="P16" s="268"/>
      <c r="Q16" s="268"/>
      <c r="R16" s="268"/>
      <c r="S16" s="269"/>
      <c r="T16" s="357"/>
      <c r="U16" s="268"/>
      <c r="V16" s="357"/>
      <c r="W16" s="357"/>
      <c r="X16" s="357"/>
      <c r="Y16" s="198">
        <f t="shared" si="1"/>
        <v>0</v>
      </c>
      <c r="Z16" s="435">
        <f t="shared" si="2"/>
        <v>44742</v>
      </c>
      <c r="AA16" s="267">
        <v>0</v>
      </c>
      <c r="AB16" s="267">
        <v>0</v>
      </c>
      <c r="AC16" s="267"/>
    </row>
    <row r="17" spans="8:29" x14ac:dyDescent="0.25">
      <c r="H17" s="268" t="s">
        <v>241</v>
      </c>
      <c r="I17" s="397"/>
      <c r="J17" s="372"/>
      <c r="K17" s="372"/>
      <c r="L17" s="268">
        <v>0</v>
      </c>
      <c r="M17" s="268"/>
      <c r="N17" s="268"/>
      <c r="O17" s="268"/>
      <c r="P17" s="268"/>
      <c r="Q17" s="268"/>
      <c r="R17" s="268"/>
      <c r="S17" s="269"/>
      <c r="T17" s="357"/>
      <c r="U17" s="268"/>
      <c r="V17" s="357"/>
      <c r="W17" s="357"/>
      <c r="X17" s="357"/>
      <c r="Y17" s="198">
        <f t="shared" si="1"/>
        <v>0</v>
      </c>
      <c r="Z17" s="435">
        <f t="shared" si="2"/>
        <v>44749</v>
      </c>
      <c r="AA17" s="267">
        <v>0</v>
      </c>
      <c r="AB17" s="267">
        <v>0</v>
      </c>
      <c r="AC17" s="267"/>
    </row>
    <row r="18" spans="8:29" x14ac:dyDescent="0.25">
      <c r="H18" s="268" t="s">
        <v>242</v>
      </c>
      <c r="I18" s="397"/>
      <c r="J18" s="268"/>
      <c r="K18" s="372"/>
      <c r="L18" s="268">
        <v>0</v>
      </c>
      <c r="M18" s="268"/>
      <c r="N18" s="268"/>
      <c r="O18" s="268"/>
      <c r="P18" s="268"/>
      <c r="Q18" s="268"/>
      <c r="R18" s="268"/>
      <c r="S18" s="269"/>
      <c r="T18" s="357"/>
      <c r="U18" s="268"/>
      <c r="V18" s="357"/>
      <c r="W18" s="357"/>
      <c r="X18" s="357"/>
      <c r="Y18" s="198">
        <f t="shared" si="1"/>
        <v>0</v>
      </c>
      <c r="Z18" s="435">
        <f t="shared" si="2"/>
        <v>44756</v>
      </c>
      <c r="AA18" s="267">
        <v>0</v>
      </c>
      <c r="AB18" s="267">
        <v>0</v>
      </c>
      <c r="AC18" s="267"/>
    </row>
    <row r="19" spans="8:29" x14ac:dyDescent="0.25">
      <c r="H19" s="268" t="s">
        <v>243</v>
      </c>
      <c r="I19" s="397"/>
      <c r="J19" s="268"/>
      <c r="K19" s="372"/>
      <c r="L19" s="268">
        <v>0</v>
      </c>
      <c r="M19" s="268"/>
      <c r="N19" s="268"/>
      <c r="O19" s="268"/>
      <c r="P19" s="268"/>
      <c r="Q19" s="268"/>
      <c r="R19" s="268"/>
      <c r="S19" s="269"/>
      <c r="T19" s="357"/>
      <c r="U19" s="268"/>
      <c r="V19" s="357"/>
      <c r="W19" s="357"/>
      <c r="X19" s="357"/>
      <c r="Y19" s="198">
        <f t="shared" si="1"/>
        <v>0</v>
      </c>
      <c r="Z19" s="435">
        <f t="shared" si="2"/>
        <v>44763</v>
      </c>
      <c r="AA19" s="267">
        <v>0</v>
      </c>
      <c r="AB19" s="267">
        <v>0</v>
      </c>
      <c r="AC19" s="267"/>
    </row>
    <row r="20" spans="8:29" x14ac:dyDescent="0.25">
      <c r="H20" s="268" t="s">
        <v>244</v>
      </c>
      <c r="I20" s="397"/>
      <c r="J20" s="268"/>
      <c r="K20" s="372"/>
      <c r="L20" s="268">
        <v>0</v>
      </c>
      <c r="M20" s="268"/>
      <c r="N20" s="268"/>
      <c r="O20" s="268"/>
      <c r="P20" s="268"/>
      <c r="Q20" s="268"/>
      <c r="R20" s="268"/>
      <c r="S20" s="269"/>
      <c r="T20" s="357"/>
      <c r="U20" s="268"/>
      <c r="V20" s="357"/>
      <c r="W20" s="357"/>
      <c r="X20" s="357"/>
      <c r="Y20" s="198">
        <f t="shared" si="1"/>
        <v>0</v>
      </c>
      <c r="Z20" s="435">
        <f t="shared" si="2"/>
        <v>44770</v>
      </c>
      <c r="AA20" s="267">
        <v>0</v>
      </c>
      <c r="AB20" s="267">
        <v>0</v>
      </c>
      <c r="AC20" s="267"/>
    </row>
    <row r="21" spans="8:29" x14ac:dyDescent="0.25">
      <c r="H21" s="512" t="s">
        <v>245</v>
      </c>
      <c r="I21" s="513"/>
      <c r="J21" s="367"/>
      <c r="K21" s="367"/>
      <c r="L21" s="366">
        <f t="shared" ref="L21:L22" si="3">K21-J21+1</f>
        <v>1</v>
      </c>
      <c r="M21" s="366"/>
      <c r="N21" s="366"/>
      <c r="O21" s="366"/>
      <c r="P21" s="366"/>
      <c r="Q21" s="366"/>
      <c r="R21" s="366"/>
      <c r="S21" s="403">
        <f>S22+S30+S50+S63</f>
        <v>31360</v>
      </c>
      <c r="T21" s="404">
        <f>S21/S7</f>
        <v>1.4050421483402173E-2</v>
      </c>
      <c r="U21" s="366"/>
      <c r="V21" s="405"/>
      <c r="W21" s="405">
        <f>W22*T22+W30*T30+W50*T50+W63*T63</f>
        <v>0.99999999999999989</v>
      </c>
      <c r="X21" s="405">
        <f>X22*T22+X30*T30+X50*T50+X63*T63</f>
        <v>0.84464285714285725</v>
      </c>
      <c r="Y21" s="198">
        <f t="shared" si="1"/>
        <v>0</v>
      </c>
      <c r="Z21" s="435">
        <f t="shared" si="2"/>
        <v>44777</v>
      </c>
      <c r="AA21" s="267">
        <v>0</v>
      </c>
      <c r="AB21" s="267">
        <v>0</v>
      </c>
      <c r="AC21" s="267"/>
    </row>
    <row r="22" spans="8:29" x14ac:dyDescent="0.25">
      <c r="H22" s="510" t="s">
        <v>246</v>
      </c>
      <c r="I22" s="511"/>
      <c r="J22" s="392"/>
      <c r="K22" s="392"/>
      <c r="L22" s="368">
        <f t="shared" si="3"/>
        <v>1</v>
      </c>
      <c r="M22" s="368"/>
      <c r="N22" s="368"/>
      <c r="O22" s="368"/>
      <c r="P22" s="368"/>
      <c r="Q22" s="368"/>
      <c r="R22" s="368"/>
      <c r="S22" s="400">
        <f>SUM(S23:S29)</f>
        <v>3920</v>
      </c>
      <c r="T22" s="356">
        <f>S22/S21</f>
        <v>0.125</v>
      </c>
      <c r="U22" s="368"/>
      <c r="V22" s="356"/>
      <c r="W22" s="356">
        <f>SUM(W23:W29)</f>
        <v>0.99999999999999978</v>
      </c>
      <c r="X22" s="356">
        <f>SUM(X23:X29)</f>
        <v>0.99999999999999978</v>
      </c>
      <c r="Y22" s="198">
        <f t="shared" si="1"/>
        <v>0</v>
      </c>
      <c r="Z22" s="435">
        <f t="shared" si="2"/>
        <v>44784</v>
      </c>
      <c r="AA22" s="267">
        <v>0</v>
      </c>
      <c r="AB22" s="267">
        <v>0</v>
      </c>
      <c r="AC22" s="267"/>
    </row>
    <row r="23" spans="8:29" x14ac:dyDescent="0.25">
      <c r="H23" s="268" t="s">
        <v>247</v>
      </c>
      <c r="I23" s="397"/>
      <c r="J23" s="372"/>
      <c r="K23" s="372"/>
      <c r="L23" s="268">
        <v>0</v>
      </c>
      <c r="M23" s="268" t="s">
        <v>1183</v>
      </c>
      <c r="N23" s="268">
        <v>100</v>
      </c>
      <c r="O23" s="268">
        <v>100</v>
      </c>
      <c r="P23" s="268"/>
      <c r="Q23" s="268"/>
      <c r="R23" s="268"/>
      <c r="S23" s="269">
        <v>560</v>
      </c>
      <c r="T23" s="357">
        <f>S23/$S$22</f>
        <v>0.14285714285714285</v>
      </c>
      <c r="U23" s="359">
        <f t="shared" ref="U23:U81" si="4">IF($J23&gt;U$5,0,IF($K23&lt;U$5,1,IF(U$5=$K23,1,((U$5-$J23+1)/($K23-$J23+1)))))</f>
        <v>1</v>
      </c>
      <c r="V23" s="357">
        <f t="shared" ref="V23:V29" si="5">IFERROR(O23/N23,0)</f>
        <v>1</v>
      </c>
      <c r="W23" s="357">
        <f t="shared" ref="W23:W29" si="6">U23*$T23</f>
        <v>0.14285714285714285</v>
      </c>
      <c r="X23" s="357">
        <f t="shared" ref="X23:X29" si="7">V23*$T23</f>
        <v>0.14285714285714285</v>
      </c>
      <c r="Y23" s="198">
        <f t="shared" si="1"/>
        <v>100</v>
      </c>
      <c r="Z23" s="435">
        <f t="shared" si="2"/>
        <v>44791</v>
      </c>
      <c r="AA23" s="267">
        <v>0</v>
      </c>
      <c r="AB23" s="267">
        <v>0</v>
      </c>
      <c r="AC23" s="267"/>
    </row>
    <row r="24" spans="8:29" x14ac:dyDescent="0.25">
      <c r="H24" s="268" t="s">
        <v>248</v>
      </c>
      <c r="I24" s="397"/>
      <c r="J24" s="372"/>
      <c r="K24" s="372"/>
      <c r="L24" s="268">
        <v>0</v>
      </c>
      <c r="M24" s="268" t="s">
        <v>1183</v>
      </c>
      <c r="N24" s="268">
        <v>100</v>
      </c>
      <c r="O24" s="268">
        <v>100</v>
      </c>
      <c r="P24" s="268"/>
      <c r="Q24" s="268"/>
      <c r="R24" s="268"/>
      <c r="S24" s="269">
        <v>560</v>
      </c>
      <c r="T24" s="357">
        <f t="shared" ref="T24:T29" si="8">S24/$S$22</f>
        <v>0.14285714285714285</v>
      </c>
      <c r="U24" s="359">
        <f t="shared" si="4"/>
        <v>1</v>
      </c>
      <c r="V24" s="357">
        <f t="shared" si="5"/>
        <v>1</v>
      </c>
      <c r="W24" s="357">
        <f t="shared" si="6"/>
        <v>0.14285714285714285</v>
      </c>
      <c r="X24" s="357">
        <f t="shared" si="7"/>
        <v>0.14285714285714285</v>
      </c>
      <c r="Y24" s="198">
        <f t="shared" si="1"/>
        <v>100</v>
      </c>
      <c r="Z24" s="435">
        <f t="shared" si="2"/>
        <v>44798</v>
      </c>
      <c r="AA24" s="267">
        <v>0</v>
      </c>
      <c r="AB24" s="267">
        <v>0</v>
      </c>
      <c r="AC24" s="267"/>
    </row>
    <row r="25" spans="8:29" x14ac:dyDescent="0.25">
      <c r="H25" s="268" t="s">
        <v>249</v>
      </c>
      <c r="I25" s="397"/>
      <c r="J25" s="372"/>
      <c r="K25" s="372"/>
      <c r="L25" s="268">
        <v>0</v>
      </c>
      <c r="M25" s="268" t="s">
        <v>1183</v>
      </c>
      <c r="N25" s="268">
        <v>100</v>
      </c>
      <c r="O25" s="268">
        <v>100</v>
      </c>
      <c r="P25" s="268"/>
      <c r="Q25" s="268"/>
      <c r="R25" s="268"/>
      <c r="S25" s="269">
        <v>560</v>
      </c>
      <c r="T25" s="357">
        <f t="shared" si="8"/>
        <v>0.14285714285714285</v>
      </c>
      <c r="U25" s="359">
        <f t="shared" si="4"/>
        <v>1</v>
      </c>
      <c r="V25" s="357">
        <f t="shared" si="5"/>
        <v>1</v>
      </c>
      <c r="W25" s="357">
        <f t="shared" si="6"/>
        <v>0.14285714285714285</v>
      </c>
      <c r="X25" s="357">
        <f t="shared" si="7"/>
        <v>0.14285714285714285</v>
      </c>
      <c r="Y25" s="198">
        <f t="shared" si="1"/>
        <v>100</v>
      </c>
      <c r="Z25" s="435">
        <f t="shared" si="2"/>
        <v>44805</v>
      </c>
      <c r="AA25" s="267">
        <v>0</v>
      </c>
      <c r="AB25" s="267">
        <v>0</v>
      </c>
      <c r="AC25" s="267"/>
    </row>
    <row r="26" spans="8:29" x14ac:dyDescent="0.25">
      <c r="H26" s="268" t="s">
        <v>250</v>
      </c>
      <c r="I26" s="397"/>
      <c r="J26" s="372"/>
      <c r="K26" s="372"/>
      <c r="L26" s="268">
        <v>0</v>
      </c>
      <c r="M26" s="268" t="s">
        <v>1183</v>
      </c>
      <c r="N26" s="268">
        <v>100</v>
      </c>
      <c r="O26" s="268">
        <v>100</v>
      </c>
      <c r="P26" s="268"/>
      <c r="Q26" s="268"/>
      <c r="R26" s="268"/>
      <c r="S26" s="269">
        <v>560</v>
      </c>
      <c r="T26" s="357">
        <f t="shared" si="8"/>
        <v>0.14285714285714285</v>
      </c>
      <c r="U26" s="359">
        <f t="shared" si="4"/>
        <v>1</v>
      </c>
      <c r="V26" s="357">
        <f t="shared" si="5"/>
        <v>1</v>
      </c>
      <c r="W26" s="357">
        <f t="shared" si="6"/>
        <v>0.14285714285714285</v>
      </c>
      <c r="X26" s="357">
        <f t="shared" si="7"/>
        <v>0.14285714285714285</v>
      </c>
      <c r="Y26" s="198">
        <f t="shared" si="1"/>
        <v>100</v>
      </c>
      <c r="Z26" s="435">
        <f t="shared" si="2"/>
        <v>44812</v>
      </c>
      <c r="AA26" s="267">
        <v>0</v>
      </c>
      <c r="AB26" s="267">
        <v>0</v>
      </c>
      <c r="AC26" s="267"/>
    </row>
    <row r="27" spans="8:29" x14ac:dyDescent="0.25">
      <c r="H27" s="268" t="s">
        <v>251</v>
      </c>
      <c r="I27" s="397"/>
      <c r="J27" s="372"/>
      <c r="K27" s="372"/>
      <c r="L27" s="268">
        <v>0</v>
      </c>
      <c r="M27" s="268" t="s">
        <v>1183</v>
      </c>
      <c r="N27" s="268">
        <v>100</v>
      </c>
      <c r="O27" s="268">
        <v>100</v>
      </c>
      <c r="P27" s="268"/>
      <c r="Q27" s="268"/>
      <c r="R27" s="268"/>
      <c r="S27" s="269">
        <v>560</v>
      </c>
      <c r="T27" s="357">
        <f t="shared" si="8"/>
        <v>0.14285714285714285</v>
      </c>
      <c r="U27" s="359">
        <f t="shared" si="4"/>
        <v>1</v>
      </c>
      <c r="V27" s="357">
        <f t="shared" si="5"/>
        <v>1</v>
      </c>
      <c r="W27" s="357">
        <f t="shared" si="6"/>
        <v>0.14285714285714285</v>
      </c>
      <c r="X27" s="357">
        <f t="shared" si="7"/>
        <v>0.14285714285714285</v>
      </c>
      <c r="Y27" s="198">
        <f t="shared" si="1"/>
        <v>100</v>
      </c>
      <c r="Z27" s="435">
        <f t="shared" si="2"/>
        <v>44819</v>
      </c>
      <c r="AA27" s="267">
        <v>3.3938775510204082</v>
      </c>
      <c r="AB27" s="267">
        <v>0</v>
      </c>
      <c r="AC27" s="267"/>
    </row>
    <row r="28" spans="8:29" x14ac:dyDescent="0.25">
      <c r="H28" s="268" t="s">
        <v>252</v>
      </c>
      <c r="I28" s="397"/>
      <c r="J28" s="372"/>
      <c r="K28" s="372"/>
      <c r="L28" s="268">
        <v>0</v>
      </c>
      <c r="M28" s="268" t="s">
        <v>1183</v>
      </c>
      <c r="N28" s="268">
        <v>100</v>
      </c>
      <c r="O28" s="268">
        <v>100</v>
      </c>
      <c r="P28" s="268"/>
      <c r="Q28" s="268"/>
      <c r="R28" s="268"/>
      <c r="S28" s="269">
        <v>560</v>
      </c>
      <c r="T28" s="357">
        <f t="shared" si="8"/>
        <v>0.14285714285714285</v>
      </c>
      <c r="U28" s="359">
        <f t="shared" si="4"/>
        <v>1</v>
      </c>
      <c r="V28" s="357">
        <f t="shared" si="5"/>
        <v>1</v>
      </c>
      <c r="W28" s="357">
        <f t="shared" si="6"/>
        <v>0.14285714285714285</v>
      </c>
      <c r="X28" s="357">
        <f t="shared" si="7"/>
        <v>0.14285714285714285</v>
      </c>
      <c r="Y28" s="198">
        <f t="shared" si="1"/>
        <v>100</v>
      </c>
      <c r="Z28" s="435">
        <f t="shared" si="2"/>
        <v>44826</v>
      </c>
      <c r="AA28" s="267">
        <v>15.272448979591839</v>
      </c>
      <c r="AB28" s="267">
        <v>0</v>
      </c>
      <c r="AC28" s="267"/>
    </row>
    <row r="29" spans="8:29" x14ac:dyDescent="0.25">
      <c r="H29" s="268" t="s">
        <v>253</v>
      </c>
      <c r="I29" s="397"/>
      <c r="J29" s="372"/>
      <c r="K29" s="372"/>
      <c r="L29" s="268">
        <v>0</v>
      </c>
      <c r="M29" s="268" t="s">
        <v>1183</v>
      </c>
      <c r="N29" s="268">
        <v>100</v>
      </c>
      <c r="O29" s="268">
        <v>100</v>
      </c>
      <c r="P29" s="268"/>
      <c r="Q29" s="268"/>
      <c r="R29" s="268"/>
      <c r="S29" s="269">
        <v>560</v>
      </c>
      <c r="T29" s="357">
        <f t="shared" si="8"/>
        <v>0.14285714285714285</v>
      </c>
      <c r="U29" s="359">
        <f t="shared" si="4"/>
        <v>1</v>
      </c>
      <c r="V29" s="357">
        <f t="shared" si="5"/>
        <v>1</v>
      </c>
      <c r="W29" s="357">
        <f t="shared" si="6"/>
        <v>0.14285714285714285</v>
      </c>
      <c r="X29" s="357">
        <f t="shared" si="7"/>
        <v>0.14285714285714285</v>
      </c>
      <c r="Y29" s="198">
        <f t="shared" si="1"/>
        <v>100</v>
      </c>
      <c r="Z29" s="435">
        <f t="shared" si="2"/>
        <v>44833</v>
      </c>
      <c r="AA29" s="267">
        <v>27.151020408163266</v>
      </c>
      <c r="AB29" s="267">
        <v>0</v>
      </c>
      <c r="AC29" s="267"/>
    </row>
    <row r="30" spans="8:29" x14ac:dyDescent="0.25">
      <c r="H30" s="510" t="s">
        <v>254</v>
      </c>
      <c r="I30" s="511"/>
      <c r="J30" s="392"/>
      <c r="K30" s="392"/>
      <c r="L30" s="368">
        <f t="shared" ref="L30" si="9">K30-J30+1</f>
        <v>1</v>
      </c>
      <c r="M30" s="368"/>
      <c r="N30" s="368"/>
      <c r="O30" s="368"/>
      <c r="P30" s="368"/>
      <c r="Q30" s="368"/>
      <c r="R30" s="368"/>
      <c r="S30" s="400">
        <f>SUM(S31:S49)</f>
        <v>10640</v>
      </c>
      <c r="T30" s="356">
        <f>S30/S21</f>
        <v>0.3392857142857143</v>
      </c>
      <c r="U30" s="368"/>
      <c r="V30" s="356"/>
      <c r="W30" s="356">
        <f>SUM(W31:W49)</f>
        <v>0.99999999999999956</v>
      </c>
      <c r="X30" s="356">
        <f>SUM(X31:X49)</f>
        <v>0.71578947368421053</v>
      </c>
      <c r="Y30" s="198">
        <f t="shared" si="1"/>
        <v>0</v>
      </c>
      <c r="Z30" s="435">
        <f t="shared" si="2"/>
        <v>44840</v>
      </c>
      <c r="AA30" s="267">
        <v>39.029591836734696</v>
      </c>
      <c r="AB30" s="267">
        <v>0</v>
      </c>
      <c r="AC30" s="267"/>
    </row>
    <row r="31" spans="8:29" x14ac:dyDescent="0.25">
      <c r="H31" s="268" t="s">
        <v>255</v>
      </c>
      <c r="I31" s="397"/>
      <c r="J31" s="372"/>
      <c r="K31" s="372"/>
      <c r="L31" s="268">
        <v>0</v>
      </c>
      <c r="M31" s="268" t="s">
        <v>1183</v>
      </c>
      <c r="N31" s="268">
        <v>100</v>
      </c>
      <c r="O31" s="268">
        <v>100</v>
      </c>
      <c r="P31" s="268"/>
      <c r="Q31" s="268"/>
      <c r="R31" s="268"/>
      <c r="S31" s="269">
        <v>560</v>
      </c>
      <c r="T31" s="357">
        <f>S31/$S$30</f>
        <v>5.2631578947368418E-2</v>
      </c>
      <c r="U31" s="359">
        <f t="shared" si="4"/>
        <v>1</v>
      </c>
      <c r="V31" s="357">
        <f t="shared" ref="V31:V32" si="10">IFERROR(O31/N31,0)</f>
        <v>1</v>
      </c>
      <c r="W31" s="357">
        <f t="shared" ref="W31:W32" si="11">U31*$T31</f>
        <v>5.2631578947368418E-2</v>
      </c>
      <c r="X31" s="357">
        <f t="shared" ref="X31:X32" si="12">V31*$T31</f>
        <v>5.2631578947368418E-2</v>
      </c>
      <c r="Y31" s="198">
        <f t="shared" si="1"/>
        <v>100</v>
      </c>
      <c r="Z31" s="435">
        <f t="shared" si="2"/>
        <v>44847</v>
      </c>
      <c r="AA31" s="267">
        <v>50.908163265306129</v>
      </c>
      <c r="AB31" s="267">
        <v>0</v>
      </c>
      <c r="AC31" s="267"/>
    </row>
    <row r="32" spans="8:29" x14ac:dyDescent="0.25">
      <c r="H32" s="268" t="s">
        <v>256</v>
      </c>
      <c r="I32" s="397"/>
      <c r="J32" s="372"/>
      <c r="K32" s="372"/>
      <c r="L32" s="268">
        <v>0</v>
      </c>
      <c r="M32" s="268" t="s">
        <v>1183</v>
      </c>
      <c r="N32" s="268">
        <v>100</v>
      </c>
      <c r="O32" s="268">
        <v>100</v>
      </c>
      <c r="P32" s="268"/>
      <c r="Q32" s="268"/>
      <c r="R32" s="268"/>
      <c r="S32" s="269">
        <v>560</v>
      </c>
      <c r="T32" s="357">
        <f t="shared" ref="T32:T49" si="13">S32/$S$30</f>
        <v>5.2631578947368418E-2</v>
      </c>
      <c r="U32" s="359">
        <f t="shared" si="4"/>
        <v>1</v>
      </c>
      <c r="V32" s="357">
        <f t="shared" si="10"/>
        <v>1</v>
      </c>
      <c r="W32" s="357">
        <f t="shared" si="11"/>
        <v>5.2631578947368418E-2</v>
      </c>
      <c r="X32" s="357">
        <f t="shared" si="12"/>
        <v>5.2631578947368418E-2</v>
      </c>
      <c r="Y32" s="198">
        <f t="shared" si="1"/>
        <v>100</v>
      </c>
      <c r="Z32" s="435">
        <f t="shared" si="2"/>
        <v>44854</v>
      </c>
      <c r="AA32" s="267">
        <v>62.786734693877548</v>
      </c>
      <c r="AB32" s="267">
        <v>0</v>
      </c>
      <c r="AC32" s="267"/>
    </row>
    <row r="33" spans="8:29" x14ac:dyDescent="0.25">
      <c r="H33" s="268" t="s">
        <v>257</v>
      </c>
      <c r="I33" s="397"/>
      <c r="J33" s="372"/>
      <c r="K33" s="372"/>
      <c r="L33" s="268">
        <v>0</v>
      </c>
      <c r="M33" s="268" t="s">
        <v>1183</v>
      </c>
      <c r="N33" s="268">
        <v>100</v>
      </c>
      <c r="O33" s="268">
        <v>100</v>
      </c>
      <c r="P33" s="268"/>
      <c r="Q33" s="268"/>
      <c r="R33" s="268"/>
      <c r="S33" s="269">
        <v>560</v>
      </c>
      <c r="T33" s="357">
        <f t="shared" si="13"/>
        <v>5.2631578947368418E-2</v>
      </c>
      <c r="U33" s="359">
        <f t="shared" si="4"/>
        <v>1</v>
      </c>
      <c r="V33" s="357">
        <f t="shared" ref="V33:V49" si="14">IFERROR(O33/N33,0)</f>
        <v>1</v>
      </c>
      <c r="W33" s="357">
        <f t="shared" ref="W33:W49" si="15">U33*$T33</f>
        <v>5.2631578947368418E-2</v>
      </c>
      <c r="X33" s="357">
        <f t="shared" ref="X33:X49" si="16">V33*$T33</f>
        <v>5.2631578947368418E-2</v>
      </c>
      <c r="Y33" s="198">
        <f t="shared" si="1"/>
        <v>100</v>
      </c>
      <c r="Z33" s="435">
        <f t="shared" si="2"/>
        <v>44861</v>
      </c>
      <c r="AA33" s="267">
        <v>74.665306122448982</v>
      </c>
      <c r="AB33" s="267">
        <v>0</v>
      </c>
      <c r="AC33" s="267"/>
    </row>
    <row r="34" spans="8:29" x14ac:dyDescent="0.25">
      <c r="H34" s="268" t="s">
        <v>258</v>
      </c>
      <c r="I34" s="397"/>
      <c r="J34" s="372"/>
      <c r="K34" s="372"/>
      <c r="L34" s="268">
        <v>0</v>
      </c>
      <c r="M34" s="268" t="s">
        <v>1183</v>
      </c>
      <c r="N34" s="268">
        <v>100</v>
      </c>
      <c r="O34" s="268">
        <v>100</v>
      </c>
      <c r="P34" s="268"/>
      <c r="Q34" s="268"/>
      <c r="R34" s="268"/>
      <c r="S34" s="269">
        <v>560</v>
      </c>
      <c r="T34" s="357">
        <f t="shared" si="13"/>
        <v>5.2631578947368418E-2</v>
      </c>
      <c r="U34" s="359">
        <f t="shared" si="4"/>
        <v>1</v>
      </c>
      <c r="V34" s="357">
        <f t="shared" si="14"/>
        <v>1</v>
      </c>
      <c r="W34" s="357">
        <f t="shared" si="15"/>
        <v>5.2631578947368418E-2</v>
      </c>
      <c r="X34" s="357">
        <f t="shared" si="16"/>
        <v>5.2631578947368418E-2</v>
      </c>
      <c r="Y34" s="198">
        <f t="shared" si="1"/>
        <v>100</v>
      </c>
      <c r="Z34" s="435">
        <f t="shared" si="2"/>
        <v>44868</v>
      </c>
      <c r="AA34" s="267">
        <v>106.32353856796956</v>
      </c>
      <c r="AB34" s="267">
        <v>0</v>
      </c>
      <c r="AC34" s="267"/>
    </row>
    <row r="35" spans="8:29" x14ac:dyDescent="0.25">
      <c r="H35" s="268" t="s">
        <v>259</v>
      </c>
      <c r="I35" s="397"/>
      <c r="J35" s="372"/>
      <c r="K35" s="372"/>
      <c r="L35" s="268">
        <v>0</v>
      </c>
      <c r="M35" s="268" t="s">
        <v>1183</v>
      </c>
      <c r="N35" s="268">
        <v>100</v>
      </c>
      <c r="O35" s="268">
        <v>100</v>
      </c>
      <c r="P35" s="268"/>
      <c r="Q35" s="268"/>
      <c r="R35" s="268"/>
      <c r="S35" s="269">
        <v>560</v>
      </c>
      <c r="T35" s="357">
        <f t="shared" si="13"/>
        <v>5.2631578947368418E-2</v>
      </c>
      <c r="U35" s="359">
        <f t="shared" si="4"/>
        <v>1</v>
      </c>
      <c r="V35" s="357">
        <f t="shared" si="14"/>
        <v>1</v>
      </c>
      <c r="W35" s="357">
        <f t="shared" si="15"/>
        <v>5.2631578947368418E-2</v>
      </c>
      <c r="X35" s="357">
        <f t="shared" si="16"/>
        <v>5.2631578947368418E-2</v>
      </c>
      <c r="Y35" s="198">
        <f t="shared" si="1"/>
        <v>100</v>
      </c>
      <c r="Z35" s="435">
        <f t="shared" si="2"/>
        <v>44875</v>
      </c>
      <c r="AA35" s="267">
        <v>224.34868622689839</v>
      </c>
      <c r="AB35" s="267">
        <v>0</v>
      </c>
      <c r="AC35" s="267"/>
    </row>
    <row r="36" spans="8:29" x14ac:dyDescent="0.25">
      <c r="H36" s="268" t="s">
        <v>260</v>
      </c>
      <c r="I36" s="397"/>
      <c r="J36" s="372"/>
      <c r="K36" s="372"/>
      <c r="L36" s="268">
        <v>0</v>
      </c>
      <c r="M36" s="268" t="s">
        <v>1183</v>
      </c>
      <c r="N36" s="268">
        <v>100</v>
      </c>
      <c r="O36" s="268">
        <v>100</v>
      </c>
      <c r="P36" s="268"/>
      <c r="Q36" s="268"/>
      <c r="R36" s="268"/>
      <c r="S36" s="269">
        <v>560</v>
      </c>
      <c r="T36" s="357">
        <f t="shared" si="13"/>
        <v>5.2631578947368418E-2</v>
      </c>
      <c r="U36" s="359">
        <f t="shared" si="4"/>
        <v>1</v>
      </c>
      <c r="V36" s="357">
        <f t="shared" si="14"/>
        <v>1</v>
      </c>
      <c r="W36" s="357">
        <f t="shared" si="15"/>
        <v>5.2631578947368418E-2</v>
      </c>
      <c r="X36" s="357">
        <f t="shared" si="16"/>
        <v>5.2631578947368418E-2</v>
      </c>
      <c r="Y36" s="198">
        <f t="shared" si="1"/>
        <v>100</v>
      </c>
      <c r="Z36" s="435">
        <f t="shared" si="2"/>
        <v>44882</v>
      </c>
      <c r="AA36" s="267">
        <v>361.34209645734182</v>
      </c>
      <c r="AB36" s="267">
        <v>0</v>
      </c>
      <c r="AC36" s="267"/>
    </row>
    <row r="37" spans="8:29" x14ac:dyDescent="0.25">
      <c r="H37" s="268" t="s">
        <v>261</v>
      </c>
      <c r="I37" s="397"/>
      <c r="J37" s="372"/>
      <c r="K37" s="372"/>
      <c r="L37" s="268">
        <v>0</v>
      </c>
      <c r="M37" s="268" t="s">
        <v>1183</v>
      </c>
      <c r="N37" s="268">
        <v>100</v>
      </c>
      <c r="O37" s="268">
        <v>100</v>
      </c>
      <c r="P37" s="268"/>
      <c r="Q37" s="268"/>
      <c r="R37" s="268"/>
      <c r="S37" s="269">
        <v>560</v>
      </c>
      <c r="T37" s="357">
        <f t="shared" si="13"/>
        <v>5.2631578947368418E-2</v>
      </c>
      <c r="U37" s="359">
        <f t="shared" si="4"/>
        <v>1</v>
      </c>
      <c r="V37" s="357">
        <f t="shared" si="14"/>
        <v>1</v>
      </c>
      <c r="W37" s="357">
        <f t="shared" si="15"/>
        <v>5.2631578947368418E-2</v>
      </c>
      <c r="X37" s="357">
        <f t="shared" si="16"/>
        <v>5.2631578947368418E-2</v>
      </c>
      <c r="Y37" s="198">
        <f t="shared" si="1"/>
        <v>100</v>
      </c>
      <c r="Z37" s="435">
        <f t="shared" si="2"/>
        <v>44889</v>
      </c>
      <c r="AA37" s="267">
        <v>498.33550668778531</v>
      </c>
      <c r="AB37" s="267">
        <v>0</v>
      </c>
      <c r="AC37" s="267"/>
    </row>
    <row r="38" spans="8:29" x14ac:dyDescent="0.25">
      <c r="H38" s="268" t="s">
        <v>262</v>
      </c>
      <c r="I38" s="397"/>
      <c r="J38" s="372"/>
      <c r="K38" s="372"/>
      <c r="L38" s="268">
        <v>0</v>
      </c>
      <c r="M38" s="268" t="s">
        <v>1183</v>
      </c>
      <c r="N38" s="268">
        <v>100</v>
      </c>
      <c r="O38" s="268">
        <v>100</v>
      </c>
      <c r="P38" s="268"/>
      <c r="Q38" s="268"/>
      <c r="R38" s="268"/>
      <c r="S38" s="269">
        <v>560</v>
      </c>
      <c r="T38" s="357">
        <f t="shared" si="13"/>
        <v>5.2631578947368418E-2</v>
      </c>
      <c r="U38" s="359">
        <f t="shared" si="4"/>
        <v>1</v>
      </c>
      <c r="V38" s="357">
        <f t="shared" si="14"/>
        <v>1</v>
      </c>
      <c r="W38" s="357">
        <f t="shared" si="15"/>
        <v>5.2631578947368418E-2</v>
      </c>
      <c r="X38" s="357">
        <f t="shared" si="16"/>
        <v>5.2631578947368418E-2</v>
      </c>
      <c r="Y38" s="198">
        <f t="shared" si="1"/>
        <v>100</v>
      </c>
      <c r="Z38" s="435">
        <f t="shared" si="2"/>
        <v>44896</v>
      </c>
      <c r="AA38" s="267">
        <v>635.32891691822874</v>
      </c>
      <c r="AB38" s="267">
        <v>0</v>
      </c>
      <c r="AC38" s="267"/>
    </row>
    <row r="39" spans="8:29" x14ac:dyDescent="0.25">
      <c r="H39" s="268" t="s">
        <v>263</v>
      </c>
      <c r="I39" s="397"/>
      <c r="J39" s="372"/>
      <c r="K39" s="372"/>
      <c r="L39" s="268">
        <v>0</v>
      </c>
      <c r="M39" s="268" t="s">
        <v>1183</v>
      </c>
      <c r="N39" s="268">
        <v>100</v>
      </c>
      <c r="O39" s="268">
        <v>100</v>
      </c>
      <c r="P39" s="268"/>
      <c r="Q39" s="268"/>
      <c r="R39" s="268"/>
      <c r="S39" s="269">
        <v>560</v>
      </c>
      <c r="T39" s="357">
        <f t="shared" si="13"/>
        <v>5.2631578947368418E-2</v>
      </c>
      <c r="U39" s="359">
        <f t="shared" si="4"/>
        <v>1</v>
      </c>
      <c r="V39" s="357">
        <f t="shared" si="14"/>
        <v>1</v>
      </c>
      <c r="W39" s="357">
        <f t="shared" si="15"/>
        <v>5.2631578947368418E-2</v>
      </c>
      <c r="X39" s="357">
        <f t="shared" si="16"/>
        <v>5.2631578947368418E-2</v>
      </c>
      <c r="Y39" s="198">
        <f t="shared" si="1"/>
        <v>100</v>
      </c>
      <c r="Z39" s="435">
        <f t="shared" si="2"/>
        <v>44903</v>
      </c>
      <c r="AA39" s="267">
        <v>772.32232714867212</v>
      </c>
      <c r="AB39" s="267">
        <v>0</v>
      </c>
      <c r="AC39" s="267"/>
    </row>
    <row r="40" spans="8:29" x14ac:dyDescent="0.25">
      <c r="H40" s="268" t="s">
        <v>264</v>
      </c>
      <c r="I40" s="397"/>
      <c r="J40" s="372"/>
      <c r="K40" s="372"/>
      <c r="L40" s="268">
        <v>0</v>
      </c>
      <c r="M40" s="268" t="s">
        <v>1183</v>
      </c>
      <c r="N40" s="268">
        <v>100</v>
      </c>
      <c r="O40" s="268">
        <v>100</v>
      </c>
      <c r="P40" s="268"/>
      <c r="Q40" s="268"/>
      <c r="R40" s="268"/>
      <c r="S40" s="269">
        <v>560</v>
      </c>
      <c r="T40" s="357">
        <f t="shared" si="13"/>
        <v>5.2631578947368418E-2</v>
      </c>
      <c r="U40" s="359">
        <f t="shared" si="4"/>
        <v>1</v>
      </c>
      <c r="V40" s="357">
        <f t="shared" si="14"/>
        <v>1</v>
      </c>
      <c r="W40" s="357">
        <f t="shared" si="15"/>
        <v>5.2631578947368418E-2</v>
      </c>
      <c r="X40" s="357">
        <f t="shared" si="16"/>
        <v>5.2631578947368418E-2</v>
      </c>
      <c r="Y40" s="198">
        <f t="shared" si="1"/>
        <v>100</v>
      </c>
      <c r="Z40" s="435">
        <f t="shared" si="2"/>
        <v>44910</v>
      </c>
      <c r="AA40" s="267">
        <v>909.31573737911549</v>
      </c>
      <c r="AB40" s="267">
        <v>1.0140243902439026</v>
      </c>
      <c r="AC40" s="267"/>
    </row>
    <row r="41" spans="8:29" x14ac:dyDescent="0.25">
      <c r="H41" s="268" t="s">
        <v>265</v>
      </c>
      <c r="I41" s="397"/>
      <c r="J41" s="372"/>
      <c r="K41" s="372"/>
      <c r="L41" s="268">
        <v>0</v>
      </c>
      <c r="M41" s="268" t="s">
        <v>1183</v>
      </c>
      <c r="N41" s="268">
        <v>100</v>
      </c>
      <c r="O41" s="268">
        <v>100</v>
      </c>
      <c r="P41" s="268"/>
      <c r="Q41" s="268"/>
      <c r="R41" s="268"/>
      <c r="S41" s="269">
        <v>560</v>
      </c>
      <c r="T41" s="357">
        <f t="shared" si="13"/>
        <v>5.2631578947368418E-2</v>
      </c>
      <c r="U41" s="359">
        <f t="shared" si="4"/>
        <v>1</v>
      </c>
      <c r="V41" s="357">
        <f t="shared" si="14"/>
        <v>1</v>
      </c>
      <c r="W41" s="357">
        <f t="shared" si="15"/>
        <v>5.2631578947368418E-2</v>
      </c>
      <c r="X41" s="357">
        <f t="shared" si="16"/>
        <v>5.2631578947368418E-2</v>
      </c>
      <c r="Y41" s="198">
        <f t="shared" si="1"/>
        <v>100</v>
      </c>
      <c r="Z41" s="435">
        <f t="shared" si="2"/>
        <v>44917</v>
      </c>
      <c r="AA41" s="267">
        <v>1073.7397611066835</v>
      </c>
      <c r="AB41" s="267">
        <v>23.995173845355474</v>
      </c>
      <c r="AC41" s="267"/>
    </row>
    <row r="42" spans="8:29" x14ac:dyDescent="0.25">
      <c r="H42" s="268" t="s">
        <v>266</v>
      </c>
      <c r="I42" s="397"/>
      <c r="J42" s="372"/>
      <c r="K42" s="372"/>
      <c r="L42" s="268">
        <v>0</v>
      </c>
      <c r="M42" s="268" t="s">
        <v>1183</v>
      </c>
      <c r="N42" s="268">
        <v>100</v>
      </c>
      <c r="O42" s="268">
        <v>100</v>
      </c>
      <c r="P42" s="268"/>
      <c r="Q42" s="268"/>
      <c r="R42" s="268"/>
      <c r="S42" s="269">
        <v>560</v>
      </c>
      <c r="T42" s="357">
        <f t="shared" si="13"/>
        <v>5.2631578947368418E-2</v>
      </c>
      <c r="U42" s="359">
        <f t="shared" si="4"/>
        <v>1</v>
      </c>
      <c r="V42" s="357">
        <f t="shared" si="14"/>
        <v>1</v>
      </c>
      <c r="W42" s="357">
        <f t="shared" si="15"/>
        <v>5.2631578947368418E-2</v>
      </c>
      <c r="X42" s="357">
        <f t="shared" si="16"/>
        <v>5.2631578947368418E-2</v>
      </c>
      <c r="Y42" s="198">
        <f t="shared" si="1"/>
        <v>100</v>
      </c>
      <c r="Z42" s="435">
        <f t="shared" si="2"/>
        <v>44924</v>
      </c>
      <c r="AA42" s="267">
        <v>1306.7403185770629</v>
      </c>
      <c r="AB42" s="267">
        <v>73.986961598339391</v>
      </c>
      <c r="AC42" s="267"/>
    </row>
    <row r="43" spans="8:29" x14ac:dyDescent="0.25">
      <c r="H43" s="268" t="s">
        <v>267</v>
      </c>
      <c r="I43" s="397"/>
      <c r="J43" s="372"/>
      <c r="K43" s="372"/>
      <c r="L43" s="268">
        <v>0</v>
      </c>
      <c r="M43" s="268" t="s">
        <v>1183</v>
      </c>
      <c r="N43" s="268">
        <v>100</v>
      </c>
      <c r="O43" s="268">
        <v>0</v>
      </c>
      <c r="P43" s="268"/>
      <c r="Q43" s="268"/>
      <c r="R43" s="268"/>
      <c r="S43" s="269">
        <v>560</v>
      </c>
      <c r="T43" s="357">
        <f t="shared" si="13"/>
        <v>5.2631578947368418E-2</v>
      </c>
      <c r="U43" s="359">
        <f t="shared" si="4"/>
        <v>1</v>
      </c>
      <c r="V43" s="357">
        <f t="shared" si="14"/>
        <v>0</v>
      </c>
      <c r="W43" s="357">
        <f t="shared" si="15"/>
        <v>5.2631578947368418E-2</v>
      </c>
      <c r="X43" s="357">
        <f t="shared" si="16"/>
        <v>0</v>
      </c>
      <c r="Y43" s="198">
        <f t="shared" si="1"/>
        <v>100</v>
      </c>
      <c r="Z43" s="435">
        <f t="shared" si="2"/>
        <v>44931</v>
      </c>
      <c r="AA43" s="267">
        <v>1510.8425709626968</v>
      </c>
      <c r="AB43" s="267">
        <v>123.9787493513233</v>
      </c>
      <c r="AC43" s="267"/>
    </row>
    <row r="44" spans="8:29" x14ac:dyDescent="0.25">
      <c r="H44" s="268" t="s">
        <v>268</v>
      </c>
      <c r="I44" s="397"/>
      <c r="J44" s="372"/>
      <c r="K44" s="372"/>
      <c r="L44" s="268">
        <v>0</v>
      </c>
      <c r="M44" s="268" t="s">
        <v>1183</v>
      </c>
      <c r="N44" s="268">
        <v>100</v>
      </c>
      <c r="O44" s="268">
        <v>50</v>
      </c>
      <c r="P44" s="268"/>
      <c r="Q44" s="268"/>
      <c r="R44" s="268"/>
      <c r="S44" s="269">
        <v>560</v>
      </c>
      <c r="T44" s="357">
        <f t="shared" si="13"/>
        <v>5.2631578947368418E-2</v>
      </c>
      <c r="U44" s="359">
        <f t="shared" si="4"/>
        <v>1</v>
      </c>
      <c r="V44" s="357">
        <f t="shared" si="14"/>
        <v>0.5</v>
      </c>
      <c r="W44" s="357">
        <f t="shared" si="15"/>
        <v>5.2631578947368418E-2</v>
      </c>
      <c r="X44" s="357">
        <f t="shared" si="16"/>
        <v>2.6315789473684209E-2</v>
      </c>
      <c r="Y44" s="198">
        <f t="shared" si="1"/>
        <v>100</v>
      </c>
      <c r="Z44" s="435">
        <f t="shared" si="2"/>
        <v>44938</v>
      </c>
      <c r="AA44" s="267">
        <v>1689.3855013144321</v>
      </c>
      <c r="AB44" s="267">
        <v>173.9705371043072</v>
      </c>
      <c r="AC44" s="267"/>
    </row>
    <row r="45" spans="8:29" x14ac:dyDescent="0.25">
      <c r="H45" s="268" t="s">
        <v>269</v>
      </c>
      <c r="I45" s="397"/>
      <c r="J45" s="372"/>
      <c r="K45" s="372"/>
      <c r="L45" s="268">
        <v>0</v>
      </c>
      <c r="M45" s="268" t="s">
        <v>1183</v>
      </c>
      <c r="N45" s="268">
        <v>100</v>
      </c>
      <c r="O45" s="268">
        <v>100</v>
      </c>
      <c r="P45" s="268"/>
      <c r="Q45" s="268"/>
      <c r="R45" s="268"/>
      <c r="S45" s="269">
        <v>560</v>
      </c>
      <c r="T45" s="357">
        <f t="shared" si="13"/>
        <v>5.2631578947368418E-2</v>
      </c>
      <c r="U45" s="359">
        <f t="shared" si="4"/>
        <v>1</v>
      </c>
      <c r="V45" s="357">
        <f t="shared" si="14"/>
        <v>1</v>
      </c>
      <c r="W45" s="357">
        <f t="shared" si="15"/>
        <v>5.2631578947368418E-2</v>
      </c>
      <c r="X45" s="357">
        <f t="shared" si="16"/>
        <v>5.2631578947368418E-2</v>
      </c>
      <c r="Y45" s="198">
        <f t="shared" si="1"/>
        <v>100</v>
      </c>
      <c r="Z45" s="435">
        <f t="shared" si="2"/>
        <v>44945</v>
      </c>
      <c r="AA45" s="267">
        <v>1832.9284316661674</v>
      </c>
      <c r="AB45" s="267">
        <v>244.2102587415886</v>
      </c>
      <c r="AC45" s="267"/>
    </row>
    <row r="46" spans="8:29" x14ac:dyDescent="0.25">
      <c r="H46" s="268" t="s">
        <v>270</v>
      </c>
      <c r="I46" s="397"/>
      <c r="J46" s="372"/>
      <c r="K46" s="372"/>
      <c r="L46" s="268">
        <v>0</v>
      </c>
      <c r="M46" s="268" t="s">
        <v>1183</v>
      </c>
      <c r="N46" s="268">
        <v>100</v>
      </c>
      <c r="O46" s="268">
        <v>10</v>
      </c>
      <c r="P46" s="268"/>
      <c r="Q46" s="268"/>
      <c r="R46" s="268"/>
      <c r="S46" s="269">
        <v>560</v>
      </c>
      <c r="T46" s="357">
        <f t="shared" si="13"/>
        <v>5.2631578947368418E-2</v>
      </c>
      <c r="U46" s="359">
        <f t="shared" si="4"/>
        <v>1</v>
      </c>
      <c r="V46" s="357">
        <f t="shared" si="14"/>
        <v>0.1</v>
      </c>
      <c r="W46" s="357">
        <f t="shared" si="15"/>
        <v>5.2631578947368418E-2</v>
      </c>
      <c r="X46" s="357">
        <f t="shared" si="16"/>
        <v>5.263157894736842E-3</v>
      </c>
      <c r="Y46" s="198">
        <f t="shared" si="1"/>
        <v>100</v>
      </c>
      <c r="Z46" s="435">
        <f t="shared" si="2"/>
        <v>44952</v>
      </c>
      <c r="AA46" s="267">
        <v>1973.5725965858039</v>
      </c>
      <c r="AB46" s="267">
        <v>342.96494340627328</v>
      </c>
      <c r="AC46" s="267"/>
    </row>
    <row r="47" spans="8:29" x14ac:dyDescent="0.25">
      <c r="H47" s="268" t="s">
        <v>271</v>
      </c>
      <c r="I47" s="397"/>
      <c r="J47" s="372"/>
      <c r="K47" s="372"/>
      <c r="L47" s="268">
        <v>0</v>
      </c>
      <c r="M47" s="268" t="s">
        <v>1183</v>
      </c>
      <c r="N47" s="268">
        <v>100</v>
      </c>
      <c r="O47" s="268">
        <v>0</v>
      </c>
      <c r="P47" s="268"/>
      <c r="Q47" s="268"/>
      <c r="R47" s="268"/>
      <c r="S47" s="269">
        <v>560</v>
      </c>
      <c r="T47" s="357">
        <f t="shared" si="13"/>
        <v>5.2631578947368418E-2</v>
      </c>
      <c r="U47" s="359">
        <f t="shared" si="4"/>
        <v>1</v>
      </c>
      <c r="V47" s="357">
        <f t="shared" si="14"/>
        <v>0</v>
      </c>
      <c r="W47" s="357">
        <f t="shared" si="15"/>
        <v>5.2631578947368418E-2</v>
      </c>
      <c r="X47" s="357">
        <f t="shared" si="16"/>
        <v>0</v>
      </c>
      <c r="Y47" s="198">
        <f t="shared" si="1"/>
        <v>100</v>
      </c>
      <c r="Z47" s="435">
        <f t="shared" si="2"/>
        <v>44959</v>
      </c>
      <c r="AA47" s="267">
        <v>2113.8479784366577</v>
      </c>
      <c r="AB47" s="267">
        <v>495.30129301763839</v>
      </c>
      <c r="AC47" s="267"/>
    </row>
    <row r="48" spans="8:29" x14ac:dyDescent="0.25">
      <c r="H48" s="268" t="s">
        <v>272</v>
      </c>
      <c r="I48" s="397"/>
      <c r="J48" s="372"/>
      <c r="K48" s="372"/>
      <c r="L48" s="268">
        <v>0</v>
      </c>
      <c r="M48" s="268" t="s">
        <v>1183</v>
      </c>
      <c r="N48" s="268">
        <v>100</v>
      </c>
      <c r="O48" s="268">
        <v>0</v>
      </c>
      <c r="P48" s="268"/>
      <c r="Q48" s="268"/>
      <c r="R48" s="268"/>
      <c r="S48" s="269">
        <v>560</v>
      </c>
      <c r="T48" s="357">
        <f t="shared" si="13"/>
        <v>5.2631578947368418E-2</v>
      </c>
      <c r="U48" s="359">
        <f t="shared" si="4"/>
        <v>1</v>
      </c>
      <c r="V48" s="357">
        <f t="shared" si="14"/>
        <v>0</v>
      </c>
      <c r="W48" s="357">
        <f t="shared" si="15"/>
        <v>5.2631578947368418E-2</v>
      </c>
      <c r="X48" s="357">
        <f t="shared" si="16"/>
        <v>0</v>
      </c>
      <c r="Y48" s="198">
        <f t="shared" si="1"/>
        <v>100</v>
      </c>
      <c r="Z48" s="435">
        <f t="shared" si="2"/>
        <v>44966</v>
      </c>
      <c r="AA48" s="267">
        <v>2296.6828840970347</v>
      </c>
      <c r="AB48" s="267">
        <v>654.15921125645445</v>
      </c>
      <c r="AC48" s="267"/>
    </row>
    <row r="49" spans="8:29" x14ac:dyDescent="0.25">
      <c r="H49" s="268" t="s">
        <v>273</v>
      </c>
      <c r="I49" s="397"/>
      <c r="J49" s="372"/>
      <c r="K49" s="372"/>
      <c r="L49" s="268">
        <v>0</v>
      </c>
      <c r="M49" s="268" t="s">
        <v>1183</v>
      </c>
      <c r="N49" s="268">
        <v>100</v>
      </c>
      <c r="O49" s="268">
        <v>0</v>
      </c>
      <c r="P49" s="268"/>
      <c r="Q49" s="268"/>
      <c r="R49" s="268"/>
      <c r="S49" s="269">
        <v>560</v>
      </c>
      <c r="T49" s="357">
        <f t="shared" si="13"/>
        <v>5.2631578947368418E-2</v>
      </c>
      <c r="U49" s="359">
        <f t="shared" si="4"/>
        <v>1</v>
      </c>
      <c r="V49" s="357">
        <f t="shared" si="14"/>
        <v>0</v>
      </c>
      <c r="W49" s="357">
        <f t="shared" si="15"/>
        <v>5.2631578947368418E-2</v>
      </c>
      <c r="X49" s="357">
        <f t="shared" si="16"/>
        <v>0</v>
      </c>
      <c r="Y49" s="198">
        <f t="shared" si="1"/>
        <v>100</v>
      </c>
      <c r="Z49" s="435">
        <f t="shared" si="2"/>
        <v>44973</v>
      </c>
      <c r="AA49" s="267">
        <v>2469.5857142857139</v>
      </c>
      <c r="AB49" s="267">
        <v>813.01712949527052</v>
      </c>
      <c r="AC49" s="267"/>
    </row>
    <row r="50" spans="8:29" x14ac:dyDescent="0.25">
      <c r="H50" s="510" t="s">
        <v>274</v>
      </c>
      <c r="I50" s="511"/>
      <c r="J50" s="392"/>
      <c r="K50" s="392"/>
      <c r="L50" s="368">
        <f t="shared" ref="L50" si="17">K50-J50+1</f>
        <v>1</v>
      </c>
      <c r="M50" s="368"/>
      <c r="N50" s="368"/>
      <c r="O50" s="368"/>
      <c r="P50" s="368"/>
      <c r="Q50" s="368"/>
      <c r="R50" s="368"/>
      <c r="S50" s="400">
        <f>SUM(S51:S62)</f>
        <v>6720</v>
      </c>
      <c r="T50" s="356">
        <f>S50/S21</f>
        <v>0.21428571428571427</v>
      </c>
      <c r="U50" s="368"/>
      <c r="V50" s="356"/>
      <c r="W50" s="356">
        <f>SUM(W51:W62)</f>
        <v>1</v>
      </c>
      <c r="X50" s="356">
        <f>SUM(X51:X62)</f>
        <v>0.83333333333333337</v>
      </c>
      <c r="Y50" s="198">
        <f t="shared" si="1"/>
        <v>0</v>
      </c>
      <c r="Z50" s="435">
        <f t="shared" si="2"/>
        <v>44980</v>
      </c>
      <c r="AA50" s="267">
        <v>2638.5157142857147</v>
      </c>
      <c r="AB50" s="267">
        <v>971.87504773408659</v>
      </c>
      <c r="AC50" s="267"/>
    </row>
    <row r="51" spans="8:29" x14ac:dyDescent="0.25">
      <c r="H51" s="268" t="s">
        <v>275</v>
      </c>
      <c r="I51" s="397"/>
      <c r="J51" s="268"/>
      <c r="K51" s="372"/>
      <c r="L51" s="268">
        <v>0</v>
      </c>
      <c r="M51" s="268" t="s">
        <v>1183</v>
      </c>
      <c r="N51" s="268">
        <v>100</v>
      </c>
      <c r="O51" s="268">
        <v>100</v>
      </c>
      <c r="P51" s="268"/>
      <c r="Q51" s="268"/>
      <c r="R51" s="268"/>
      <c r="S51" s="269">
        <v>560</v>
      </c>
      <c r="T51" s="357">
        <f>S51/$S$50</f>
        <v>8.3333333333333329E-2</v>
      </c>
      <c r="U51" s="359">
        <f t="shared" si="4"/>
        <v>1</v>
      </c>
      <c r="V51" s="357">
        <f t="shared" ref="V51:V62" si="18">IFERROR(O51/N51,0)</f>
        <v>1</v>
      </c>
      <c r="W51" s="357">
        <f t="shared" ref="W51:W62" si="19">U51*$T51</f>
        <v>8.3333333333333329E-2</v>
      </c>
      <c r="X51" s="357">
        <f t="shared" ref="X51:X62" si="20">V51*$T51</f>
        <v>8.3333333333333329E-2</v>
      </c>
      <c r="Y51" s="198">
        <f t="shared" si="1"/>
        <v>100</v>
      </c>
      <c r="Z51" s="435">
        <f t="shared" si="2"/>
        <v>44987</v>
      </c>
      <c r="AA51" s="267">
        <v>2807.4457142857141</v>
      </c>
      <c r="AB51" s="267">
        <v>1130.7329659729025</v>
      </c>
      <c r="AC51" s="267"/>
    </row>
    <row r="52" spans="8:29" x14ac:dyDescent="0.25">
      <c r="H52" s="268" t="s">
        <v>276</v>
      </c>
      <c r="I52" s="397"/>
      <c r="J52" s="372"/>
      <c r="K52" s="372"/>
      <c r="L52" s="268">
        <v>0</v>
      </c>
      <c r="M52" s="268" t="s">
        <v>1183</v>
      </c>
      <c r="N52" s="268">
        <v>100</v>
      </c>
      <c r="O52" s="268">
        <v>100</v>
      </c>
      <c r="P52" s="268"/>
      <c r="Q52" s="268"/>
      <c r="R52" s="268"/>
      <c r="S52" s="269">
        <v>560</v>
      </c>
      <c r="T52" s="357">
        <f t="shared" ref="T52:T62" si="21">S52/$S$50</f>
        <v>8.3333333333333329E-2</v>
      </c>
      <c r="U52" s="359">
        <f t="shared" si="4"/>
        <v>1</v>
      </c>
      <c r="V52" s="357">
        <f t="shared" si="18"/>
        <v>1</v>
      </c>
      <c r="W52" s="357">
        <f t="shared" si="19"/>
        <v>8.3333333333333329E-2</v>
      </c>
      <c r="X52" s="357">
        <f t="shared" si="20"/>
        <v>8.3333333333333329E-2</v>
      </c>
      <c r="Y52" s="198">
        <f t="shared" si="1"/>
        <v>100</v>
      </c>
      <c r="Z52" s="435">
        <f t="shared" si="2"/>
        <v>44994</v>
      </c>
      <c r="AA52" s="267">
        <v>2979.0840476190474</v>
      </c>
      <c r="AB52" s="267">
        <v>1308.9152085360431</v>
      </c>
      <c r="AC52" s="267"/>
    </row>
    <row r="53" spans="8:29" x14ac:dyDescent="0.25">
      <c r="H53" s="268" t="s">
        <v>277</v>
      </c>
      <c r="I53" s="397"/>
      <c r="J53" s="372"/>
      <c r="K53" s="372"/>
      <c r="L53" s="268">
        <v>0</v>
      </c>
      <c r="M53" s="268" t="s">
        <v>1183</v>
      </c>
      <c r="N53" s="268">
        <v>100</v>
      </c>
      <c r="O53" s="268">
        <v>100</v>
      </c>
      <c r="P53" s="268"/>
      <c r="Q53" s="268"/>
      <c r="R53" s="268"/>
      <c r="S53" s="269">
        <v>560</v>
      </c>
      <c r="T53" s="357">
        <f t="shared" si="21"/>
        <v>8.3333333333333329E-2</v>
      </c>
      <c r="U53" s="359">
        <f t="shared" si="4"/>
        <v>1</v>
      </c>
      <c r="V53" s="357">
        <f t="shared" si="18"/>
        <v>1</v>
      </c>
      <c r="W53" s="357">
        <f t="shared" si="19"/>
        <v>8.3333333333333329E-2</v>
      </c>
      <c r="X53" s="357">
        <f t="shared" si="20"/>
        <v>8.3333333333333329E-2</v>
      </c>
      <c r="Y53" s="198">
        <f t="shared" si="1"/>
        <v>100</v>
      </c>
      <c r="Z53" s="435">
        <f t="shared" si="2"/>
        <v>45001</v>
      </c>
      <c r="AA53" s="267">
        <v>3166.9723809523812</v>
      </c>
      <c r="AB53" s="267">
        <v>1501.5906943424268</v>
      </c>
      <c r="AC53" s="267"/>
    </row>
    <row r="54" spans="8:29" x14ac:dyDescent="0.25">
      <c r="H54" s="268" t="s">
        <v>278</v>
      </c>
      <c r="I54" s="397"/>
      <c r="J54" s="372"/>
      <c r="K54" s="372"/>
      <c r="L54" s="268">
        <v>0</v>
      </c>
      <c r="M54" s="268" t="s">
        <v>1183</v>
      </c>
      <c r="N54" s="268">
        <v>100</v>
      </c>
      <c r="O54" s="268">
        <v>100</v>
      </c>
      <c r="P54" s="268"/>
      <c r="Q54" s="268"/>
      <c r="R54" s="268"/>
      <c r="S54" s="269">
        <v>560</v>
      </c>
      <c r="T54" s="357">
        <f t="shared" si="21"/>
        <v>8.3333333333333329E-2</v>
      </c>
      <c r="U54" s="359">
        <f t="shared" si="4"/>
        <v>1</v>
      </c>
      <c r="V54" s="357">
        <f t="shared" si="18"/>
        <v>1</v>
      </c>
      <c r="W54" s="357">
        <f t="shared" si="19"/>
        <v>8.3333333333333329E-2</v>
      </c>
      <c r="X54" s="357">
        <f t="shared" si="20"/>
        <v>8.3333333333333329E-2</v>
      </c>
      <c r="Y54" s="198">
        <f t="shared" si="1"/>
        <v>100</v>
      </c>
      <c r="Z54" s="435">
        <f t="shared" si="2"/>
        <v>45008</v>
      </c>
      <c r="AA54" s="267">
        <v>3362.610714285714</v>
      </c>
      <c r="AB54" s="267">
        <v>1694.2661801488102</v>
      </c>
      <c r="AC54" s="267"/>
    </row>
    <row r="55" spans="8:29" x14ac:dyDescent="0.25">
      <c r="H55" s="268" t="s">
        <v>279</v>
      </c>
      <c r="I55" s="397"/>
      <c r="J55" s="372"/>
      <c r="K55" s="372"/>
      <c r="L55" s="268">
        <v>0</v>
      </c>
      <c r="M55" s="268" t="s">
        <v>1183</v>
      </c>
      <c r="N55" s="268">
        <v>100</v>
      </c>
      <c r="O55" s="268">
        <v>100</v>
      </c>
      <c r="P55" s="268"/>
      <c r="Q55" s="268"/>
      <c r="R55" s="268"/>
      <c r="S55" s="269">
        <v>560</v>
      </c>
      <c r="T55" s="357">
        <f t="shared" si="21"/>
        <v>8.3333333333333329E-2</v>
      </c>
      <c r="U55" s="359">
        <f t="shared" si="4"/>
        <v>1</v>
      </c>
      <c r="V55" s="357">
        <f t="shared" si="18"/>
        <v>1</v>
      </c>
      <c r="W55" s="357">
        <f t="shared" si="19"/>
        <v>8.3333333333333329E-2</v>
      </c>
      <c r="X55" s="357">
        <f t="shared" si="20"/>
        <v>8.3333333333333329E-2</v>
      </c>
      <c r="Y55" s="198">
        <f t="shared" si="1"/>
        <v>100</v>
      </c>
      <c r="Z55" s="435">
        <f t="shared" si="2"/>
        <v>45015</v>
      </c>
      <c r="AA55" s="267">
        <v>3568.5823809523808</v>
      </c>
      <c r="AB55" s="267">
        <v>1861.5480489339175</v>
      </c>
      <c r="AC55" s="267"/>
    </row>
    <row r="56" spans="8:29" x14ac:dyDescent="0.25">
      <c r="H56" s="268" t="s">
        <v>280</v>
      </c>
      <c r="I56" s="397"/>
      <c r="J56" s="372"/>
      <c r="K56" s="372"/>
      <c r="L56" s="268">
        <v>0</v>
      </c>
      <c r="M56" s="268" t="s">
        <v>1183</v>
      </c>
      <c r="N56" s="268">
        <v>100</v>
      </c>
      <c r="O56" s="268">
        <v>100</v>
      </c>
      <c r="P56" s="268"/>
      <c r="Q56" s="268"/>
      <c r="R56" s="268"/>
      <c r="S56" s="269">
        <v>560</v>
      </c>
      <c r="T56" s="357">
        <f t="shared" si="21"/>
        <v>8.3333333333333329E-2</v>
      </c>
      <c r="U56" s="359">
        <f t="shared" si="4"/>
        <v>1</v>
      </c>
      <c r="V56" s="357">
        <f t="shared" si="18"/>
        <v>1</v>
      </c>
      <c r="W56" s="357">
        <f t="shared" si="19"/>
        <v>8.3333333333333329E-2</v>
      </c>
      <c r="X56" s="357">
        <f t="shared" si="20"/>
        <v>8.3333333333333329E-2</v>
      </c>
      <c r="Y56" s="198">
        <f t="shared" si="1"/>
        <v>100</v>
      </c>
      <c r="Z56" s="435">
        <f t="shared" si="2"/>
        <v>45022</v>
      </c>
      <c r="AA56" s="267">
        <v>3761.5940476190476</v>
      </c>
      <c r="AB56" s="267">
        <v>2036.2108700999765</v>
      </c>
      <c r="AC56" s="267"/>
    </row>
    <row r="57" spans="8:29" x14ac:dyDescent="0.25">
      <c r="H57" s="268" t="s">
        <v>281</v>
      </c>
      <c r="I57" s="397"/>
      <c r="J57" s="372"/>
      <c r="K57" s="372"/>
      <c r="L57" s="268">
        <v>0</v>
      </c>
      <c r="M57" s="268" t="s">
        <v>1183</v>
      </c>
      <c r="N57" s="268">
        <v>100</v>
      </c>
      <c r="O57" s="268">
        <v>100</v>
      </c>
      <c r="P57" s="268"/>
      <c r="Q57" s="268"/>
      <c r="R57" s="268"/>
      <c r="S57" s="269">
        <v>560</v>
      </c>
      <c r="T57" s="357">
        <f t="shared" si="21"/>
        <v>8.3333333333333329E-2</v>
      </c>
      <c r="U57" s="359">
        <f t="shared" si="4"/>
        <v>1</v>
      </c>
      <c r="V57" s="357">
        <f t="shared" si="18"/>
        <v>1</v>
      </c>
      <c r="W57" s="357">
        <f t="shared" si="19"/>
        <v>8.3333333333333329E-2</v>
      </c>
      <c r="X57" s="357">
        <f t="shared" si="20"/>
        <v>8.3333333333333329E-2</v>
      </c>
      <c r="Y57" s="198">
        <f t="shared" si="1"/>
        <v>100</v>
      </c>
      <c r="Z57" s="435">
        <f t="shared" si="2"/>
        <v>45029</v>
      </c>
      <c r="AA57" s="267">
        <v>3944.8857142857137</v>
      </c>
      <c r="AB57" s="267">
        <v>2213.8260722184173</v>
      </c>
      <c r="AC57" s="267"/>
    </row>
    <row r="58" spans="8:29" x14ac:dyDescent="0.25">
      <c r="H58" s="268" t="s">
        <v>282</v>
      </c>
      <c r="I58" s="397"/>
      <c r="J58" s="372"/>
      <c r="K58" s="372"/>
      <c r="L58" s="268">
        <v>0</v>
      </c>
      <c r="M58" s="268" t="s">
        <v>1183</v>
      </c>
      <c r="N58" s="268">
        <v>100</v>
      </c>
      <c r="O58" s="268">
        <v>100</v>
      </c>
      <c r="P58" s="268"/>
      <c r="Q58" s="268"/>
      <c r="R58" s="268"/>
      <c r="S58" s="269">
        <v>560</v>
      </c>
      <c r="T58" s="357">
        <f t="shared" si="21"/>
        <v>8.3333333333333329E-2</v>
      </c>
      <c r="U58" s="359">
        <f t="shared" si="4"/>
        <v>1</v>
      </c>
      <c r="V58" s="357">
        <f t="shared" si="18"/>
        <v>1</v>
      </c>
      <c r="W58" s="357">
        <f t="shared" si="19"/>
        <v>8.3333333333333329E-2</v>
      </c>
      <c r="X58" s="357">
        <f t="shared" si="20"/>
        <v>8.3333333333333329E-2</v>
      </c>
      <c r="Y58" s="198">
        <f t="shared" si="1"/>
        <v>100</v>
      </c>
      <c r="Z58" s="435">
        <f t="shared" si="2"/>
        <v>45036</v>
      </c>
      <c r="AA58" s="267">
        <v>4128.1773809523811</v>
      </c>
      <c r="AB58" s="267">
        <v>2391.4412743368575</v>
      </c>
      <c r="AC58" s="267"/>
    </row>
    <row r="59" spans="8:29" x14ac:dyDescent="0.25">
      <c r="H59" s="268" t="s">
        <v>283</v>
      </c>
      <c r="I59" s="397"/>
      <c r="J59" s="372"/>
      <c r="K59" s="372"/>
      <c r="L59" s="268">
        <v>0</v>
      </c>
      <c r="M59" s="268" t="s">
        <v>1183</v>
      </c>
      <c r="N59" s="268">
        <v>100</v>
      </c>
      <c r="O59" s="268">
        <v>100</v>
      </c>
      <c r="P59" s="268"/>
      <c r="Q59" s="268"/>
      <c r="R59" s="268"/>
      <c r="S59" s="269">
        <v>560</v>
      </c>
      <c r="T59" s="357">
        <f t="shared" si="21"/>
        <v>8.3333333333333329E-2</v>
      </c>
      <c r="U59" s="359">
        <f t="shared" si="4"/>
        <v>1</v>
      </c>
      <c r="V59" s="357">
        <f t="shared" si="18"/>
        <v>1</v>
      </c>
      <c r="W59" s="357">
        <f t="shared" si="19"/>
        <v>8.3333333333333329E-2</v>
      </c>
      <c r="X59" s="357">
        <f t="shared" si="20"/>
        <v>8.3333333333333329E-2</v>
      </c>
      <c r="Y59" s="198">
        <f t="shared" si="1"/>
        <v>100</v>
      </c>
      <c r="Z59" s="435">
        <f t="shared" si="2"/>
        <v>45043</v>
      </c>
      <c r="AA59" s="267">
        <v>4259.1000000000004</v>
      </c>
      <c r="AB59" s="267">
        <v>2589.6069150517887</v>
      </c>
      <c r="AC59" s="267"/>
    </row>
    <row r="60" spans="8:29" x14ac:dyDescent="0.25">
      <c r="H60" s="268" t="s">
        <v>284</v>
      </c>
      <c r="I60" s="397"/>
      <c r="J60" s="372"/>
      <c r="K60" s="372"/>
      <c r="L60" s="268">
        <v>0</v>
      </c>
      <c r="M60" s="268" t="s">
        <v>1183</v>
      </c>
      <c r="N60" s="268">
        <v>100</v>
      </c>
      <c r="O60" s="268">
        <v>100</v>
      </c>
      <c r="P60" s="268"/>
      <c r="Q60" s="268"/>
      <c r="R60" s="268"/>
      <c r="S60" s="269">
        <v>560</v>
      </c>
      <c r="T60" s="357">
        <f t="shared" si="21"/>
        <v>8.3333333333333329E-2</v>
      </c>
      <c r="U60" s="359">
        <f t="shared" si="4"/>
        <v>1</v>
      </c>
      <c r="V60" s="357">
        <f t="shared" si="18"/>
        <v>1</v>
      </c>
      <c r="W60" s="357">
        <f t="shared" si="19"/>
        <v>8.3333333333333329E-2</v>
      </c>
      <c r="X60" s="357">
        <f t="shared" si="20"/>
        <v>8.3333333333333329E-2</v>
      </c>
      <c r="Y60" s="198">
        <f t="shared" si="1"/>
        <v>100</v>
      </c>
      <c r="Z60" s="435">
        <f t="shared" si="2"/>
        <v>45050</v>
      </c>
      <c r="AA60" s="267">
        <v>4259.1000000000004</v>
      </c>
      <c r="AB60" s="267">
        <v>2800.1801215561945</v>
      </c>
      <c r="AC60" s="267"/>
    </row>
    <row r="61" spans="8:29" x14ac:dyDescent="0.25">
      <c r="H61" s="268" t="s">
        <v>285</v>
      </c>
      <c r="I61" s="397"/>
      <c r="J61" s="372"/>
      <c r="K61" s="372"/>
      <c r="L61" s="268">
        <v>0</v>
      </c>
      <c r="M61" s="268" t="s">
        <v>1183</v>
      </c>
      <c r="N61" s="268">
        <v>100</v>
      </c>
      <c r="O61" s="268">
        <v>0</v>
      </c>
      <c r="P61" s="268"/>
      <c r="Q61" s="268"/>
      <c r="R61" s="268"/>
      <c r="S61" s="269">
        <v>560</v>
      </c>
      <c r="T61" s="357">
        <f t="shared" si="21"/>
        <v>8.3333333333333329E-2</v>
      </c>
      <c r="U61" s="359">
        <f t="shared" si="4"/>
        <v>1</v>
      </c>
      <c r="V61" s="357">
        <f t="shared" si="18"/>
        <v>0</v>
      </c>
      <c r="W61" s="357">
        <f t="shared" si="19"/>
        <v>8.3333333333333329E-2</v>
      </c>
      <c r="X61" s="357">
        <f t="shared" si="20"/>
        <v>0</v>
      </c>
      <c r="Y61" s="198">
        <f t="shared" si="1"/>
        <v>100</v>
      </c>
      <c r="Z61" s="435">
        <f t="shared" si="2"/>
        <v>45057</v>
      </c>
      <c r="AA61" s="267">
        <v>4259.1000000000004</v>
      </c>
      <c r="AB61" s="267">
        <v>3002.0059596395477</v>
      </c>
      <c r="AC61" s="267"/>
    </row>
    <row r="62" spans="8:29" x14ac:dyDescent="0.25">
      <c r="H62" s="268" t="s">
        <v>286</v>
      </c>
      <c r="I62" s="397"/>
      <c r="J62" s="372"/>
      <c r="K62" s="372"/>
      <c r="L62" s="268">
        <v>0</v>
      </c>
      <c r="M62" s="268" t="s">
        <v>1183</v>
      </c>
      <c r="N62" s="268">
        <v>100</v>
      </c>
      <c r="O62" s="268">
        <v>0</v>
      </c>
      <c r="P62" s="268"/>
      <c r="Q62" s="268"/>
      <c r="R62" s="268"/>
      <c r="S62" s="269">
        <v>560</v>
      </c>
      <c r="T62" s="357">
        <f t="shared" si="21"/>
        <v>8.3333333333333329E-2</v>
      </c>
      <c r="U62" s="359">
        <f t="shared" si="4"/>
        <v>1</v>
      </c>
      <c r="V62" s="357">
        <f t="shared" si="18"/>
        <v>0</v>
      </c>
      <c r="W62" s="357">
        <f t="shared" si="19"/>
        <v>8.3333333333333329E-2</v>
      </c>
      <c r="X62" s="357">
        <f t="shared" si="20"/>
        <v>0</v>
      </c>
      <c r="Y62" s="198">
        <f t="shared" si="1"/>
        <v>100</v>
      </c>
      <c r="Z62" s="435">
        <f t="shared" si="2"/>
        <v>45064</v>
      </c>
      <c r="AA62" s="267">
        <v>4259.1000000000004</v>
      </c>
      <c r="AB62" s="267">
        <v>3184.3020850113689</v>
      </c>
      <c r="AC62" s="267"/>
    </row>
    <row r="63" spans="8:29" x14ac:dyDescent="0.25">
      <c r="H63" s="510" t="s">
        <v>287</v>
      </c>
      <c r="I63" s="511"/>
      <c r="J63" s="392"/>
      <c r="K63" s="392"/>
      <c r="L63" s="368">
        <f t="shared" ref="L63" si="22">K63-J63+1</f>
        <v>1</v>
      </c>
      <c r="M63" s="368"/>
      <c r="N63" s="368"/>
      <c r="O63" s="368"/>
      <c r="P63" s="368"/>
      <c r="Q63" s="368"/>
      <c r="R63" s="368"/>
      <c r="S63" s="400">
        <f>SUM(S64:S81)</f>
        <v>10080</v>
      </c>
      <c r="T63" s="356">
        <f>S63/S21</f>
        <v>0.32142857142857145</v>
      </c>
      <c r="U63" s="368"/>
      <c r="V63" s="356"/>
      <c r="W63" s="356">
        <f>SUM(W64:W81)</f>
        <v>1.0000000000000002</v>
      </c>
      <c r="X63" s="356">
        <f>SUM(X64:X81)</f>
        <v>0.92777777777777792</v>
      </c>
      <c r="Y63" s="198">
        <f t="shared" si="1"/>
        <v>0</v>
      </c>
      <c r="Z63" s="435">
        <f t="shared" si="2"/>
        <v>45071</v>
      </c>
      <c r="AA63" s="267">
        <v>4259.1000000000004</v>
      </c>
      <c r="AB63" s="267">
        <v>3347.4474823233713</v>
      </c>
      <c r="AC63" s="267"/>
    </row>
    <row r="64" spans="8:29" x14ac:dyDescent="0.25">
      <c r="H64" s="268" t="s">
        <v>288</v>
      </c>
      <c r="I64" s="397"/>
      <c r="J64" s="372"/>
      <c r="K64" s="372"/>
      <c r="L64" s="268">
        <v>0</v>
      </c>
      <c r="M64" s="268" t="s">
        <v>1183</v>
      </c>
      <c r="N64" s="268">
        <v>100</v>
      </c>
      <c r="O64" s="268">
        <v>100</v>
      </c>
      <c r="P64" s="268"/>
      <c r="Q64" s="268"/>
      <c r="R64" s="268"/>
      <c r="S64" s="269">
        <v>560</v>
      </c>
      <c r="T64" s="357">
        <f>S64/$S$63</f>
        <v>5.5555555555555552E-2</v>
      </c>
      <c r="U64" s="359">
        <f t="shared" si="4"/>
        <v>1</v>
      </c>
      <c r="V64" s="357">
        <f t="shared" ref="V64:V81" si="23">IFERROR(O64/N64,0)</f>
        <v>1</v>
      </c>
      <c r="W64" s="357">
        <f t="shared" ref="W64:W81" si="24">U64*$T64</f>
        <v>5.5555555555555552E-2</v>
      </c>
      <c r="X64" s="357">
        <f t="shared" ref="X64:X81" si="25">V64*$T64</f>
        <v>5.5555555555555552E-2</v>
      </c>
      <c r="Y64" s="198">
        <f t="shared" si="1"/>
        <v>100</v>
      </c>
      <c r="Z64" s="435">
        <f t="shared" si="2"/>
        <v>45078</v>
      </c>
      <c r="AA64" s="267">
        <v>4259.1000000000004</v>
      </c>
      <c r="AB64" s="267">
        <v>3505.5227576841544</v>
      </c>
      <c r="AC64" s="267"/>
    </row>
    <row r="65" spans="8:29" x14ac:dyDescent="0.25">
      <c r="H65" s="268" t="s">
        <v>289</v>
      </c>
      <c r="I65" s="397"/>
      <c r="J65" s="372"/>
      <c r="K65" s="372"/>
      <c r="L65" s="268">
        <v>0</v>
      </c>
      <c r="M65" s="268" t="s">
        <v>1183</v>
      </c>
      <c r="N65" s="268">
        <v>100</v>
      </c>
      <c r="O65" s="268">
        <v>100</v>
      </c>
      <c r="P65" s="268"/>
      <c r="Q65" s="268"/>
      <c r="R65" s="268"/>
      <c r="S65" s="269">
        <v>560</v>
      </c>
      <c r="T65" s="357">
        <f t="shared" ref="T65:T81" si="26">S65/$S$63</f>
        <v>5.5555555555555552E-2</v>
      </c>
      <c r="U65" s="359">
        <f t="shared" si="4"/>
        <v>1</v>
      </c>
      <c r="V65" s="357">
        <f t="shared" si="23"/>
        <v>1</v>
      </c>
      <c r="W65" s="357">
        <f t="shared" si="24"/>
        <v>5.5555555555555552E-2</v>
      </c>
      <c r="X65" s="357">
        <f t="shared" si="25"/>
        <v>5.5555555555555552E-2</v>
      </c>
      <c r="Y65" s="198">
        <f t="shared" si="1"/>
        <v>100</v>
      </c>
      <c r="Z65" s="435">
        <f t="shared" si="2"/>
        <v>45085</v>
      </c>
      <c r="AA65" s="267">
        <v>4259.1000000000004</v>
      </c>
      <c r="AB65" s="267">
        <v>3644.4384053170816</v>
      </c>
      <c r="AC65" s="267"/>
    </row>
    <row r="66" spans="8:29" x14ac:dyDescent="0.25">
      <c r="H66" s="268" t="s">
        <v>290</v>
      </c>
      <c r="I66" s="397"/>
      <c r="J66" s="372"/>
      <c r="K66" s="372"/>
      <c r="L66" s="268">
        <v>0</v>
      </c>
      <c r="M66" s="268" t="s">
        <v>1183</v>
      </c>
      <c r="N66" s="268">
        <v>100</v>
      </c>
      <c r="O66" s="268">
        <v>100</v>
      </c>
      <c r="P66" s="268"/>
      <c r="Q66" s="268"/>
      <c r="R66" s="268"/>
      <c r="S66" s="269">
        <v>560</v>
      </c>
      <c r="T66" s="357">
        <f t="shared" si="26"/>
        <v>5.5555555555555552E-2</v>
      </c>
      <c r="U66" s="359">
        <f t="shared" si="4"/>
        <v>1</v>
      </c>
      <c r="V66" s="357">
        <f t="shared" si="23"/>
        <v>1</v>
      </c>
      <c r="W66" s="357">
        <f t="shared" si="24"/>
        <v>5.5555555555555552E-2</v>
      </c>
      <c r="X66" s="357">
        <f t="shared" si="25"/>
        <v>5.5555555555555552E-2</v>
      </c>
      <c r="Y66" s="198">
        <f t="shared" si="1"/>
        <v>100</v>
      </c>
      <c r="Z66" s="435">
        <f t="shared" si="2"/>
        <v>45092</v>
      </c>
      <c r="AA66" s="267">
        <v>4259.1000000000004</v>
      </c>
      <c r="AB66" s="267">
        <v>3776.2186362833422</v>
      </c>
      <c r="AC66" s="267"/>
    </row>
    <row r="67" spans="8:29" x14ac:dyDescent="0.25">
      <c r="H67" s="268" t="s">
        <v>291</v>
      </c>
      <c r="I67" s="397"/>
      <c r="J67" s="372"/>
      <c r="K67" s="372"/>
      <c r="L67" s="268">
        <v>0</v>
      </c>
      <c r="M67" s="268" t="s">
        <v>1183</v>
      </c>
      <c r="N67" s="268">
        <v>100</v>
      </c>
      <c r="O67" s="268">
        <v>100</v>
      </c>
      <c r="P67" s="268"/>
      <c r="Q67" s="268"/>
      <c r="R67" s="268"/>
      <c r="S67" s="269">
        <v>560</v>
      </c>
      <c r="T67" s="357">
        <f t="shared" si="26"/>
        <v>5.5555555555555552E-2</v>
      </c>
      <c r="U67" s="359">
        <f t="shared" si="4"/>
        <v>1</v>
      </c>
      <c r="V67" s="357">
        <f t="shared" si="23"/>
        <v>1</v>
      </c>
      <c r="W67" s="357">
        <f t="shared" si="24"/>
        <v>5.5555555555555552E-2</v>
      </c>
      <c r="X67" s="357">
        <f t="shared" si="25"/>
        <v>5.5555555555555552E-2</v>
      </c>
      <c r="Y67" s="198">
        <f t="shared" si="1"/>
        <v>100</v>
      </c>
      <c r="Z67" s="435">
        <f t="shared" si="2"/>
        <v>45099</v>
      </c>
      <c r="AA67" s="267">
        <v>4259.1000000000004</v>
      </c>
      <c r="AB67" s="267">
        <v>3887.6447005829359</v>
      </c>
      <c r="AC67" s="267"/>
    </row>
    <row r="68" spans="8:29" x14ac:dyDescent="0.25">
      <c r="H68" s="268" t="s">
        <v>292</v>
      </c>
      <c r="I68" s="397"/>
      <c r="J68" s="372"/>
      <c r="K68" s="372"/>
      <c r="L68" s="268">
        <v>0</v>
      </c>
      <c r="M68" s="268" t="s">
        <v>1183</v>
      </c>
      <c r="N68" s="268">
        <v>100</v>
      </c>
      <c r="O68" s="268">
        <v>100</v>
      </c>
      <c r="P68" s="268"/>
      <c r="Q68" s="268"/>
      <c r="R68" s="268"/>
      <c r="S68" s="269">
        <v>560</v>
      </c>
      <c r="T68" s="357">
        <f t="shared" si="26"/>
        <v>5.5555555555555552E-2</v>
      </c>
      <c r="U68" s="359">
        <f t="shared" si="4"/>
        <v>1</v>
      </c>
      <c r="V68" s="357">
        <f t="shared" si="23"/>
        <v>1</v>
      </c>
      <c r="W68" s="357">
        <f t="shared" si="24"/>
        <v>5.5555555555555552E-2</v>
      </c>
      <c r="X68" s="357">
        <f t="shared" si="25"/>
        <v>5.5555555555555552E-2</v>
      </c>
      <c r="Y68" s="198">
        <f t="shared" si="1"/>
        <v>100</v>
      </c>
      <c r="Z68" s="435">
        <f t="shared" si="2"/>
        <v>45106</v>
      </c>
      <c r="AA68" s="267">
        <v>4259.1000000000004</v>
      </c>
      <c r="AB68" s="267">
        <v>3999.0707648825296</v>
      </c>
      <c r="AC68" s="267"/>
    </row>
    <row r="69" spans="8:29" x14ac:dyDescent="0.25">
      <c r="H69" s="268" t="s">
        <v>293</v>
      </c>
      <c r="I69" s="397"/>
      <c r="J69" s="372"/>
      <c r="K69" s="372"/>
      <c r="L69" s="268">
        <v>0</v>
      </c>
      <c r="M69" s="268" t="s">
        <v>1183</v>
      </c>
      <c r="N69" s="268">
        <v>100</v>
      </c>
      <c r="O69" s="268">
        <v>100</v>
      </c>
      <c r="P69" s="268"/>
      <c r="Q69" s="268"/>
      <c r="R69" s="268"/>
      <c r="S69" s="269">
        <v>560</v>
      </c>
      <c r="T69" s="357">
        <f t="shared" si="26"/>
        <v>5.5555555555555552E-2</v>
      </c>
      <c r="U69" s="359">
        <f t="shared" si="4"/>
        <v>1</v>
      </c>
      <c r="V69" s="357">
        <f t="shared" si="23"/>
        <v>1</v>
      </c>
      <c r="W69" s="357">
        <f t="shared" si="24"/>
        <v>5.5555555555555552E-2</v>
      </c>
      <c r="X69" s="357">
        <f t="shared" si="25"/>
        <v>5.5555555555555552E-2</v>
      </c>
      <c r="Y69" s="198">
        <f t="shared" si="1"/>
        <v>100</v>
      </c>
      <c r="Z69" s="435">
        <f t="shared" si="2"/>
        <v>45113</v>
      </c>
      <c r="AA69" s="267">
        <v>4259.1000000000004</v>
      </c>
      <c r="AB69" s="267">
        <v>4038.3229729729728</v>
      </c>
      <c r="AC69" s="267"/>
    </row>
    <row r="70" spans="8:29" x14ac:dyDescent="0.25">
      <c r="H70" s="268" t="s">
        <v>294</v>
      </c>
      <c r="I70" s="397"/>
      <c r="J70" s="372"/>
      <c r="K70" s="372"/>
      <c r="L70" s="268">
        <v>0</v>
      </c>
      <c r="M70" s="268" t="s">
        <v>1183</v>
      </c>
      <c r="N70" s="268">
        <v>100</v>
      </c>
      <c r="O70" s="268">
        <v>100</v>
      </c>
      <c r="P70" s="268"/>
      <c r="Q70" s="268"/>
      <c r="R70" s="268"/>
      <c r="S70" s="269">
        <v>560</v>
      </c>
      <c r="T70" s="357">
        <f t="shared" si="26"/>
        <v>5.5555555555555552E-2</v>
      </c>
      <c r="U70" s="359">
        <f t="shared" si="4"/>
        <v>1</v>
      </c>
      <c r="V70" s="357">
        <f t="shared" si="23"/>
        <v>1</v>
      </c>
      <c r="W70" s="357">
        <f t="shared" si="24"/>
        <v>5.5555555555555552E-2</v>
      </c>
      <c r="X70" s="357">
        <f t="shared" si="25"/>
        <v>5.5555555555555552E-2</v>
      </c>
      <c r="Y70" s="198">
        <f t="shared" si="1"/>
        <v>100</v>
      </c>
      <c r="Z70" s="435">
        <f t="shared" si="2"/>
        <v>45120</v>
      </c>
      <c r="AA70" s="267">
        <v>4259.1000000000004</v>
      </c>
      <c r="AB70" s="267">
        <v>4076.4262548262545</v>
      </c>
      <c r="AC70" s="267"/>
    </row>
    <row r="71" spans="8:29" x14ac:dyDescent="0.25">
      <c r="H71" s="268" t="s">
        <v>295</v>
      </c>
      <c r="I71" s="397"/>
      <c r="J71" s="372"/>
      <c r="K71" s="372"/>
      <c r="L71" s="268">
        <v>0</v>
      </c>
      <c r="M71" s="268" t="s">
        <v>1183</v>
      </c>
      <c r="N71" s="268">
        <v>100</v>
      </c>
      <c r="O71" s="268">
        <v>100</v>
      </c>
      <c r="P71" s="268"/>
      <c r="Q71" s="268"/>
      <c r="R71" s="268"/>
      <c r="S71" s="269">
        <v>560</v>
      </c>
      <c r="T71" s="357">
        <f t="shared" si="26"/>
        <v>5.5555555555555552E-2</v>
      </c>
      <c r="U71" s="359">
        <f t="shared" si="4"/>
        <v>1</v>
      </c>
      <c r="V71" s="357">
        <f t="shared" si="23"/>
        <v>1</v>
      </c>
      <c r="W71" s="357">
        <f t="shared" si="24"/>
        <v>5.5555555555555552E-2</v>
      </c>
      <c r="X71" s="357">
        <f t="shared" si="25"/>
        <v>5.5555555555555552E-2</v>
      </c>
      <c r="Y71" s="198">
        <f t="shared" si="1"/>
        <v>100</v>
      </c>
      <c r="Z71" s="435">
        <f t="shared" si="2"/>
        <v>45127</v>
      </c>
      <c r="AA71" s="267">
        <v>4259.1000000000004</v>
      </c>
      <c r="AB71" s="267">
        <v>4120.2438223938225</v>
      </c>
      <c r="AC71" s="267"/>
    </row>
    <row r="72" spans="8:29" x14ac:dyDescent="0.25">
      <c r="H72" s="268" t="s">
        <v>296</v>
      </c>
      <c r="I72" s="397"/>
      <c r="J72" s="372"/>
      <c r="K72" s="372"/>
      <c r="L72" s="268">
        <v>0</v>
      </c>
      <c r="M72" s="268" t="s">
        <v>1183</v>
      </c>
      <c r="N72" s="268">
        <v>100</v>
      </c>
      <c r="O72" s="268">
        <v>100</v>
      </c>
      <c r="P72" s="268"/>
      <c r="Q72" s="268"/>
      <c r="R72" s="268"/>
      <c r="S72" s="269">
        <v>560</v>
      </c>
      <c r="T72" s="357">
        <f t="shared" si="26"/>
        <v>5.5555555555555552E-2</v>
      </c>
      <c r="U72" s="359">
        <f t="shared" si="4"/>
        <v>1</v>
      </c>
      <c r="V72" s="357">
        <f t="shared" si="23"/>
        <v>1</v>
      </c>
      <c r="W72" s="357">
        <f t="shared" si="24"/>
        <v>5.5555555555555552E-2</v>
      </c>
      <c r="X72" s="357">
        <f t="shared" si="25"/>
        <v>5.5555555555555552E-2</v>
      </c>
      <c r="Y72" s="198">
        <f t="shared" si="1"/>
        <v>100</v>
      </c>
      <c r="Z72" s="435">
        <f t="shared" si="2"/>
        <v>45134</v>
      </c>
      <c r="AA72" s="267">
        <v>4259.1000000000004</v>
      </c>
      <c r="AB72" s="267">
        <v>4164.06138996139</v>
      </c>
      <c r="AC72" s="267"/>
    </row>
    <row r="73" spans="8:29" x14ac:dyDescent="0.25">
      <c r="H73" s="268" t="s">
        <v>297</v>
      </c>
      <c r="I73" s="397"/>
      <c r="J73" s="372"/>
      <c r="K73" s="372"/>
      <c r="L73" s="268">
        <v>0</v>
      </c>
      <c r="M73" s="268" t="s">
        <v>1183</v>
      </c>
      <c r="N73" s="268">
        <v>100</v>
      </c>
      <c r="O73" s="268">
        <v>100</v>
      </c>
      <c r="P73" s="268"/>
      <c r="Q73" s="268"/>
      <c r="R73" s="268"/>
      <c r="S73" s="269">
        <v>560</v>
      </c>
      <c r="T73" s="357">
        <f t="shared" si="26"/>
        <v>5.5555555555555552E-2</v>
      </c>
      <c r="U73" s="359">
        <f t="shared" si="4"/>
        <v>1</v>
      </c>
      <c r="V73" s="357">
        <f t="shared" si="23"/>
        <v>1</v>
      </c>
      <c r="W73" s="357">
        <f t="shared" si="24"/>
        <v>5.5555555555555552E-2</v>
      </c>
      <c r="X73" s="357">
        <f t="shared" si="25"/>
        <v>5.5555555555555552E-2</v>
      </c>
      <c r="Y73" s="198">
        <f t="shared" si="1"/>
        <v>100</v>
      </c>
      <c r="Z73" s="435">
        <f t="shared" si="2"/>
        <v>45141</v>
      </c>
      <c r="AA73" s="267">
        <v>4259.1000000000004</v>
      </c>
      <c r="AB73" s="267">
        <v>4193.385714285715</v>
      </c>
      <c r="AC73" s="267"/>
    </row>
    <row r="74" spans="8:29" x14ac:dyDescent="0.25">
      <c r="H74" s="268" t="s">
        <v>298</v>
      </c>
      <c r="I74" s="397"/>
      <c r="J74" s="372"/>
      <c r="K74" s="372"/>
      <c r="L74" s="268">
        <v>0</v>
      </c>
      <c r="M74" s="268" t="s">
        <v>1183</v>
      </c>
      <c r="N74" s="268">
        <v>100</v>
      </c>
      <c r="O74" s="268">
        <v>100</v>
      </c>
      <c r="P74" s="268"/>
      <c r="Q74" s="268"/>
      <c r="R74" s="268"/>
      <c r="S74" s="269">
        <v>560</v>
      </c>
      <c r="T74" s="357">
        <f t="shared" si="26"/>
        <v>5.5555555555555552E-2</v>
      </c>
      <c r="U74" s="359">
        <f t="shared" si="4"/>
        <v>1</v>
      </c>
      <c r="V74" s="357">
        <f t="shared" si="23"/>
        <v>1</v>
      </c>
      <c r="W74" s="357">
        <f t="shared" si="24"/>
        <v>5.5555555555555552E-2</v>
      </c>
      <c r="X74" s="357">
        <f t="shared" si="25"/>
        <v>5.5555555555555552E-2</v>
      </c>
      <c r="Y74" s="198">
        <f t="shared" ref="Y74:Y137" si="27">+U74*N74</f>
        <v>100</v>
      </c>
      <c r="Z74" s="435">
        <f t="shared" ref="Z74:Z100" si="28">+Z73+7</f>
        <v>45148</v>
      </c>
      <c r="AA74" s="267">
        <v>4259.1000000000004</v>
      </c>
      <c r="AB74" s="267">
        <v>4203.385714285715</v>
      </c>
      <c r="AC74" s="267"/>
    </row>
    <row r="75" spans="8:29" x14ac:dyDescent="0.25">
      <c r="H75" s="268" t="s">
        <v>299</v>
      </c>
      <c r="I75" s="397"/>
      <c r="J75" s="372"/>
      <c r="K75" s="372"/>
      <c r="L75" s="268">
        <v>0</v>
      </c>
      <c r="M75" s="268" t="s">
        <v>1183</v>
      </c>
      <c r="N75" s="268">
        <v>100</v>
      </c>
      <c r="O75" s="268">
        <v>100</v>
      </c>
      <c r="P75" s="268"/>
      <c r="Q75" s="268"/>
      <c r="R75" s="268"/>
      <c r="S75" s="269">
        <v>560</v>
      </c>
      <c r="T75" s="357">
        <f t="shared" si="26"/>
        <v>5.5555555555555552E-2</v>
      </c>
      <c r="U75" s="359">
        <f t="shared" si="4"/>
        <v>1</v>
      </c>
      <c r="V75" s="357">
        <f t="shared" si="23"/>
        <v>1</v>
      </c>
      <c r="W75" s="357">
        <f t="shared" si="24"/>
        <v>5.5555555555555552E-2</v>
      </c>
      <c r="X75" s="357">
        <f t="shared" si="25"/>
        <v>5.5555555555555552E-2</v>
      </c>
      <c r="Y75" s="198">
        <f t="shared" si="27"/>
        <v>100</v>
      </c>
      <c r="Z75" s="435">
        <f t="shared" si="28"/>
        <v>45155</v>
      </c>
      <c r="AA75" s="267">
        <v>4259.1000000000004</v>
      </c>
      <c r="AB75" s="267">
        <v>4213.385714285715</v>
      </c>
      <c r="AC75" s="267"/>
    </row>
    <row r="76" spans="8:29" x14ac:dyDescent="0.25">
      <c r="H76" s="268" t="s">
        <v>300</v>
      </c>
      <c r="I76" s="397"/>
      <c r="J76" s="372"/>
      <c r="K76" s="372"/>
      <c r="L76" s="268">
        <v>0</v>
      </c>
      <c r="M76" s="268" t="s">
        <v>1183</v>
      </c>
      <c r="N76" s="268">
        <v>100</v>
      </c>
      <c r="O76" s="268">
        <v>100</v>
      </c>
      <c r="P76" s="268"/>
      <c r="Q76" s="268"/>
      <c r="R76" s="268"/>
      <c r="S76" s="269">
        <v>560</v>
      </c>
      <c r="T76" s="357">
        <f t="shared" si="26"/>
        <v>5.5555555555555552E-2</v>
      </c>
      <c r="U76" s="359">
        <f t="shared" si="4"/>
        <v>1</v>
      </c>
      <c r="V76" s="357">
        <f t="shared" si="23"/>
        <v>1</v>
      </c>
      <c r="W76" s="357">
        <f t="shared" si="24"/>
        <v>5.5555555555555552E-2</v>
      </c>
      <c r="X76" s="357">
        <f t="shared" si="25"/>
        <v>5.5555555555555552E-2</v>
      </c>
      <c r="Y76" s="198">
        <f t="shared" si="27"/>
        <v>100</v>
      </c>
      <c r="Z76" s="435">
        <f t="shared" si="28"/>
        <v>45162</v>
      </c>
      <c r="AA76" s="267">
        <v>4259.1000000000004</v>
      </c>
      <c r="AB76" s="267">
        <v>4223.385714285715</v>
      </c>
      <c r="AC76" s="267"/>
    </row>
    <row r="77" spans="8:29" x14ac:dyDescent="0.25">
      <c r="H77" s="268" t="s">
        <v>301</v>
      </c>
      <c r="I77" s="397"/>
      <c r="J77" s="372"/>
      <c r="K77" s="372"/>
      <c r="L77" s="268">
        <v>0</v>
      </c>
      <c r="M77" s="268" t="s">
        <v>1183</v>
      </c>
      <c r="N77" s="268">
        <v>50</v>
      </c>
      <c r="O77" s="268">
        <v>100</v>
      </c>
      <c r="P77" s="268"/>
      <c r="Q77" s="268"/>
      <c r="R77" s="268"/>
      <c r="S77" s="269">
        <v>560</v>
      </c>
      <c r="T77" s="357">
        <f t="shared" si="26"/>
        <v>5.5555555555555552E-2</v>
      </c>
      <c r="U77" s="359">
        <f t="shared" si="4"/>
        <v>1</v>
      </c>
      <c r="V77" s="357">
        <f t="shared" si="23"/>
        <v>2</v>
      </c>
      <c r="W77" s="357">
        <f t="shared" si="24"/>
        <v>5.5555555555555552E-2</v>
      </c>
      <c r="X77" s="357">
        <f t="shared" si="25"/>
        <v>0.1111111111111111</v>
      </c>
      <c r="Y77" s="198">
        <f t="shared" si="27"/>
        <v>50</v>
      </c>
      <c r="Z77" s="435">
        <f t="shared" si="28"/>
        <v>45169</v>
      </c>
      <c r="AA77" s="267">
        <v>4259.1000000000004</v>
      </c>
      <c r="AB77" s="267">
        <v>4233.385714285715</v>
      </c>
      <c r="AC77" s="267"/>
    </row>
    <row r="78" spans="8:29" x14ac:dyDescent="0.25">
      <c r="H78" s="268" t="s">
        <v>302</v>
      </c>
      <c r="I78" s="397"/>
      <c r="J78" s="372"/>
      <c r="K78" s="372"/>
      <c r="L78" s="268">
        <v>0</v>
      </c>
      <c r="M78" s="268" t="s">
        <v>1183</v>
      </c>
      <c r="N78" s="268">
        <v>100</v>
      </c>
      <c r="O78" s="268">
        <v>50</v>
      </c>
      <c r="P78" s="268"/>
      <c r="Q78" s="268"/>
      <c r="R78" s="268"/>
      <c r="S78" s="269">
        <v>560</v>
      </c>
      <c r="T78" s="357">
        <f t="shared" si="26"/>
        <v>5.5555555555555552E-2</v>
      </c>
      <c r="U78" s="359">
        <f t="shared" si="4"/>
        <v>1</v>
      </c>
      <c r="V78" s="357">
        <f t="shared" si="23"/>
        <v>0.5</v>
      </c>
      <c r="W78" s="357">
        <f t="shared" si="24"/>
        <v>5.5555555555555552E-2</v>
      </c>
      <c r="X78" s="357">
        <f t="shared" si="25"/>
        <v>2.7777777777777776E-2</v>
      </c>
      <c r="Y78" s="198">
        <f t="shared" si="27"/>
        <v>100</v>
      </c>
      <c r="Z78" s="435">
        <f t="shared" si="28"/>
        <v>45176</v>
      </c>
      <c r="AA78" s="267">
        <v>4259.1000000000004</v>
      </c>
      <c r="AB78" s="267">
        <v>4243.385714285715</v>
      </c>
      <c r="AC78" s="267"/>
    </row>
    <row r="79" spans="8:29" x14ac:dyDescent="0.25">
      <c r="H79" s="268" t="s">
        <v>303</v>
      </c>
      <c r="I79" s="397"/>
      <c r="J79" s="372"/>
      <c r="K79" s="372"/>
      <c r="L79" s="268">
        <v>0</v>
      </c>
      <c r="M79" s="268" t="s">
        <v>1183</v>
      </c>
      <c r="N79" s="268">
        <v>100</v>
      </c>
      <c r="O79" s="268">
        <v>50</v>
      </c>
      <c r="P79" s="268"/>
      <c r="Q79" s="268"/>
      <c r="R79" s="268"/>
      <c r="S79" s="269">
        <v>560</v>
      </c>
      <c r="T79" s="357">
        <f t="shared" si="26"/>
        <v>5.5555555555555552E-2</v>
      </c>
      <c r="U79" s="359">
        <f t="shared" si="4"/>
        <v>1</v>
      </c>
      <c r="V79" s="357">
        <f t="shared" si="23"/>
        <v>0.5</v>
      </c>
      <c r="W79" s="357">
        <f t="shared" si="24"/>
        <v>5.5555555555555552E-2</v>
      </c>
      <c r="X79" s="357">
        <f t="shared" si="25"/>
        <v>2.7777777777777776E-2</v>
      </c>
      <c r="Y79" s="198">
        <f t="shared" si="27"/>
        <v>100</v>
      </c>
      <c r="Z79" s="435">
        <f t="shared" si="28"/>
        <v>45183</v>
      </c>
      <c r="AA79" s="267">
        <v>4259.1000000000004</v>
      </c>
      <c r="AB79" s="267">
        <v>4253.385714285715</v>
      </c>
      <c r="AC79" s="267"/>
    </row>
    <row r="80" spans="8:29" x14ac:dyDescent="0.25">
      <c r="H80" s="268" t="s">
        <v>304</v>
      </c>
      <c r="I80" s="397"/>
      <c r="J80" s="372"/>
      <c r="K80" s="372"/>
      <c r="L80" s="268">
        <v>0</v>
      </c>
      <c r="M80" s="268" t="s">
        <v>1183</v>
      </c>
      <c r="N80" s="268">
        <v>100</v>
      </c>
      <c r="O80" s="268">
        <v>0</v>
      </c>
      <c r="P80" s="268"/>
      <c r="Q80" s="268"/>
      <c r="R80" s="268"/>
      <c r="S80" s="269">
        <v>560</v>
      </c>
      <c r="T80" s="357">
        <f t="shared" si="26"/>
        <v>5.5555555555555552E-2</v>
      </c>
      <c r="U80" s="359">
        <f t="shared" si="4"/>
        <v>1</v>
      </c>
      <c r="V80" s="357">
        <f t="shared" si="23"/>
        <v>0</v>
      </c>
      <c r="W80" s="357">
        <f t="shared" si="24"/>
        <v>5.5555555555555552E-2</v>
      </c>
      <c r="X80" s="357">
        <f t="shared" si="25"/>
        <v>0</v>
      </c>
      <c r="Y80" s="198">
        <f t="shared" si="27"/>
        <v>100</v>
      </c>
      <c r="Z80" s="435">
        <f t="shared" si="28"/>
        <v>45190</v>
      </c>
      <c r="AA80" s="267">
        <v>4259.1000000000004</v>
      </c>
      <c r="AB80" s="267">
        <v>4259.1000000000004</v>
      </c>
      <c r="AC80" s="267"/>
    </row>
    <row r="81" spans="8:29" x14ac:dyDescent="0.25">
      <c r="H81" s="268" t="s">
        <v>305</v>
      </c>
      <c r="I81" s="397"/>
      <c r="J81" s="372"/>
      <c r="K81" s="372"/>
      <c r="L81" s="268">
        <v>0</v>
      </c>
      <c r="M81" s="268" t="s">
        <v>1183</v>
      </c>
      <c r="N81" s="268">
        <v>100</v>
      </c>
      <c r="O81" s="268">
        <v>70</v>
      </c>
      <c r="P81" s="268"/>
      <c r="Q81" s="268"/>
      <c r="R81" s="268"/>
      <c r="S81" s="269">
        <v>560</v>
      </c>
      <c r="T81" s="357">
        <f t="shared" si="26"/>
        <v>5.5555555555555552E-2</v>
      </c>
      <c r="U81" s="359">
        <f t="shared" si="4"/>
        <v>1</v>
      </c>
      <c r="V81" s="357">
        <f t="shared" si="23"/>
        <v>0.7</v>
      </c>
      <c r="W81" s="357">
        <f t="shared" si="24"/>
        <v>5.5555555555555552E-2</v>
      </c>
      <c r="X81" s="357">
        <f t="shared" si="25"/>
        <v>3.8888888888888883E-2</v>
      </c>
      <c r="Y81" s="198">
        <f t="shared" si="27"/>
        <v>100</v>
      </c>
      <c r="Z81" s="435">
        <f t="shared" si="28"/>
        <v>45197</v>
      </c>
      <c r="AA81" s="267">
        <v>4259.1000000000004</v>
      </c>
      <c r="AB81" s="267">
        <v>4259.1000000000004</v>
      </c>
      <c r="AC81" s="267"/>
    </row>
    <row r="82" spans="8:29" x14ac:dyDescent="0.25">
      <c r="H82" s="514" t="s">
        <v>306</v>
      </c>
      <c r="I82" s="515"/>
      <c r="J82" s="378"/>
      <c r="K82" s="378"/>
      <c r="L82" s="377">
        <f t="shared" ref="L82:L84" si="29">K82-J82+1</f>
        <v>1</v>
      </c>
      <c r="M82" s="377"/>
      <c r="N82" s="377"/>
      <c r="O82" s="377"/>
      <c r="P82" s="377"/>
      <c r="Q82" s="377"/>
      <c r="R82" s="377"/>
      <c r="S82" s="387">
        <f>S83+S175+S350+S582</f>
        <v>2159771.5135421888</v>
      </c>
      <c r="T82" s="379">
        <f>S82/S7</f>
        <v>0.96765625233141572</v>
      </c>
      <c r="U82" s="377"/>
      <c r="V82" s="379"/>
      <c r="W82" s="379">
        <f>W83*T83+W175*T175+W350*T350+W582*T582</f>
        <v>0.98803075573497301</v>
      </c>
      <c r="X82" s="379">
        <f>X83*T83+X175*T175+X350*T350+X582*T582</f>
        <v>0.20718597052082427</v>
      </c>
      <c r="Y82" s="198">
        <f t="shared" si="27"/>
        <v>0</v>
      </c>
      <c r="Z82" s="435">
        <f t="shared" si="28"/>
        <v>45204</v>
      </c>
      <c r="AA82" s="267">
        <v>4259.1000000000004</v>
      </c>
      <c r="AB82" s="267">
        <v>4259.1000000000004</v>
      </c>
      <c r="AC82" s="267"/>
    </row>
    <row r="83" spans="8:29" x14ac:dyDescent="0.25">
      <c r="H83" s="512" t="s">
        <v>307</v>
      </c>
      <c r="I83" s="513"/>
      <c r="J83" s="367"/>
      <c r="K83" s="367"/>
      <c r="L83" s="366">
        <f t="shared" si="29"/>
        <v>1</v>
      </c>
      <c r="M83" s="366"/>
      <c r="N83" s="366"/>
      <c r="O83" s="366"/>
      <c r="P83" s="366"/>
      <c r="Q83" s="366"/>
      <c r="R83" s="366"/>
      <c r="S83" s="403">
        <f>S84+S112+S124+S151+S154</f>
        <v>53700</v>
      </c>
      <c r="T83" s="404">
        <f>S83/S82</f>
        <v>2.4863741216740069E-2</v>
      </c>
      <c r="U83" s="366"/>
      <c r="V83" s="405"/>
      <c r="W83" s="405">
        <f>W84*T84+W112*T112+W124*T124+W151*T151+W154*T154</f>
        <v>0.99037174977584663</v>
      </c>
      <c r="X83" s="405">
        <f>X84*T84+X112*T112+X124*T124+X151*T151+X154*T154</f>
        <v>0</v>
      </c>
      <c r="Y83" s="198">
        <f t="shared" si="27"/>
        <v>0</v>
      </c>
      <c r="Z83" s="435">
        <f t="shared" si="28"/>
        <v>45211</v>
      </c>
      <c r="AA83" s="267">
        <v>4259.1000000000004</v>
      </c>
      <c r="AB83" s="267">
        <v>4259.1000000000004</v>
      </c>
      <c r="AC83" s="267"/>
    </row>
    <row r="84" spans="8:29" x14ac:dyDescent="0.25">
      <c r="H84" s="510" t="s">
        <v>308</v>
      </c>
      <c r="I84" s="511"/>
      <c r="J84" s="392"/>
      <c r="K84" s="392"/>
      <c r="L84" s="368">
        <f t="shared" si="29"/>
        <v>1</v>
      </c>
      <c r="M84" s="368"/>
      <c r="N84" s="368"/>
      <c r="O84" s="368"/>
      <c r="P84" s="368"/>
      <c r="Q84" s="368"/>
      <c r="R84" s="368"/>
      <c r="S84" s="400">
        <f>SUM(S85:S111)</f>
        <v>13959.999999999996</v>
      </c>
      <c r="T84" s="356">
        <f>S84/S83</f>
        <v>0.25996275605214147</v>
      </c>
      <c r="U84" s="368"/>
      <c r="V84" s="356"/>
      <c r="W84" s="356">
        <f>SUM(W85:W111)</f>
        <v>0.96296296296296369</v>
      </c>
      <c r="X84" s="356">
        <f>SUM(X85:X111)</f>
        <v>0</v>
      </c>
      <c r="Y84" s="198">
        <f t="shared" si="27"/>
        <v>0</v>
      </c>
      <c r="Z84" s="435">
        <f t="shared" si="28"/>
        <v>45218</v>
      </c>
      <c r="AA84" s="267">
        <v>4259.1000000000004</v>
      </c>
      <c r="AB84" s="267">
        <v>4259.1000000000004</v>
      </c>
      <c r="AC84" s="267"/>
    </row>
    <row r="85" spans="8:29" x14ac:dyDescent="0.25">
      <c r="H85" s="268" t="s">
        <v>309</v>
      </c>
      <c r="I85" s="397"/>
      <c r="J85" s="372"/>
      <c r="K85" s="372"/>
      <c r="L85" s="268">
        <v>0</v>
      </c>
      <c r="M85" s="268" t="s">
        <v>1183</v>
      </c>
      <c r="N85" s="268">
        <v>100</v>
      </c>
      <c r="O85" s="268"/>
      <c r="P85" s="268"/>
      <c r="Q85" s="268"/>
      <c r="R85" s="268"/>
      <c r="S85" s="269">
        <v>517.03703703703707</v>
      </c>
      <c r="T85" s="357">
        <f>S85/$S$84</f>
        <v>3.7037037037037049E-2</v>
      </c>
      <c r="U85" s="359">
        <f t="shared" ref="U85:U111" si="30">IF($J85&gt;U$5,0,IF($K85&lt;U$5,1,IF(U$5=$K85,1,((U$5-$J85+1)/($K85-$J85+1)))))</f>
        <v>1</v>
      </c>
      <c r="V85" s="357">
        <f t="shared" ref="V85:V111" si="31">IFERROR(O85/N85,0)</f>
        <v>0</v>
      </c>
      <c r="W85" s="357">
        <f t="shared" ref="W85:W111" si="32">U85*$T85</f>
        <v>3.7037037037037049E-2</v>
      </c>
      <c r="X85" s="357">
        <f t="shared" ref="X85:X111" si="33">V85*$T85</f>
        <v>0</v>
      </c>
      <c r="Y85" s="198">
        <f t="shared" si="27"/>
        <v>100</v>
      </c>
      <c r="Z85" s="435">
        <f t="shared" si="28"/>
        <v>45225</v>
      </c>
      <c r="AA85" s="267">
        <v>4259.1000000000004</v>
      </c>
      <c r="AB85" s="267">
        <v>4259.1000000000004</v>
      </c>
      <c r="AC85" s="267"/>
    </row>
    <row r="86" spans="8:29" x14ac:dyDescent="0.25">
      <c r="H86" s="268" t="s">
        <v>310</v>
      </c>
      <c r="I86" s="397"/>
      <c r="J86" s="372"/>
      <c r="K86" s="372"/>
      <c r="L86" s="268">
        <v>0</v>
      </c>
      <c r="M86" s="268" t="s">
        <v>1183</v>
      </c>
      <c r="N86" s="268">
        <v>100</v>
      </c>
      <c r="O86" s="268"/>
      <c r="P86" s="268"/>
      <c r="Q86" s="268"/>
      <c r="R86" s="268"/>
      <c r="S86" s="269">
        <v>517.03703703703707</v>
      </c>
      <c r="T86" s="357">
        <f t="shared" ref="T86:T110" si="34">S86/$S$84</f>
        <v>3.7037037037037049E-2</v>
      </c>
      <c r="U86" s="359">
        <f t="shared" si="30"/>
        <v>1</v>
      </c>
      <c r="V86" s="357">
        <f t="shared" si="31"/>
        <v>0</v>
      </c>
      <c r="W86" s="357">
        <f t="shared" si="32"/>
        <v>3.7037037037037049E-2</v>
      </c>
      <c r="X86" s="357">
        <f t="shared" si="33"/>
        <v>0</v>
      </c>
      <c r="Y86" s="198">
        <f t="shared" si="27"/>
        <v>100</v>
      </c>
      <c r="Z86" s="435">
        <f t="shared" si="28"/>
        <v>45232</v>
      </c>
      <c r="AA86" s="267">
        <v>4259.1000000000004</v>
      </c>
      <c r="AB86" s="267">
        <v>4259.1000000000004</v>
      </c>
      <c r="AC86" s="267"/>
    </row>
    <row r="87" spans="8:29" x14ac:dyDescent="0.25">
      <c r="H87" s="268" t="s">
        <v>311</v>
      </c>
      <c r="I87" s="397"/>
      <c r="J87" s="372"/>
      <c r="K87" s="372"/>
      <c r="L87" s="268">
        <v>0</v>
      </c>
      <c r="M87" s="268" t="s">
        <v>1183</v>
      </c>
      <c r="N87" s="268">
        <v>100</v>
      </c>
      <c r="O87" s="268"/>
      <c r="P87" s="268"/>
      <c r="Q87" s="268"/>
      <c r="R87" s="268"/>
      <c r="S87" s="269">
        <v>517.03703703703707</v>
      </c>
      <c r="T87" s="357">
        <f t="shared" si="34"/>
        <v>3.7037037037037049E-2</v>
      </c>
      <c r="U87" s="359">
        <f t="shared" si="30"/>
        <v>1</v>
      </c>
      <c r="V87" s="357">
        <f t="shared" si="31"/>
        <v>0</v>
      </c>
      <c r="W87" s="357">
        <f t="shared" si="32"/>
        <v>3.7037037037037049E-2</v>
      </c>
      <c r="X87" s="357">
        <f t="shared" si="33"/>
        <v>0</v>
      </c>
      <c r="Y87" s="198">
        <f t="shared" si="27"/>
        <v>100</v>
      </c>
      <c r="Z87" s="435">
        <f t="shared" si="28"/>
        <v>45239</v>
      </c>
      <c r="AA87" s="267">
        <v>4259.1000000000004</v>
      </c>
      <c r="AB87" s="267">
        <v>4259.1000000000004</v>
      </c>
      <c r="AC87" s="267"/>
    </row>
    <row r="88" spans="8:29" x14ac:dyDescent="0.25">
      <c r="H88" s="268" t="s">
        <v>312</v>
      </c>
      <c r="I88" s="397"/>
      <c r="J88" s="372"/>
      <c r="K88" s="372"/>
      <c r="L88" s="268">
        <v>0</v>
      </c>
      <c r="M88" s="268" t="s">
        <v>1183</v>
      </c>
      <c r="N88" s="268">
        <v>100</v>
      </c>
      <c r="O88" s="268"/>
      <c r="P88" s="268"/>
      <c r="Q88" s="268"/>
      <c r="R88" s="268"/>
      <c r="S88" s="269">
        <v>517.03703703703707</v>
      </c>
      <c r="T88" s="357">
        <f t="shared" si="34"/>
        <v>3.7037037037037049E-2</v>
      </c>
      <c r="U88" s="359">
        <f t="shared" si="30"/>
        <v>1</v>
      </c>
      <c r="V88" s="357">
        <f t="shared" si="31"/>
        <v>0</v>
      </c>
      <c r="W88" s="357">
        <f t="shared" si="32"/>
        <v>3.7037037037037049E-2</v>
      </c>
      <c r="X88" s="357">
        <f t="shared" si="33"/>
        <v>0</v>
      </c>
      <c r="Y88" s="198">
        <f t="shared" si="27"/>
        <v>100</v>
      </c>
      <c r="Z88" s="435">
        <f t="shared" si="28"/>
        <v>45246</v>
      </c>
      <c r="AA88" s="267">
        <v>4259.1000000000004</v>
      </c>
      <c r="AB88" s="267">
        <v>4259.1000000000004</v>
      </c>
      <c r="AC88" s="267"/>
    </row>
    <row r="89" spans="8:29" x14ac:dyDescent="0.25">
      <c r="H89" s="268" t="s">
        <v>313</v>
      </c>
      <c r="I89" s="397"/>
      <c r="J89" s="372"/>
      <c r="K89" s="372"/>
      <c r="L89" s="268">
        <v>0</v>
      </c>
      <c r="M89" s="268" t="s">
        <v>1183</v>
      </c>
      <c r="N89" s="268">
        <v>100</v>
      </c>
      <c r="O89" s="268"/>
      <c r="P89" s="268"/>
      <c r="Q89" s="268"/>
      <c r="R89" s="268"/>
      <c r="S89" s="269">
        <v>517.03703703703707</v>
      </c>
      <c r="T89" s="357">
        <f t="shared" si="34"/>
        <v>3.7037037037037049E-2</v>
      </c>
      <c r="U89" s="359">
        <f t="shared" si="30"/>
        <v>1</v>
      </c>
      <c r="V89" s="357">
        <f t="shared" si="31"/>
        <v>0</v>
      </c>
      <c r="W89" s="357">
        <f t="shared" si="32"/>
        <v>3.7037037037037049E-2</v>
      </c>
      <c r="X89" s="357">
        <f t="shared" si="33"/>
        <v>0</v>
      </c>
      <c r="Y89" s="198">
        <f t="shared" si="27"/>
        <v>100</v>
      </c>
      <c r="Z89" s="435">
        <f t="shared" si="28"/>
        <v>45253</v>
      </c>
      <c r="AA89" s="267">
        <v>4259.1000000000004</v>
      </c>
      <c r="AB89" s="267">
        <v>4259.1000000000004</v>
      </c>
      <c r="AC89" s="267"/>
    </row>
    <row r="90" spans="8:29" x14ac:dyDescent="0.25">
      <c r="H90" s="268" t="s">
        <v>314</v>
      </c>
      <c r="I90" s="397"/>
      <c r="J90" s="372"/>
      <c r="K90" s="372"/>
      <c r="L90" s="268">
        <v>0</v>
      </c>
      <c r="M90" s="268" t="s">
        <v>1183</v>
      </c>
      <c r="N90" s="268">
        <v>100</v>
      </c>
      <c r="O90" s="268"/>
      <c r="P90" s="268"/>
      <c r="Q90" s="268"/>
      <c r="R90" s="268"/>
      <c r="S90" s="269">
        <v>517.03703703703707</v>
      </c>
      <c r="T90" s="357">
        <f t="shared" si="34"/>
        <v>3.7037037037037049E-2</v>
      </c>
      <c r="U90" s="359">
        <f t="shared" si="30"/>
        <v>1</v>
      </c>
      <c r="V90" s="357">
        <f t="shared" si="31"/>
        <v>0</v>
      </c>
      <c r="W90" s="357">
        <f t="shared" si="32"/>
        <v>3.7037037037037049E-2</v>
      </c>
      <c r="X90" s="357">
        <f t="shared" si="33"/>
        <v>0</v>
      </c>
      <c r="Y90" s="198">
        <f t="shared" si="27"/>
        <v>100</v>
      </c>
      <c r="Z90" s="435">
        <f t="shared" si="28"/>
        <v>45260</v>
      </c>
      <c r="AA90" s="267">
        <v>4259.1000000000004</v>
      </c>
      <c r="AB90" s="267">
        <v>4259.1000000000004</v>
      </c>
      <c r="AC90" s="267"/>
    </row>
    <row r="91" spans="8:29" x14ac:dyDescent="0.25">
      <c r="H91" s="268" t="s">
        <v>315</v>
      </c>
      <c r="I91" s="397"/>
      <c r="J91" s="372"/>
      <c r="K91" s="372"/>
      <c r="L91" s="268">
        <v>0</v>
      </c>
      <c r="M91" s="268" t="s">
        <v>1183</v>
      </c>
      <c r="N91" s="268">
        <v>100</v>
      </c>
      <c r="O91" s="268"/>
      <c r="P91" s="268"/>
      <c r="Q91" s="268"/>
      <c r="R91" s="268"/>
      <c r="S91" s="269">
        <v>517.03703703703707</v>
      </c>
      <c r="T91" s="357">
        <f t="shared" si="34"/>
        <v>3.7037037037037049E-2</v>
      </c>
      <c r="U91" s="359">
        <f t="shared" si="30"/>
        <v>1</v>
      </c>
      <c r="V91" s="357">
        <f t="shared" si="31"/>
        <v>0</v>
      </c>
      <c r="W91" s="357">
        <f t="shared" si="32"/>
        <v>3.7037037037037049E-2</v>
      </c>
      <c r="X91" s="357">
        <f t="shared" si="33"/>
        <v>0</v>
      </c>
      <c r="Y91" s="198">
        <f t="shared" si="27"/>
        <v>100</v>
      </c>
      <c r="Z91" s="435">
        <f t="shared" si="28"/>
        <v>45267</v>
      </c>
      <c r="AA91" s="267">
        <v>4259.1000000000004</v>
      </c>
      <c r="AB91" s="267">
        <v>4259.1000000000004</v>
      </c>
      <c r="AC91" s="267"/>
    </row>
    <row r="92" spans="8:29" x14ac:dyDescent="0.25">
      <c r="H92" s="268" t="s">
        <v>316</v>
      </c>
      <c r="I92" s="397"/>
      <c r="J92" s="372"/>
      <c r="K92" s="372"/>
      <c r="L92" s="268">
        <v>0</v>
      </c>
      <c r="M92" s="268" t="s">
        <v>1183</v>
      </c>
      <c r="N92" s="268">
        <v>100</v>
      </c>
      <c r="O92" s="268"/>
      <c r="P92" s="268"/>
      <c r="Q92" s="268"/>
      <c r="R92" s="268"/>
      <c r="S92" s="269">
        <v>517.03703703703707</v>
      </c>
      <c r="T92" s="357">
        <f t="shared" si="34"/>
        <v>3.7037037037037049E-2</v>
      </c>
      <c r="U92" s="359">
        <f t="shared" si="30"/>
        <v>1</v>
      </c>
      <c r="V92" s="357">
        <f t="shared" si="31"/>
        <v>0</v>
      </c>
      <c r="W92" s="357">
        <f t="shared" si="32"/>
        <v>3.7037037037037049E-2</v>
      </c>
      <c r="X92" s="357">
        <f t="shared" si="33"/>
        <v>0</v>
      </c>
      <c r="Y92" s="198">
        <f t="shared" si="27"/>
        <v>100</v>
      </c>
      <c r="Z92" s="435">
        <f t="shared" si="28"/>
        <v>45274</v>
      </c>
      <c r="AA92" s="267">
        <v>4259.1000000000004</v>
      </c>
      <c r="AB92" s="267">
        <v>4259.1000000000004</v>
      </c>
      <c r="AC92" s="267"/>
    </row>
    <row r="93" spans="8:29" x14ac:dyDescent="0.25">
      <c r="H93" s="268" t="s">
        <v>317</v>
      </c>
      <c r="I93" s="397"/>
      <c r="J93" s="372"/>
      <c r="K93" s="372"/>
      <c r="L93" s="268">
        <v>0</v>
      </c>
      <c r="M93" s="268" t="s">
        <v>1183</v>
      </c>
      <c r="N93" s="268">
        <v>100</v>
      </c>
      <c r="O93" s="268"/>
      <c r="P93" s="268"/>
      <c r="Q93" s="268"/>
      <c r="R93" s="268"/>
      <c r="S93" s="269">
        <v>517.03703703703707</v>
      </c>
      <c r="T93" s="357">
        <f t="shared" si="34"/>
        <v>3.7037037037037049E-2</v>
      </c>
      <c r="U93" s="359">
        <f t="shared" si="30"/>
        <v>1</v>
      </c>
      <c r="V93" s="357">
        <f t="shared" si="31"/>
        <v>0</v>
      </c>
      <c r="W93" s="357">
        <f t="shared" si="32"/>
        <v>3.7037037037037049E-2</v>
      </c>
      <c r="X93" s="357">
        <f t="shared" si="33"/>
        <v>0</v>
      </c>
      <c r="Y93" s="198">
        <f t="shared" si="27"/>
        <v>100</v>
      </c>
      <c r="Z93" s="435">
        <f t="shared" si="28"/>
        <v>45281</v>
      </c>
      <c r="AA93" s="267">
        <v>4259.1000000000004</v>
      </c>
      <c r="AB93" s="267">
        <v>4259.1000000000004</v>
      </c>
      <c r="AC93" s="267"/>
    </row>
    <row r="94" spans="8:29" x14ac:dyDescent="0.25">
      <c r="H94" s="268" t="s">
        <v>318</v>
      </c>
      <c r="I94" s="397"/>
      <c r="J94" s="372"/>
      <c r="K94" s="372"/>
      <c r="L94" s="268">
        <v>0</v>
      </c>
      <c r="M94" s="268" t="s">
        <v>1183</v>
      </c>
      <c r="N94" s="268">
        <v>100</v>
      </c>
      <c r="O94" s="268"/>
      <c r="P94" s="268"/>
      <c r="Q94" s="268"/>
      <c r="R94" s="268"/>
      <c r="S94" s="269">
        <v>517.03703703703707</v>
      </c>
      <c r="T94" s="357">
        <f t="shared" si="34"/>
        <v>3.7037037037037049E-2</v>
      </c>
      <c r="U94" s="359">
        <f t="shared" si="30"/>
        <v>1</v>
      </c>
      <c r="V94" s="357">
        <f t="shared" si="31"/>
        <v>0</v>
      </c>
      <c r="W94" s="357">
        <f t="shared" si="32"/>
        <v>3.7037037037037049E-2</v>
      </c>
      <c r="X94" s="357">
        <f t="shared" si="33"/>
        <v>0</v>
      </c>
      <c r="Y94" s="198">
        <f t="shared" si="27"/>
        <v>100</v>
      </c>
      <c r="Z94" s="435">
        <f t="shared" si="28"/>
        <v>45288</v>
      </c>
      <c r="AA94" s="267">
        <v>4259.1000000000004</v>
      </c>
      <c r="AB94" s="267">
        <v>4259.1000000000004</v>
      </c>
      <c r="AC94" s="267"/>
    </row>
    <row r="95" spans="8:29" x14ac:dyDescent="0.25">
      <c r="H95" s="268" t="s">
        <v>319</v>
      </c>
      <c r="I95" s="397"/>
      <c r="J95" s="372"/>
      <c r="K95" s="372"/>
      <c r="L95" s="268">
        <v>0</v>
      </c>
      <c r="M95" s="268" t="s">
        <v>1183</v>
      </c>
      <c r="N95" s="268">
        <v>100</v>
      </c>
      <c r="O95" s="268"/>
      <c r="P95" s="268"/>
      <c r="Q95" s="268"/>
      <c r="R95" s="268"/>
      <c r="S95" s="269">
        <v>517.03703703703707</v>
      </c>
      <c r="T95" s="357">
        <f t="shared" si="34"/>
        <v>3.7037037037037049E-2</v>
      </c>
      <c r="U95" s="359">
        <f t="shared" si="30"/>
        <v>1</v>
      </c>
      <c r="V95" s="357">
        <f t="shared" si="31"/>
        <v>0</v>
      </c>
      <c r="W95" s="357">
        <f t="shared" si="32"/>
        <v>3.7037037037037049E-2</v>
      </c>
      <c r="X95" s="357">
        <f t="shared" si="33"/>
        <v>0</v>
      </c>
      <c r="Y95" s="198">
        <f t="shared" si="27"/>
        <v>100</v>
      </c>
      <c r="Z95" s="435">
        <f t="shared" si="28"/>
        <v>45295</v>
      </c>
      <c r="AA95" s="267">
        <v>4259.1000000000004</v>
      </c>
      <c r="AB95" s="267">
        <v>4259.1000000000004</v>
      </c>
      <c r="AC95" s="267"/>
    </row>
    <row r="96" spans="8:29" x14ac:dyDescent="0.25">
      <c r="H96" s="268" t="s">
        <v>320</v>
      </c>
      <c r="I96" s="397"/>
      <c r="J96" s="372"/>
      <c r="K96" s="372"/>
      <c r="L96" s="268">
        <v>0</v>
      </c>
      <c r="M96" s="268" t="s">
        <v>1183</v>
      </c>
      <c r="N96" s="268">
        <v>100</v>
      </c>
      <c r="O96" s="268"/>
      <c r="P96" s="268"/>
      <c r="Q96" s="268"/>
      <c r="R96" s="268"/>
      <c r="S96" s="269">
        <v>517.03703703703707</v>
      </c>
      <c r="T96" s="357">
        <f t="shared" si="34"/>
        <v>3.7037037037037049E-2</v>
      </c>
      <c r="U96" s="359">
        <f t="shared" si="30"/>
        <v>1</v>
      </c>
      <c r="V96" s="357">
        <f t="shared" si="31"/>
        <v>0</v>
      </c>
      <c r="W96" s="357">
        <f t="shared" si="32"/>
        <v>3.7037037037037049E-2</v>
      </c>
      <c r="X96" s="357">
        <f t="shared" si="33"/>
        <v>0</v>
      </c>
      <c r="Y96" s="198">
        <f t="shared" si="27"/>
        <v>100</v>
      </c>
      <c r="Z96" s="435">
        <f t="shared" si="28"/>
        <v>45302</v>
      </c>
      <c r="AA96" s="267">
        <v>4259.1000000000004</v>
      </c>
      <c r="AB96" s="267">
        <v>4259.1000000000004</v>
      </c>
      <c r="AC96" s="267"/>
    </row>
    <row r="97" spans="8:29" x14ac:dyDescent="0.25">
      <c r="H97" s="268" t="s">
        <v>321</v>
      </c>
      <c r="I97" s="397"/>
      <c r="J97" s="372"/>
      <c r="K97" s="372"/>
      <c r="L97" s="268">
        <v>0</v>
      </c>
      <c r="M97" s="268" t="s">
        <v>1183</v>
      </c>
      <c r="N97" s="268">
        <v>100</v>
      </c>
      <c r="O97" s="268"/>
      <c r="P97" s="268"/>
      <c r="Q97" s="268"/>
      <c r="R97" s="268"/>
      <c r="S97" s="269">
        <v>517.03703703703707</v>
      </c>
      <c r="T97" s="357">
        <f t="shared" si="34"/>
        <v>3.7037037037037049E-2</v>
      </c>
      <c r="U97" s="359">
        <f t="shared" si="30"/>
        <v>1</v>
      </c>
      <c r="V97" s="357">
        <f t="shared" si="31"/>
        <v>0</v>
      </c>
      <c r="W97" s="357">
        <f t="shared" si="32"/>
        <v>3.7037037037037049E-2</v>
      </c>
      <c r="X97" s="357">
        <f t="shared" si="33"/>
        <v>0</v>
      </c>
      <c r="Y97" s="198">
        <f t="shared" si="27"/>
        <v>100</v>
      </c>
      <c r="Z97" s="435">
        <f t="shared" si="28"/>
        <v>45309</v>
      </c>
      <c r="AA97" s="267">
        <v>4259.1000000000004</v>
      </c>
      <c r="AB97" s="267">
        <v>4259.1000000000004</v>
      </c>
      <c r="AC97" s="267"/>
    </row>
    <row r="98" spans="8:29" x14ac:dyDescent="0.25">
      <c r="H98" s="268" t="s">
        <v>322</v>
      </c>
      <c r="I98" s="397"/>
      <c r="J98" s="372"/>
      <c r="K98" s="372"/>
      <c r="L98" s="268">
        <v>0</v>
      </c>
      <c r="M98" s="268" t="s">
        <v>1183</v>
      </c>
      <c r="N98" s="268">
        <v>100</v>
      </c>
      <c r="O98" s="268"/>
      <c r="P98" s="268"/>
      <c r="Q98" s="268"/>
      <c r="R98" s="268"/>
      <c r="S98" s="269">
        <v>517.03703703703707</v>
      </c>
      <c r="T98" s="357">
        <f t="shared" si="34"/>
        <v>3.7037037037037049E-2</v>
      </c>
      <c r="U98" s="359">
        <f t="shared" si="30"/>
        <v>1</v>
      </c>
      <c r="V98" s="357">
        <f t="shared" si="31"/>
        <v>0</v>
      </c>
      <c r="W98" s="357">
        <f t="shared" si="32"/>
        <v>3.7037037037037049E-2</v>
      </c>
      <c r="X98" s="357">
        <f t="shared" si="33"/>
        <v>0</v>
      </c>
      <c r="Y98" s="198">
        <f t="shared" si="27"/>
        <v>100</v>
      </c>
      <c r="Z98" s="435">
        <f t="shared" si="28"/>
        <v>45316</v>
      </c>
      <c r="AA98" s="267">
        <v>4259.1000000000004</v>
      </c>
      <c r="AB98" s="267">
        <v>4259.1000000000004</v>
      </c>
      <c r="AC98" s="267"/>
    </row>
    <row r="99" spans="8:29" x14ac:dyDescent="0.25">
      <c r="H99" s="268" t="s">
        <v>323</v>
      </c>
      <c r="I99" s="397"/>
      <c r="J99" s="372"/>
      <c r="K99" s="372"/>
      <c r="L99" s="268">
        <v>0</v>
      </c>
      <c r="M99" s="268" t="s">
        <v>1183</v>
      </c>
      <c r="N99" s="268">
        <v>100</v>
      </c>
      <c r="O99" s="268"/>
      <c r="P99" s="268"/>
      <c r="Q99" s="268"/>
      <c r="R99" s="268"/>
      <c r="S99" s="269">
        <v>517.03703703703707</v>
      </c>
      <c r="T99" s="357">
        <f t="shared" si="34"/>
        <v>3.7037037037037049E-2</v>
      </c>
      <c r="U99" s="359">
        <f t="shared" si="30"/>
        <v>1</v>
      </c>
      <c r="V99" s="357">
        <f t="shared" si="31"/>
        <v>0</v>
      </c>
      <c r="W99" s="357">
        <f t="shared" si="32"/>
        <v>3.7037037037037049E-2</v>
      </c>
      <c r="X99" s="357">
        <f t="shared" si="33"/>
        <v>0</v>
      </c>
      <c r="Y99" s="198">
        <f t="shared" si="27"/>
        <v>100</v>
      </c>
      <c r="Z99" s="435">
        <f t="shared" si="28"/>
        <v>45323</v>
      </c>
      <c r="AA99" s="267">
        <v>4259.1000000000004</v>
      </c>
      <c r="AB99" s="267">
        <v>4259.1000000000004</v>
      </c>
      <c r="AC99" s="267"/>
    </row>
    <row r="100" spans="8:29" x14ac:dyDescent="0.25">
      <c r="H100" s="268" t="s">
        <v>324</v>
      </c>
      <c r="I100" s="397"/>
      <c r="J100" s="372"/>
      <c r="K100" s="372"/>
      <c r="L100" s="268">
        <v>0</v>
      </c>
      <c r="M100" s="268" t="s">
        <v>1183</v>
      </c>
      <c r="N100" s="268">
        <v>100</v>
      </c>
      <c r="O100" s="268"/>
      <c r="P100" s="268"/>
      <c r="Q100" s="268"/>
      <c r="R100" s="268"/>
      <c r="S100" s="269">
        <v>517.03703703703707</v>
      </c>
      <c r="T100" s="357">
        <f t="shared" si="34"/>
        <v>3.7037037037037049E-2</v>
      </c>
      <c r="U100" s="359">
        <f t="shared" si="30"/>
        <v>1</v>
      </c>
      <c r="V100" s="357">
        <f t="shared" si="31"/>
        <v>0</v>
      </c>
      <c r="W100" s="357">
        <f t="shared" si="32"/>
        <v>3.7037037037037049E-2</v>
      </c>
      <c r="X100" s="357">
        <f t="shared" si="33"/>
        <v>0</v>
      </c>
      <c r="Y100" s="198">
        <f t="shared" si="27"/>
        <v>100</v>
      </c>
      <c r="Z100" s="435">
        <f t="shared" si="28"/>
        <v>45330</v>
      </c>
      <c r="AA100" s="267">
        <v>4259.1000000000004</v>
      </c>
      <c r="AB100" s="267">
        <v>4259.1000000000004</v>
      </c>
      <c r="AC100" s="267"/>
    </row>
    <row r="101" spans="8:29" x14ac:dyDescent="0.25">
      <c r="H101" s="268" t="s">
        <v>325</v>
      </c>
      <c r="I101" s="397" t="s">
        <v>326</v>
      </c>
      <c r="J101" s="372">
        <v>45119</v>
      </c>
      <c r="K101" s="372">
        <v>45119</v>
      </c>
      <c r="L101" s="268">
        <v>0</v>
      </c>
      <c r="M101" s="268" t="s">
        <v>1183</v>
      </c>
      <c r="N101" s="268">
        <v>100</v>
      </c>
      <c r="O101" s="268"/>
      <c r="P101" s="268"/>
      <c r="Q101" s="268"/>
      <c r="R101" s="268"/>
      <c r="S101" s="269">
        <v>517.03703703703707</v>
      </c>
      <c r="T101" s="357">
        <f t="shared" si="34"/>
        <v>3.7037037037037049E-2</v>
      </c>
      <c r="U101" s="359">
        <f t="shared" si="30"/>
        <v>1</v>
      </c>
      <c r="V101" s="357">
        <f t="shared" si="31"/>
        <v>0</v>
      </c>
      <c r="W101" s="357">
        <f t="shared" si="32"/>
        <v>3.7037037037037049E-2</v>
      </c>
      <c r="X101" s="357">
        <f t="shared" si="33"/>
        <v>0</v>
      </c>
      <c r="Y101" s="198">
        <f t="shared" si="27"/>
        <v>100</v>
      </c>
      <c r="Z101" s="435"/>
      <c r="AC101" s="267"/>
    </row>
    <row r="102" spans="8:29" x14ac:dyDescent="0.25">
      <c r="H102" s="268" t="s">
        <v>327</v>
      </c>
      <c r="I102" s="397" t="s">
        <v>328</v>
      </c>
      <c r="J102" s="372">
        <v>45132</v>
      </c>
      <c r="K102" s="372">
        <v>45132</v>
      </c>
      <c r="L102" s="268">
        <v>0</v>
      </c>
      <c r="M102" s="268" t="s">
        <v>1183</v>
      </c>
      <c r="N102" s="268">
        <v>100</v>
      </c>
      <c r="O102" s="268"/>
      <c r="P102" s="268"/>
      <c r="Q102" s="268"/>
      <c r="R102" s="268"/>
      <c r="S102" s="269">
        <v>517.03703703703707</v>
      </c>
      <c r="T102" s="357">
        <f t="shared" si="34"/>
        <v>3.7037037037037049E-2</v>
      </c>
      <c r="U102" s="359">
        <f t="shared" si="30"/>
        <v>1</v>
      </c>
      <c r="V102" s="357">
        <f t="shared" si="31"/>
        <v>0</v>
      </c>
      <c r="W102" s="357">
        <f t="shared" si="32"/>
        <v>3.7037037037037049E-2</v>
      </c>
      <c r="X102" s="357">
        <f t="shared" si="33"/>
        <v>0</v>
      </c>
      <c r="Y102" s="198">
        <f t="shared" si="27"/>
        <v>100</v>
      </c>
      <c r="Z102" s="435"/>
      <c r="AC102" s="267"/>
    </row>
    <row r="103" spans="8:29" x14ac:dyDescent="0.25">
      <c r="H103" s="268" t="s">
        <v>329</v>
      </c>
      <c r="I103" s="397" t="s">
        <v>330</v>
      </c>
      <c r="J103" s="372">
        <v>45137</v>
      </c>
      <c r="K103" s="372">
        <v>45137</v>
      </c>
      <c r="L103" s="268">
        <v>0</v>
      </c>
      <c r="M103" s="268" t="s">
        <v>1183</v>
      </c>
      <c r="N103" s="268">
        <v>100</v>
      </c>
      <c r="O103" s="268"/>
      <c r="P103" s="268"/>
      <c r="Q103" s="268"/>
      <c r="R103" s="268"/>
      <c r="S103" s="269">
        <v>517.03703703703707</v>
      </c>
      <c r="T103" s="357">
        <f t="shared" si="34"/>
        <v>3.7037037037037049E-2</v>
      </c>
      <c r="U103" s="359">
        <f t="shared" si="30"/>
        <v>1</v>
      </c>
      <c r="V103" s="357">
        <f t="shared" si="31"/>
        <v>0</v>
      </c>
      <c r="W103" s="357">
        <f t="shared" si="32"/>
        <v>3.7037037037037049E-2</v>
      </c>
      <c r="X103" s="357">
        <f t="shared" si="33"/>
        <v>0</v>
      </c>
      <c r="Y103" s="198">
        <f t="shared" si="27"/>
        <v>100</v>
      </c>
      <c r="Z103" s="435"/>
      <c r="AC103" s="267"/>
    </row>
    <row r="104" spans="8:29" x14ac:dyDescent="0.25">
      <c r="H104" s="268" t="s">
        <v>331</v>
      </c>
      <c r="I104" s="397" t="s">
        <v>332</v>
      </c>
      <c r="J104" s="372">
        <v>45137</v>
      </c>
      <c r="K104" s="372">
        <v>45137</v>
      </c>
      <c r="L104" s="268">
        <v>0</v>
      </c>
      <c r="M104" s="268" t="s">
        <v>1183</v>
      </c>
      <c r="N104" s="268">
        <v>100</v>
      </c>
      <c r="O104" s="268"/>
      <c r="P104" s="268"/>
      <c r="Q104" s="268"/>
      <c r="R104" s="268"/>
      <c r="S104" s="269">
        <v>517.03703703703707</v>
      </c>
      <c r="T104" s="357">
        <f t="shared" si="34"/>
        <v>3.7037037037037049E-2</v>
      </c>
      <c r="U104" s="359">
        <f t="shared" si="30"/>
        <v>1</v>
      </c>
      <c r="V104" s="357">
        <f t="shared" si="31"/>
        <v>0</v>
      </c>
      <c r="W104" s="357">
        <f t="shared" si="32"/>
        <v>3.7037037037037049E-2</v>
      </c>
      <c r="X104" s="357">
        <f t="shared" si="33"/>
        <v>0</v>
      </c>
      <c r="Y104" s="198">
        <f t="shared" si="27"/>
        <v>100</v>
      </c>
      <c r="Z104" s="435"/>
      <c r="AC104" s="267"/>
    </row>
    <row r="105" spans="8:29" x14ac:dyDescent="0.25">
      <c r="H105" s="268" t="s">
        <v>333</v>
      </c>
      <c r="I105" s="397" t="s">
        <v>334</v>
      </c>
      <c r="J105" s="372">
        <v>45167</v>
      </c>
      <c r="K105" s="372">
        <v>45167</v>
      </c>
      <c r="L105" s="268">
        <v>0</v>
      </c>
      <c r="M105" s="268" t="s">
        <v>1183</v>
      </c>
      <c r="N105" s="268">
        <v>100</v>
      </c>
      <c r="O105" s="268"/>
      <c r="P105" s="268"/>
      <c r="Q105" s="268"/>
      <c r="R105" s="268"/>
      <c r="S105" s="269">
        <v>517.03703703703707</v>
      </c>
      <c r="T105" s="357">
        <f t="shared" si="34"/>
        <v>3.7037037037037049E-2</v>
      </c>
      <c r="U105" s="359">
        <f t="shared" si="30"/>
        <v>1</v>
      </c>
      <c r="V105" s="357">
        <f t="shared" si="31"/>
        <v>0</v>
      </c>
      <c r="W105" s="357">
        <f t="shared" si="32"/>
        <v>3.7037037037037049E-2</v>
      </c>
      <c r="X105" s="357">
        <f t="shared" si="33"/>
        <v>0</v>
      </c>
      <c r="Y105" s="198">
        <f t="shared" si="27"/>
        <v>100</v>
      </c>
      <c r="Z105" s="435"/>
      <c r="AC105" s="267"/>
    </row>
    <row r="106" spans="8:29" x14ac:dyDescent="0.25">
      <c r="H106" s="268" t="s">
        <v>335</v>
      </c>
      <c r="I106" s="397" t="s">
        <v>336</v>
      </c>
      <c r="J106" s="372">
        <v>45175</v>
      </c>
      <c r="K106" s="372">
        <v>45175</v>
      </c>
      <c r="L106" s="268">
        <v>0</v>
      </c>
      <c r="M106" s="268" t="s">
        <v>1183</v>
      </c>
      <c r="N106" s="268">
        <v>100</v>
      </c>
      <c r="O106" s="268"/>
      <c r="P106" s="268"/>
      <c r="Q106" s="268"/>
      <c r="R106" s="268"/>
      <c r="S106" s="269">
        <v>517.03703703703707</v>
      </c>
      <c r="T106" s="357">
        <f t="shared" si="34"/>
        <v>3.7037037037037049E-2</v>
      </c>
      <c r="U106" s="359">
        <f t="shared" si="30"/>
        <v>1</v>
      </c>
      <c r="V106" s="357">
        <f t="shared" si="31"/>
        <v>0</v>
      </c>
      <c r="W106" s="357">
        <f t="shared" si="32"/>
        <v>3.7037037037037049E-2</v>
      </c>
      <c r="X106" s="357">
        <f t="shared" si="33"/>
        <v>0</v>
      </c>
      <c r="Y106" s="198">
        <f t="shared" si="27"/>
        <v>100</v>
      </c>
      <c r="Z106" s="435"/>
      <c r="AC106" s="267"/>
    </row>
    <row r="107" spans="8:29" x14ac:dyDescent="0.25">
      <c r="H107" s="268" t="s">
        <v>337</v>
      </c>
      <c r="I107" s="397" t="s">
        <v>338</v>
      </c>
      <c r="J107" s="372">
        <v>45186</v>
      </c>
      <c r="K107" s="372">
        <v>45186</v>
      </c>
      <c r="L107" s="268">
        <v>0</v>
      </c>
      <c r="M107" s="268" t="s">
        <v>1183</v>
      </c>
      <c r="N107" s="268">
        <v>100</v>
      </c>
      <c r="O107" s="268"/>
      <c r="P107" s="268"/>
      <c r="Q107" s="268"/>
      <c r="R107" s="268"/>
      <c r="S107" s="269">
        <v>517.03703703703707</v>
      </c>
      <c r="T107" s="357">
        <f t="shared" si="34"/>
        <v>3.7037037037037049E-2</v>
      </c>
      <c r="U107" s="359">
        <f t="shared" si="30"/>
        <v>1</v>
      </c>
      <c r="V107" s="357">
        <f t="shared" si="31"/>
        <v>0</v>
      </c>
      <c r="W107" s="357">
        <f t="shared" si="32"/>
        <v>3.7037037037037049E-2</v>
      </c>
      <c r="X107" s="357">
        <f t="shared" si="33"/>
        <v>0</v>
      </c>
      <c r="Y107" s="198">
        <f t="shared" si="27"/>
        <v>100</v>
      </c>
      <c r="Z107" s="435"/>
      <c r="AC107" s="267"/>
    </row>
    <row r="108" spans="8:29" x14ac:dyDescent="0.25">
      <c r="H108" s="268" t="s">
        <v>339</v>
      </c>
      <c r="I108" s="397" t="s">
        <v>340</v>
      </c>
      <c r="J108" s="372">
        <v>45244</v>
      </c>
      <c r="K108" s="372">
        <v>45244</v>
      </c>
      <c r="L108" s="268">
        <v>0</v>
      </c>
      <c r="M108" s="268" t="s">
        <v>1183</v>
      </c>
      <c r="N108" s="268">
        <v>100</v>
      </c>
      <c r="O108" s="268"/>
      <c r="P108" s="268"/>
      <c r="Q108" s="268"/>
      <c r="R108" s="268"/>
      <c r="S108" s="269">
        <v>517.03703703703707</v>
      </c>
      <c r="T108" s="357">
        <f t="shared" si="34"/>
        <v>3.7037037037037049E-2</v>
      </c>
      <c r="U108" s="359">
        <f t="shared" si="30"/>
        <v>1</v>
      </c>
      <c r="V108" s="357">
        <f t="shared" si="31"/>
        <v>0</v>
      </c>
      <c r="W108" s="357">
        <f t="shared" si="32"/>
        <v>3.7037037037037049E-2</v>
      </c>
      <c r="X108" s="357">
        <f t="shared" si="33"/>
        <v>0</v>
      </c>
      <c r="Y108" s="198">
        <f t="shared" si="27"/>
        <v>100</v>
      </c>
      <c r="Z108" s="435"/>
      <c r="AC108" s="267"/>
    </row>
    <row r="109" spans="8:29" x14ac:dyDescent="0.25">
      <c r="H109" s="268" t="s">
        <v>341</v>
      </c>
      <c r="I109" s="397" t="s">
        <v>342</v>
      </c>
      <c r="J109" s="372">
        <v>45249</v>
      </c>
      <c r="K109" s="372">
        <v>45249</v>
      </c>
      <c r="L109" s="268">
        <v>0</v>
      </c>
      <c r="M109" s="268" t="s">
        <v>1183</v>
      </c>
      <c r="N109" s="268">
        <v>100</v>
      </c>
      <c r="O109" s="268"/>
      <c r="P109" s="268"/>
      <c r="Q109" s="268"/>
      <c r="R109" s="268"/>
      <c r="S109" s="269">
        <v>517.03703703703707</v>
      </c>
      <c r="T109" s="357">
        <f t="shared" si="34"/>
        <v>3.7037037037037049E-2</v>
      </c>
      <c r="U109" s="359">
        <f t="shared" si="30"/>
        <v>1</v>
      </c>
      <c r="V109" s="357">
        <f t="shared" si="31"/>
        <v>0</v>
      </c>
      <c r="W109" s="357">
        <f t="shared" si="32"/>
        <v>3.7037037037037049E-2</v>
      </c>
      <c r="X109" s="357">
        <f t="shared" si="33"/>
        <v>0</v>
      </c>
      <c r="Y109" s="198">
        <f t="shared" si="27"/>
        <v>100</v>
      </c>
      <c r="Z109" s="435"/>
      <c r="AC109" s="267"/>
    </row>
    <row r="110" spans="8:29" x14ac:dyDescent="0.25">
      <c r="H110" s="268" t="s">
        <v>343</v>
      </c>
      <c r="I110" s="397" t="s">
        <v>344</v>
      </c>
      <c r="J110" s="372">
        <v>45266</v>
      </c>
      <c r="K110" s="372">
        <v>45266</v>
      </c>
      <c r="L110" s="268">
        <v>0</v>
      </c>
      <c r="M110" s="268" t="s">
        <v>1183</v>
      </c>
      <c r="N110" s="268">
        <v>100</v>
      </c>
      <c r="O110" s="268"/>
      <c r="P110" s="268"/>
      <c r="Q110" s="268"/>
      <c r="R110" s="268"/>
      <c r="S110" s="269">
        <v>517.03703703703707</v>
      </c>
      <c r="T110" s="357">
        <f t="shared" si="34"/>
        <v>3.7037037037037049E-2</v>
      </c>
      <c r="U110" s="359">
        <f t="shared" si="30"/>
        <v>1</v>
      </c>
      <c r="V110" s="357">
        <f t="shared" si="31"/>
        <v>0</v>
      </c>
      <c r="W110" s="357">
        <f t="shared" si="32"/>
        <v>3.7037037037037049E-2</v>
      </c>
      <c r="X110" s="357">
        <f t="shared" si="33"/>
        <v>0</v>
      </c>
      <c r="Y110" s="198">
        <f t="shared" si="27"/>
        <v>100</v>
      </c>
      <c r="Z110" s="435"/>
      <c r="AC110" s="267"/>
    </row>
    <row r="111" spans="8:29" x14ac:dyDescent="0.25">
      <c r="H111" s="268" t="s">
        <v>345</v>
      </c>
      <c r="I111" s="397" t="s">
        <v>346</v>
      </c>
      <c r="J111" s="372">
        <v>45323</v>
      </c>
      <c r="K111" s="372">
        <v>45323</v>
      </c>
      <c r="L111" s="268">
        <v>0</v>
      </c>
      <c r="M111" s="268" t="s">
        <v>1183</v>
      </c>
      <c r="N111" s="268">
        <v>100</v>
      </c>
      <c r="O111" s="268"/>
      <c r="P111" s="268"/>
      <c r="Q111" s="268"/>
      <c r="R111" s="268"/>
      <c r="S111" s="269">
        <v>517.03703703703707</v>
      </c>
      <c r="T111" s="357">
        <f>S111/$S$84</f>
        <v>3.7037037037037049E-2</v>
      </c>
      <c r="U111" s="359">
        <f t="shared" si="30"/>
        <v>0</v>
      </c>
      <c r="V111" s="357">
        <f t="shared" si="31"/>
        <v>0</v>
      </c>
      <c r="W111" s="357">
        <f t="shared" si="32"/>
        <v>0</v>
      </c>
      <c r="X111" s="357">
        <f t="shared" si="33"/>
        <v>0</v>
      </c>
      <c r="Y111" s="198">
        <f t="shared" si="27"/>
        <v>0</v>
      </c>
      <c r="Z111" s="435"/>
      <c r="AC111" s="267"/>
    </row>
    <row r="112" spans="8:29" x14ac:dyDescent="0.25">
      <c r="H112" s="510" t="s">
        <v>347</v>
      </c>
      <c r="I112" s="511"/>
      <c r="J112" s="392">
        <v>44899</v>
      </c>
      <c r="K112" s="392">
        <v>45153</v>
      </c>
      <c r="L112" s="368">
        <f t="shared" ref="L112" si="35">K112-J112+1</f>
        <v>255</v>
      </c>
      <c r="M112" s="368"/>
      <c r="N112" s="368"/>
      <c r="O112" s="368"/>
      <c r="P112" s="368"/>
      <c r="Q112" s="368"/>
      <c r="R112" s="368"/>
      <c r="S112" s="400">
        <f>SUM(S113:S123)</f>
        <v>16500</v>
      </c>
      <c r="T112" s="356">
        <f>S112/S83</f>
        <v>0.30726256983240224</v>
      </c>
      <c r="U112" s="368"/>
      <c r="V112" s="356"/>
      <c r="W112" s="356">
        <f>SUM(W113:W123)</f>
        <v>1.0000000000000002</v>
      </c>
      <c r="X112" s="356">
        <f>SUM(X113:X123)</f>
        <v>0</v>
      </c>
      <c r="Y112" s="198">
        <f t="shared" si="27"/>
        <v>0</v>
      </c>
      <c r="Z112" s="435"/>
      <c r="AC112" s="267"/>
    </row>
    <row r="113" spans="8:29" x14ac:dyDescent="0.25">
      <c r="H113" s="268" t="s">
        <v>348</v>
      </c>
      <c r="I113" s="397" t="s">
        <v>349</v>
      </c>
      <c r="J113" s="372">
        <v>44899</v>
      </c>
      <c r="K113" s="372">
        <v>44899</v>
      </c>
      <c r="L113" s="268">
        <v>0</v>
      </c>
      <c r="M113" s="268" t="s">
        <v>1183</v>
      </c>
      <c r="N113" s="268">
        <v>100</v>
      </c>
      <c r="O113" s="268"/>
      <c r="P113" s="268"/>
      <c r="Q113" s="268"/>
      <c r="R113" s="268"/>
      <c r="S113" s="269">
        <v>1500</v>
      </c>
      <c r="T113" s="357">
        <f>S113/$S$112</f>
        <v>9.0909090909090912E-2</v>
      </c>
      <c r="U113" s="359">
        <f t="shared" ref="U113:U123" si="36">IF($J113&gt;U$5,0,IF($K113&lt;U$5,1,IF(U$5=$K113,1,((U$5-$J113+1)/($K113-$J113+1)))))</f>
        <v>1</v>
      </c>
      <c r="V113" s="357">
        <f t="shared" ref="V113:V123" si="37">IFERROR(O113/N113,0)</f>
        <v>0</v>
      </c>
      <c r="W113" s="357">
        <f t="shared" ref="W113:W123" si="38">U113*$T113</f>
        <v>9.0909090909090912E-2</v>
      </c>
      <c r="X113" s="357">
        <f t="shared" ref="X113:X123" si="39">V113*$T113</f>
        <v>0</v>
      </c>
      <c r="Y113" s="198">
        <f t="shared" si="27"/>
        <v>100</v>
      </c>
      <c r="Z113" s="435"/>
      <c r="AC113" s="267"/>
    </row>
    <row r="114" spans="8:29" x14ac:dyDescent="0.25">
      <c r="H114" s="268" t="s">
        <v>350</v>
      </c>
      <c r="I114" s="397" t="s">
        <v>351</v>
      </c>
      <c r="J114" s="372">
        <v>44968</v>
      </c>
      <c r="K114" s="372">
        <v>44968</v>
      </c>
      <c r="L114" s="268">
        <v>0</v>
      </c>
      <c r="M114" s="268" t="s">
        <v>1183</v>
      </c>
      <c r="N114" s="268">
        <v>100</v>
      </c>
      <c r="O114" s="268"/>
      <c r="P114" s="268"/>
      <c r="Q114" s="268"/>
      <c r="R114" s="268"/>
      <c r="S114" s="269">
        <v>1500</v>
      </c>
      <c r="T114" s="357">
        <f t="shared" ref="T114:T123" si="40">S114/$S$112</f>
        <v>9.0909090909090912E-2</v>
      </c>
      <c r="U114" s="359">
        <f t="shared" si="36"/>
        <v>1</v>
      </c>
      <c r="V114" s="357">
        <f t="shared" si="37"/>
        <v>0</v>
      </c>
      <c r="W114" s="357">
        <f t="shared" si="38"/>
        <v>9.0909090909090912E-2</v>
      </c>
      <c r="X114" s="357">
        <f t="shared" si="39"/>
        <v>0</v>
      </c>
      <c r="Y114" s="198">
        <f t="shared" si="27"/>
        <v>100</v>
      </c>
      <c r="Z114" s="435"/>
      <c r="AC114" s="267"/>
    </row>
    <row r="115" spans="8:29" x14ac:dyDescent="0.25">
      <c r="H115" s="268" t="s">
        <v>352</v>
      </c>
      <c r="I115" s="397" t="s">
        <v>353</v>
      </c>
      <c r="J115" s="372">
        <v>44976</v>
      </c>
      <c r="K115" s="372">
        <v>44976</v>
      </c>
      <c r="L115" s="268">
        <v>0</v>
      </c>
      <c r="M115" s="268" t="s">
        <v>1183</v>
      </c>
      <c r="N115" s="268">
        <v>100</v>
      </c>
      <c r="O115" s="268"/>
      <c r="P115" s="268"/>
      <c r="Q115" s="268"/>
      <c r="R115" s="268"/>
      <c r="S115" s="269">
        <v>1500</v>
      </c>
      <c r="T115" s="357">
        <f t="shared" si="40"/>
        <v>9.0909090909090912E-2</v>
      </c>
      <c r="U115" s="359">
        <f t="shared" si="36"/>
        <v>1</v>
      </c>
      <c r="V115" s="357">
        <f t="shared" si="37"/>
        <v>0</v>
      </c>
      <c r="W115" s="357">
        <f t="shared" si="38"/>
        <v>9.0909090909090912E-2</v>
      </c>
      <c r="X115" s="357">
        <f t="shared" si="39"/>
        <v>0</v>
      </c>
      <c r="Y115" s="198">
        <f t="shared" si="27"/>
        <v>100</v>
      </c>
      <c r="Z115" s="435"/>
      <c r="AC115" s="267"/>
    </row>
    <row r="116" spans="8:29" x14ac:dyDescent="0.25">
      <c r="H116" s="268" t="s">
        <v>354</v>
      </c>
      <c r="I116" s="397" t="s">
        <v>355</v>
      </c>
      <c r="J116" s="372">
        <v>44982</v>
      </c>
      <c r="K116" s="372">
        <v>44982</v>
      </c>
      <c r="L116" s="268">
        <v>0</v>
      </c>
      <c r="M116" s="268" t="s">
        <v>1183</v>
      </c>
      <c r="N116" s="268">
        <v>100</v>
      </c>
      <c r="O116" s="268"/>
      <c r="P116" s="268"/>
      <c r="Q116" s="268"/>
      <c r="R116" s="268"/>
      <c r="S116" s="269">
        <v>1500</v>
      </c>
      <c r="T116" s="357">
        <f t="shared" si="40"/>
        <v>9.0909090909090912E-2</v>
      </c>
      <c r="U116" s="359">
        <f t="shared" si="36"/>
        <v>1</v>
      </c>
      <c r="V116" s="357">
        <f t="shared" si="37"/>
        <v>0</v>
      </c>
      <c r="W116" s="357">
        <f t="shared" si="38"/>
        <v>9.0909090909090912E-2</v>
      </c>
      <c r="X116" s="357">
        <f t="shared" si="39"/>
        <v>0</v>
      </c>
      <c r="Y116" s="198">
        <f t="shared" si="27"/>
        <v>100</v>
      </c>
      <c r="Z116" s="435"/>
      <c r="AC116" s="267"/>
    </row>
    <row r="117" spans="8:29" x14ac:dyDescent="0.25">
      <c r="H117" s="268" t="s">
        <v>356</v>
      </c>
      <c r="I117" s="397" t="s">
        <v>357</v>
      </c>
      <c r="J117" s="372">
        <v>44997</v>
      </c>
      <c r="K117" s="372">
        <v>44997</v>
      </c>
      <c r="L117" s="268">
        <v>0</v>
      </c>
      <c r="M117" s="268" t="s">
        <v>1183</v>
      </c>
      <c r="N117" s="268">
        <v>100</v>
      </c>
      <c r="O117" s="268"/>
      <c r="P117" s="268"/>
      <c r="Q117" s="268"/>
      <c r="R117" s="268"/>
      <c r="S117" s="269">
        <v>1500</v>
      </c>
      <c r="T117" s="357">
        <f t="shared" si="40"/>
        <v>9.0909090909090912E-2</v>
      </c>
      <c r="U117" s="359">
        <f t="shared" si="36"/>
        <v>1</v>
      </c>
      <c r="V117" s="357">
        <f t="shared" si="37"/>
        <v>0</v>
      </c>
      <c r="W117" s="357">
        <f t="shared" si="38"/>
        <v>9.0909090909090912E-2</v>
      </c>
      <c r="X117" s="357">
        <f t="shared" si="39"/>
        <v>0</v>
      </c>
      <c r="Y117" s="198">
        <f t="shared" si="27"/>
        <v>100</v>
      </c>
      <c r="Z117" s="435"/>
      <c r="AC117" s="267"/>
    </row>
    <row r="118" spans="8:29" x14ac:dyDescent="0.25">
      <c r="H118" s="268" t="s">
        <v>358</v>
      </c>
      <c r="I118" s="397" t="s">
        <v>359</v>
      </c>
      <c r="J118" s="372">
        <v>45000</v>
      </c>
      <c r="K118" s="372">
        <v>45000</v>
      </c>
      <c r="L118" s="268">
        <v>0</v>
      </c>
      <c r="M118" s="268" t="s">
        <v>1183</v>
      </c>
      <c r="N118" s="268">
        <v>100</v>
      </c>
      <c r="O118" s="268"/>
      <c r="P118" s="268"/>
      <c r="Q118" s="268"/>
      <c r="R118" s="268"/>
      <c r="S118" s="269">
        <v>1500</v>
      </c>
      <c r="T118" s="357">
        <f t="shared" si="40"/>
        <v>9.0909090909090912E-2</v>
      </c>
      <c r="U118" s="359">
        <f t="shared" si="36"/>
        <v>1</v>
      </c>
      <c r="V118" s="357">
        <f t="shared" si="37"/>
        <v>0</v>
      </c>
      <c r="W118" s="357">
        <f t="shared" si="38"/>
        <v>9.0909090909090912E-2</v>
      </c>
      <c r="X118" s="357">
        <f t="shared" si="39"/>
        <v>0</v>
      </c>
      <c r="Y118" s="198">
        <f t="shared" si="27"/>
        <v>100</v>
      </c>
      <c r="Z118" s="435"/>
      <c r="AC118" s="267"/>
    </row>
    <row r="119" spans="8:29" x14ac:dyDescent="0.25">
      <c r="H119" s="268" t="s">
        <v>360</v>
      </c>
      <c r="I119" s="397" t="s">
        <v>361</v>
      </c>
      <c r="J119" s="372">
        <v>45006</v>
      </c>
      <c r="K119" s="372">
        <v>45006</v>
      </c>
      <c r="L119" s="268">
        <v>0</v>
      </c>
      <c r="M119" s="268" t="s">
        <v>1183</v>
      </c>
      <c r="N119" s="268">
        <v>100</v>
      </c>
      <c r="O119" s="268"/>
      <c r="P119" s="268"/>
      <c r="Q119" s="268"/>
      <c r="R119" s="268"/>
      <c r="S119" s="269">
        <v>1500</v>
      </c>
      <c r="T119" s="357">
        <f t="shared" si="40"/>
        <v>9.0909090909090912E-2</v>
      </c>
      <c r="U119" s="359">
        <f t="shared" si="36"/>
        <v>1</v>
      </c>
      <c r="V119" s="357">
        <f t="shared" si="37"/>
        <v>0</v>
      </c>
      <c r="W119" s="357">
        <f t="shared" si="38"/>
        <v>9.0909090909090912E-2</v>
      </c>
      <c r="X119" s="357">
        <f t="shared" si="39"/>
        <v>0</v>
      </c>
      <c r="Y119" s="198">
        <f t="shared" si="27"/>
        <v>100</v>
      </c>
      <c r="Z119" s="435"/>
      <c r="AC119" s="267"/>
    </row>
    <row r="120" spans="8:29" x14ac:dyDescent="0.25">
      <c r="H120" s="268" t="s">
        <v>362</v>
      </c>
      <c r="I120" s="397" t="s">
        <v>363</v>
      </c>
      <c r="J120" s="372">
        <v>45017</v>
      </c>
      <c r="K120" s="372">
        <v>45017</v>
      </c>
      <c r="L120" s="268">
        <v>0</v>
      </c>
      <c r="M120" s="268" t="s">
        <v>1183</v>
      </c>
      <c r="N120" s="268">
        <v>100</v>
      </c>
      <c r="O120" s="268"/>
      <c r="P120" s="268"/>
      <c r="Q120" s="268"/>
      <c r="R120" s="268"/>
      <c r="S120" s="269">
        <v>1500</v>
      </c>
      <c r="T120" s="357">
        <f t="shared" si="40"/>
        <v>9.0909090909090912E-2</v>
      </c>
      <c r="U120" s="359">
        <f t="shared" si="36"/>
        <v>1</v>
      </c>
      <c r="V120" s="357">
        <f t="shared" si="37"/>
        <v>0</v>
      </c>
      <c r="W120" s="357">
        <f t="shared" si="38"/>
        <v>9.0909090909090912E-2</v>
      </c>
      <c r="X120" s="357">
        <f t="shared" si="39"/>
        <v>0</v>
      </c>
      <c r="Y120" s="198">
        <f t="shared" si="27"/>
        <v>100</v>
      </c>
      <c r="Z120" s="435"/>
      <c r="AC120" s="267"/>
    </row>
    <row r="121" spans="8:29" x14ac:dyDescent="0.25">
      <c r="H121" s="268" t="s">
        <v>364</v>
      </c>
      <c r="I121" s="397" t="s">
        <v>365</v>
      </c>
      <c r="J121" s="372">
        <v>45021</v>
      </c>
      <c r="K121" s="372">
        <v>45021</v>
      </c>
      <c r="L121" s="268">
        <v>0</v>
      </c>
      <c r="M121" s="268" t="s">
        <v>1183</v>
      </c>
      <c r="N121" s="268">
        <v>100</v>
      </c>
      <c r="O121" s="268"/>
      <c r="P121" s="268"/>
      <c r="Q121" s="268"/>
      <c r="R121" s="268"/>
      <c r="S121" s="269">
        <v>1500</v>
      </c>
      <c r="T121" s="357">
        <f t="shared" si="40"/>
        <v>9.0909090909090912E-2</v>
      </c>
      <c r="U121" s="359">
        <f t="shared" si="36"/>
        <v>1</v>
      </c>
      <c r="V121" s="357">
        <f t="shared" si="37"/>
        <v>0</v>
      </c>
      <c r="W121" s="357">
        <f t="shared" si="38"/>
        <v>9.0909090909090912E-2</v>
      </c>
      <c r="X121" s="357">
        <f t="shared" si="39"/>
        <v>0</v>
      </c>
      <c r="Y121" s="198">
        <f t="shared" si="27"/>
        <v>100</v>
      </c>
      <c r="Z121" s="435"/>
      <c r="AC121" s="267"/>
    </row>
    <row r="122" spans="8:29" x14ac:dyDescent="0.25">
      <c r="H122" s="268" t="s">
        <v>366</v>
      </c>
      <c r="I122" s="397" t="s">
        <v>367</v>
      </c>
      <c r="J122" s="372">
        <v>45078</v>
      </c>
      <c r="K122" s="372">
        <v>45078</v>
      </c>
      <c r="L122" s="268">
        <v>0</v>
      </c>
      <c r="M122" s="268" t="s">
        <v>1183</v>
      </c>
      <c r="N122" s="268">
        <v>100</v>
      </c>
      <c r="O122" s="268"/>
      <c r="P122" s="268"/>
      <c r="Q122" s="268"/>
      <c r="R122" s="268"/>
      <c r="S122" s="269">
        <v>1500</v>
      </c>
      <c r="T122" s="357">
        <f t="shared" si="40"/>
        <v>9.0909090909090912E-2</v>
      </c>
      <c r="U122" s="359">
        <f t="shared" si="36"/>
        <v>1</v>
      </c>
      <c r="V122" s="357">
        <f t="shared" si="37"/>
        <v>0</v>
      </c>
      <c r="W122" s="357">
        <f t="shared" si="38"/>
        <v>9.0909090909090912E-2</v>
      </c>
      <c r="X122" s="357">
        <f t="shared" si="39"/>
        <v>0</v>
      </c>
      <c r="Y122" s="198">
        <f t="shared" si="27"/>
        <v>100</v>
      </c>
      <c r="Z122" s="435"/>
      <c r="AC122" s="267"/>
    </row>
    <row r="123" spans="8:29" x14ac:dyDescent="0.25">
      <c r="H123" s="268" t="s">
        <v>368</v>
      </c>
      <c r="I123" s="397" t="s">
        <v>369</v>
      </c>
      <c r="J123" s="372">
        <v>45153</v>
      </c>
      <c r="K123" s="372">
        <v>45153</v>
      </c>
      <c r="L123" s="268">
        <v>0</v>
      </c>
      <c r="M123" s="268" t="s">
        <v>1183</v>
      </c>
      <c r="N123" s="268">
        <v>100</v>
      </c>
      <c r="O123" s="268"/>
      <c r="P123" s="268"/>
      <c r="Q123" s="268"/>
      <c r="R123" s="268"/>
      <c r="S123" s="269">
        <v>1500</v>
      </c>
      <c r="T123" s="357">
        <f t="shared" si="40"/>
        <v>9.0909090909090912E-2</v>
      </c>
      <c r="U123" s="359">
        <f t="shared" si="36"/>
        <v>1</v>
      </c>
      <c r="V123" s="357">
        <f t="shared" si="37"/>
        <v>0</v>
      </c>
      <c r="W123" s="357">
        <f t="shared" si="38"/>
        <v>9.0909090909090912E-2</v>
      </c>
      <c r="X123" s="357">
        <f t="shared" si="39"/>
        <v>0</v>
      </c>
      <c r="Y123" s="198">
        <f t="shared" si="27"/>
        <v>100</v>
      </c>
      <c r="Z123" s="435"/>
      <c r="AC123" s="267"/>
    </row>
    <row r="124" spans="8:29" x14ac:dyDescent="0.25">
      <c r="H124" s="510" t="s">
        <v>370</v>
      </c>
      <c r="I124" s="511"/>
      <c r="J124" s="392">
        <v>44893</v>
      </c>
      <c r="K124" s="392">
        <v>45215</v>
      </c>
      <c r="L124" s="368">
        <f t="shared" ref="L124" si="41">K124-J124+1</f>
        <v>323</v>
      </c>
      <c r="M124" s="368"/>
      <c r="N124" s="368"/>
      <c r="O124" s="368"/>
      <c r="P124" s="368"/>
      <c r="Q124" s="368"/>
      <c r="R124" s="368"/>
      <c r="S124" s="400">
        <f>SUM(S125:S150)</f>
        <v>10470.000000000004</v>
      </c>
      <c r="T124" s="356">
        <f>S124/S83</f>
        <v>0.19497206703910622</v>
      </c>
      <c r="U124" s="368"/>
      <c r="V124" s="356"/>
      <c r="W124" s="356">
        <f>SUM(W125:W150)</f>
        <v>0.99999999999999944</v>
      </c>
      <c r="X124" s="356">
        <f>SUM(X125:X150)</f>
        <v>0</v>
      </c>
      <c r="Y124" s="198">
        <f t="shared" si="27"/>
        <v>0</v>
      </c>
      <c r="Z124" s="435"/>
      <c r="AC124" s="267"/>
    </row>
    <row r="125" spans="8:29" x14ac:dyDescent="0.25">
      <c r="H125" s="268" t="s">
        <v>371</v>
      </c>
      <c r="I125" s="397" t="s">
        <v>372</v>
      </c>
      <c r="J125" s="372">
        <v>44893</v>
      </c>
      <c r="K125" s="372">
        <v>44893</v>
      </c>
      <c r="L125" s="268">
        <v>0</v>
      </c>
      <c r="M125" s="268" t="s">
        <v>1183</v>
      </c>
      <c r="N125" s="268">
        <v>100</v>
      </c>
      <c r="O125" s="268"/>
      <c r="P125" s="268"/>
      <c r="Q125" s="268"/>
      <c r="R125" s="268"/>
      <c r="S125" s="269">
        <v>402.69230769230768</v>
      </c>
      <c r="T125" s="357">
        <f>S125/$S$124</f>
        <v>3.846153846153845E-2</v>
      </c>
      <c r="U125" s="359">
        <f t="shared" ref="U125:U150" si="42">IF($J125&gt;U$5,0,IF($K125&lt;U$5,1,IF(U$5=$K125,1,((U$5-$J125+1)/($K125-$J125+1)))))</f>
        <v>1</v>
      </c>
      <c r="V125" s="357">
        <f t="shared" ref="V125:V150" si="43">IFERROR(O125/N125,0)</f>
        <v>0</v>
      </c>
      <c r="W125" s="357">
        <f t="shared" ref="W125:W150" si="44">U125*$T125</f>
        <v>3.846153846153845E-2</v>
      </c>
      <c r="X125" s="357">
        <f t="shared" ref="X125:X150" si="45">V125*$T125</f>
        <v>0</v>
      </c>
      <c r="Y125" s="198">
        <f t="shared" si="27"/>
        <v>100</v>
      </c>
      <c r="Z125" s="435"/>
      <c r="AC125" s="267"/>
    </row>
    <row r="126" spans="8:29" x14ac:dyDescent="0.25">
      <c r="H126" s="268" t="s">
        <v>373</v>
      </c>
      <c r="I126" s="397" t="s">
        <v>374</v>
      </c>
      <c r="J126" s="372">
        <v>44895</v>
      </c>
      <c r="K126" s="372">
        <v>44895</v>
      </c>
      <c r="L126" s="268">
        <v>0</v>
      </c>
      <c r="M126" s="268" t="s">
        <v>1183</v>
      </c>
      <c r="N126" s="268">
        <v>100</v>
      </c>
      <c r="O126" s="268"/>
      <c r="P126" s="268"/>
      <c r="Q126" s="268"/>
      <c r="R126" s="268"/>
      <c r="S126" s="269">
        <v>402.69230769230768</v>
      </c>
      <c r="T126" s="357">
        <f t="shared" ref="T126:T150" si="46">S126/$S$124</f>
        <v>3.846153846153845E-2</v>
      </c>
      <c r="U126" s="359">
        <f t="shared" si="42"/>
        <v>1</v>
      </c>
      <c r="V126" s="357">
        <f t="shared" si="43"/>
        <v>0</v>
      </c>
      <c r="W126" s="357">
        <f t="shared" si="44"/>
        <v>3.846153846153845E-2</v>
      </c>
      <c r="X126" s="357">
        <f t="shared" si="45"/>
        <v>0</v>
      </c>
      <c r="Y126" s="198">
        <f t="shared" si="27"/>
        <v>100</v>
      </c>
      <c r="Z126" s="435"/>
      <c r="AC126" s="267"/>
    </row>
    <row r="127" spans="8:29" x14ac:dyDescent="0.25">
      <c r="H127" s="268" t="s">
        <v>375</v>
      </c>
      <c r="I127" s="397" t="s">
        <v>376</v>
      </c>
      <c r="J127" s="372">
        <v>45006</v>
      </c>
      <c r="K127" s="372">
        <v>45006</v>
      </c>
      <c r="L127" s="268">
        <v>0</v>
      </c>
      <c r="M127" s="268" t="s">
        <v>1183</v>
      </c>
      <c r="N127" s="268">
        <v>100</v>
      </c>
      <c r="O127" s="268"/>
      <c r="P127" s="268"/>
      <c r="Q127" s="268"/>
      <c r="R127" s="268"/>
      <c r="S127" s="269">
        <v>402.69230769230768</v>
      </c>
      <c r="T127" s="357">
        <f t="shared" si="46"/>
        <v>3.846153846153845E-2</v>
      </c>
      <c r="U127" s="359">
        <f t="shared" si="42"/>
        <v>1</v>
      </c>
      <c r="V127" s="357">
        <f t="shared" si="43"/>
        <v>0</v>
      </c>
      <c r="W127" s="357">
        <f t="shared" si="44"/>
        <v>3.846153846153845E-2</v>
      </c>
      <c r="X127" s="357">
        <f t="shared" si="45"/>
        <v>0</v>
      </c>
      <c r="Y127" s="198">
        <f t="shared" si="27"/>
        <v>100</v>
      </c>
      <c r="Z127" s="435"/>
      <c r="AC127" s="267"/>
    </row>
    <row r="128" spans="8:29" x14ac:dyDescent="0.25">
      <c r="H128" s="268" t="s">
        <v>377</v>
      </c>
      <c r="I128" s="397" t="s">
        <v>378</v>
      </c>
      <c r="J128" s="372">
        <v>45037</v>
      </c>
      <c r="K128" s="372">
        <v>45037</v>
      </c>
      <c r="L128" s="268">
        <v>0</v>
      </c>
      <c r="M128" s="268" t="s">
        <v>1183</v>
      </c>
      <c r="N128" s="268">
        <v>100</v>
      </c>
      <c r="O128" s="268"/>
      <c r="P128" s="268"/>
      <c r="Q128" s="268"/>
      <c r="R128" s="268"/>
      <c r="S128" s="269">
        <v>402.69230769230768</v>
      </c>
      <c r="T128" s="357">
        <f t="shared" si="46"/>
        <v>3.846153846153845E-2</v>
      </c>
      <c r="U128" s="359">
        <f t="shared" si="42"/>
        <v>1</v>
      </c>
      <c r="V128" s="357">
        <f t="shared" si="43"/>
        <v>0</v>
      </c>
      <c r="W128" s="357">
        <f t="shared" si="44"/>
        <v>3.846153846153845E-2</v>
      </c>
      <c r="X128" s="357">
        <f t="shared" si="45"/>
        <v>0</v>
      </c>
      <c r="Y128" s="198">
        <f t="shared" si="27"/>
        <v>100</v>
      </c>
      <c r="Z128" s="435"/>
      <c r="AC128" s="267"/>
    </row>
    <row r="129" spans="8:29" x14ac:dyDescent="0.25">
      <c r="H129" s="268" t="s">
        <v>379</v>
      </c>
      <c r="I129" s="397" t="s">
        <v>380</v>
      </c>
      <c r="J129" s="372">
        <v>45046</v>
      </c>
      <c r="K129" s="372">
        <v>45046</v>
      </c>
      <c r="L129" s="268">
        <v>0</v>
      </c>
      <c r="M129" s="268" t="s">
        <v>1183</v>
      </c>
      <c r="N129" s="268">
        <v>100</v>
      </c>
      <c r="O129" s="268"/>
      <c r="P129" s="268"/>
      <c r="Q129" s="268"/>
      <c r="R129" s="268"/>
      <c r="S129" s="269">
        <v>402.69230769230768</v>
      </c>
      <c r="T129" s="357">
        <f t="shared" si="46"/>
        <v>3.846153846153845E-2</v>
      </c>
      <c r="U129" s="359">
        <f t="shared" si="42"/>
        <v>1</v>
      </c>
      <c r="V129" s="357">
        <f t="shared" si="43"/>
        <v>0</v>
      </c>
      <c r="W129" s="357">
        <f t="shared" si="44"/>
        <v>3.846153846153845E-2</v>
      </c>
      <c r="X129" s="357">
        <f t="shared" si="45"/>
        <v>0</v>
      </c>
      <c r="Y129" s="198">
        <f t="shared" si="27"/>
        <v>100</v>
      </c>
      <c r="Z129" s="435"/>
      <c r="AC129" s="267"/>
    </row>
    <row r="130" spans="8:29" x14ac:dyDescent="0.25">
      <c r="H130" s="268" t="s">
        <v>381</v>
      </c>
      <c r="I130" s="397" t="s">
        <v>382</v>
      </c>
      <c r="J130" s="372">
        <v>45052</v>
      </c>
      <c r="K130" s="372">
        <v>45052</v>
      </c>
      <c r="L130" s="268">
        <v>0</v>
      </c>
      <c r="M130" s="268" t="s">
        <v>1183</v>
      </c>
      <c r="N130" s="268">
        <v>100</v>
      </c>
      <c r="O130" s="268"/>
      <c r="P130" s="268"/>
      <c r="Q130" s="268"/>
      <c r="R130" s="268"/>
      <c r="S130" s="269">
        <v>402.69230769230768</v>
      </c>
      <c r="T130" s="357">
        <f t="shared" si="46"/>
        <v>3.846153846153845E-2</v>
      </c>
      <c r="U130" s="359">
        <f t="shared" si="42"/>
        <v>1</v>
      </c>
      <c r="V130" s="357">
        <f t="shared" si="43"/>
        <v>0</v>
      </c>
      <c r="W130" s="357">
        <f t="shared" si="44"/>
        <v>3.846153846153845E-2</v>
      </c>
      <c r="X130" s="357">
        <f t="shared" si="45"/>
        <v>0</v>
      </c>
      <c r="Y130" s="198">
        <f t="shared" si="27"/>
        <v>100</v>
      </c>
      <c r="Z130" s="435"/>
      <c r="AC130" s="267"/>
    </row>
    <row r="131" spans="8:29" x14ac:dyDescent="0.25">
      <c r="H131" s="268" t="s">
        <v>383</v>
      </c>
      <c r="I131" s="397" t="s">
        <v>384</v>
      </c>
      <c r="J131" s="372">
        <v>45059</v>
      </c>
      <c r="K131" s="372">
        <v>45059</v>
      </c>
      <c r="L131" s="268">
        <v>0</v>
      </c>
      <c r="M131" s="268" t="s">
        <v>1183</v>
      </c>
      <c r="N131" s="268">
        <v>100</v>
      </c>
      <c r="O131" s="268"/>
      <c r="P131" s="268"/>
      <c r="Q131" s="268"/>
      <c r="R131" s="268"/>
      <c r="S131" s="269">
        <v>402.69230769230768</v>
      </c>
      <c r="T131" s="357">
        <f t="shared" si="46"/>
        <v>3.846153846153845E-2</v>
      </c>
      <c r="U131" s="359">
        <f t="shared" si="42"/>
        <v>1</v>
      </c>
      <c r="V131" s="357">
        <f t="shared" si="43"/>
        <v>0</v>
      </c>
      <c r="W131" s="357">
        <f t="shared" si="44"/>
        <v>3.846153846153845E-2</v>
      </c>
      <c r="X131" s="357">
        <f t="shared" si="45"/>
        <v>0</v>
      </c>
      <c r="Y131" s="198">
        <f t="shared" si="27"/>
        <v>100</v>
      </c>
      <c r="Z131" s="435"/>
      <c r="AC131" s="267"/>
    </row>
    <row r="132" spans="8:29" x14ac:dyDescent="0.25">
      <c r="H132" s="268" t="s">
        <v>385</v>
      </c>
      <c r="I132" s="397" t="s">
        <v>386</v>
      </c>
      <c r="J132" s="372">
        <v>45062</v>
      </c>
      <c r="K132" s="372">
        <v>45062</v>
      </c>
      <c r="L132" s="268">
        <v>0</v>
      </c>
      <c r="M132" s="268" t="s">
        <v>1183</v>
      </c>
      <c r="N132" s="268">
        <v>100</v>
      </c>
      <c r="O132" s="268"/>
      <c r="P132" s="268"/>
      <c r="Q132" s="268"/>
      <c r="R132" s="268"/>
      <c r="S132" s="269">
        <v>402.69230769230768</v>
      </c>
      <c r="T132" s="357">
        <f t="shared" si="46"/>
        <v>3.846153846153845E-2</v>
      </c>
      <c r="U132" s="359">
        <f t="shared" si="42"/>
        <v>1</v>
      </c>
      <c r="V132" s="357">
        <f t="shared" si="43"/>
        <v>0</v>
      </c>
      <c r="W132" s="357">
        <f t="shared" si="44"/>
        <v>3.846153846153845E-2</v>
      </c>
      <c r="X132" s="357">
        <f t="shared" si="45"/>
        <v>0</v>
      </c>
      <c r="Y132" s="198">
        <f t="shared" si="27"/>
        <v>100</v>
      </c>
      <c r="Z132" s="435"/>
      <c r="AC132" s="267"/>
    </row>
    <row r="133" spans="8:29" x14ac:dyDescent="0.25">
      <c r="H133" s="268" t="s">
        <v>387</v>
      </c>
      <c r="I133" s="397" t="s">
        <v>388</v>
      </c>
      <c r="J133" s="372">
        <v>45069</v>
      </c>
      <c r="K133" s="372">
        <v>45069</v>
      </c>
      <c r="L133" s="268">
        <v>0</v>
      </c>
      <c r="M133" s="268" t="s">
        <v>1183</v>
      </c>
      <c r="N133" s="268">
        <v>100</v>
      </c>
      <c r="O133" s="268"/>
      <c r="P133" s="268"/>
      <c r="Q133" s="268"/>
      <c r="R133" s="268"/>
      <c r="S133" s="269">
        <v>402.69230769230768</v>
      </c>
      <c r="T133" s="357">
        <f t="shared" si="46"/>
        <v>3.846153846153845E-2</v>
      </c>
      <c r="U133" s="359">
        <f t="shared" si="42"/>
        <v>1</v>
      </c>
      <c r="V133" s="357">
        <f t="shared" si="43"/>
        <v>0</v>
      </c>
      <c r="W133" s="357">
        <f t="shared" si="44"/>
        <v>3.846153846153845E-2</v>
      </c>
      <c r="X133" s="357">
        <f t="shared" si="45"/>
        <v>0</v>
      </c>
      <c r="Y133" s="198">
        <f t="shared" si="27"/>
        <v>100</v>
      </c>
      <c r="Z133" s="435"/>
      <c r="AC133" s="267"/>
    </row>
    <row r="134" spans="8:29" x14ac:dyDescent="0.25">
      <c r="H134" s="268" t="s">
        <v>389</v>
      </c>
      <c r="I134" s="397" t="s">
        <v>390</v>
      </c>
      <c r="J134" s="372">
        <v>45070</v>
      </c>
      <c r="K134" s="372">
        <v>45070</v>
      </c>
      <c r="L134" s="268">
        <v>0</v>
      </c>
      <c r="M134" s="268" t="s">
        <v>1183</v>
      </c>
      <c r="N134" s="268">
        <v>100</v>
      </c>
      <c r="O134" s="268"/>
      <c r="P134" s="268"/>
      <c r="Q134" s="268"/>
      <c r="R134" s="268"/>
      <c r="S134" s="269">
        <v>402.69230769230768</v>
      </c>
      <c r="T134" s="357">
        <f t="shared" si="46"/>
        <v>3.846153846153845E-2</v>
      </c>
      <c r="U134" s="359">
        <f t="shared" si="42"/>
        <v>1</v>
      </c>
      <c r="V134" s="357">
        <f t="shared" si="43"/>
        <v>0</v>
      </c>
      <c r="W134" s="357">
        <f t="shared" si="44"/>
        <v>3.846153846153845E-2</v>
      </c>
      <c r="X134" s="357">
        <f t="shared" si="45"/>
        <v>0</v>
      </c>
      <c r="Y134" s="198">
        <f t="shared" si="27"/>
        <v>100</v>
      </c>
      <c r="Z134" s="435"/>
      <c r="AC134" s="267"/>
    </row>
    <row r="135" spans="8:29" x14ac:dyDescent="0.25">
      <c r="H135" s="268" t="s">
        <v>391</v>
      </c>
      <c r="I135" s="397" t="s">
        <v>392</v>
      </c>
      <c r="J135" s="372">
        <v>45070</v>
      </c>
      <c r="K135" s="372">
        <v>45070</v>
      </c>
      <c r="L135" s="268">
        <v>0</v>
      </c>
      <c r="M135" s="268" t="s">
        <v>1183</v>
      </c>
      <c r="N135" s="268">
        <v>100</v>
      </c>
      <c r="O135" s="268"/>
      <c r="P135" s="268"/>
      <c r="Q135" s="268"/>
      <c r="R135" s="268"/>
      <c r="S135" s="269">
        <v>402.69230769230768</v>
      </c>
      <c r="T135" s="357">
        <f t="shared" si="46"/>
        <v>3.846153846153845E-2</v>
      </c>
      <c r="U135" s="359">
        <f t="shared" si="42"/>
        <v>1</v>
      </c>
      <c r="V135" s="357">
        <f t="shared" si="43"/>
        <v>0</v>
      </c>
      <c r="W135" s="357">
        <f t="shared" si="44"/>
        <v>3.846153846153845E-2</v>
      </c>
      <c r="X135" s="357">
        <f t="shared" si="45"/>
        <v>0</v>
      </c>
      <c r="Y135" s="198">
        <f t="shared" si="27"/>
        <v>100</v>
      </c>
      <c r="Z135" s="435"/>
      <c r="AC135" s="267"/>
    </row>
    <row r="136" spans="8:29" x14ac:dyDescent="0.25">
      <c r="H136" s="268" t="s">
        <v>393</v>
      </c>
      <c r="I136" s="397" t="s">
        <v>394</v>
      </c>
      <c r="J136" s="372">
        <v>45070</v>
      </c>
      <c r="K136" s="372">
        <v>45070</v>
      </c>
      <c r="L136" s="268">
        <v>0</v>
      </c>
      <c r="M136" s="268" t="s">
        <v>1183</v>
      </c>
      <c r="N136" s="268">
        <v>100</v>
      </c>
      <c r="O136" s="268"/>
      <c r="P136" s="268"/>
      <c r="Q136" s="268"/>
      <c r="R136" s="268"/>
      <c r="S136" s="269">
        <v>402.69230769230768</v>
      </c>
      <c r="T136" s="357">
        <f t="shared" si="46"/>
        <v>3.846153846153845E-2</v>
      </c>
      <c r="U136" s="359">
        <f t="shared" si="42"/>
        <v>1</v>
      </c>
      <c r="V136" s="357">
        <f t="shared" si="43"/>
        <v>0</v>
      </c>
      <c r="W136" s="357">
        <f t="shared" si="44"/>
        <v>3.846153846153845E-2</v>
      </c>
      <c r="X136" s="357">
        <f t="shared" si="45"/>
        <v>0</v>
      </c>
      <c r="Y136" s="198">
        <f t="shared" si="27"/>
        <v>100</v>
      </c>
      <c r="Z136" s="435"/>
      <c r="AC136" s="267"/>
    </row>
    <row r="137" spans="8:29" x14ac:dyDescent="0.25">
      <c r="H137" s="268" t="s">
        <v>395</v>
      </c>
      <c r="I137" s="397" t="s">
        <v>396</v>
      </c>
      <c r="J137" s="372">
        <v>45079</v>
      </c>
      <c r="K137" s="372">
        <v>45079</v>
      </c>
      <c r="L137" s="268">
        <v>0</v>
      </c>
      <c r="M137" s="268" t="s">
        <v>1183</v>
      </c>
      <c r="N137" s="268">
        <v>100</v>
      </c>
      <c r="O137" s="268"/>
      <c r="P137" s="268"/>
      <c r="Q137" s="268"/>
      <c r="R137" s="268"/>
      <c r="S137" s="269">
        <v>402.69230769230768</v>
      </c>
      <c r="T137" s="357">
        <f t="shared" si="46"/>
        <v>3.846153846153845E-2</v>
      </c>
      <c r="U137" s="359">
        <f t="shared" si="42"/>
        <v>1</v>
      </c>
      <c r="V137" s="357">
        <f t="shared" si="43"/>
        <v>0</v>
      </c>
      <c r="W137" s="357">
        <f t="shared" si="44"/>
        <v>3.846153846153845E-2</v>
      </c>
      <c r="X137" s="357">
        <f t="shared" si="45"/>
        <v>0</v>
      </c>
      <c r="Y137" s="198">
        <f t="shared" si="27"/>
        <v>100</v>
      </c>
      <c r="Z137" s="435"/>
      <c r="AC137" s="267"/>
    </row>
    <row r="138" spans="8:29" x14ac:dyDescent="0.25">
      <c r="H138" s="268" t="s">
        <v>397</v>
      </c>
      <c r="I138" s="397" t="s">
        <v>398</v>
      </c>
      <c r="J138" s="372">
        <v>45079</v>
      </c>
      <c r="K138" s="372">
        <v>45079</v>
      </c>
      <c r="L138" s="268">
        <v>0</v>
      </c>
      <c r="M138" s="268" t="s">
        <v>1183</v>
      </c>
      <c r="N138" s="268">
        <v>100</v>
      </c>
      <c r="O138" s="268"/>
      <c r="P138" s="268"/>
      <c r="Q138" s="268"/>
      <c r="R138" s="268"/>
      <c r="S138" s="269">
        <v>402.69230769230768</v>
      </c>
      <c r="T138" s="357">
        <f t="shared" si="46"/>
        <v>3.846153846153845E-2</v>
      </c>
      <c r="U138" s="359">
        <f t="shared" si="42"/>
        <v>1</v>
      </c>
      <c r="V138" s="357">
        <f t="shared" si="43"/>
        <v>0</v>
      </c>
      <c r="W138" s="357">
        <f t="shared" si="44"/>
        <v>3.846153846153845E-2</v>
      </c>
      <c r="X138" s="357">
        <f t="shared" si="45"/>
        <v>0</v>
      </c>
      <c r="Y138" s="198">
        <f t="shared" ref="Y138:Y201" si="47">+U138*N138</f>
        <v>100</v>
      </c>
      <c r="Z138" s="435"/>
      <c r="AC138" s="267"/>
    </row>
    <row r="139" spans="8:29" x14ac:dyDescent="0.25">
      <c r="H139" s="268" t="s">
        <v>399</v>
      </c>
      <c r="I139" s="397" t="s">
        <v>400</v>
      </c>
      <c r="J139" s="372">
        <v>45079</v>
      </c>
      <c r="K139" s="372">
        <v>45079</v>
      </c>
      <c r="L139" s="268">
        <v>0</v>
      </c>
      <c r="M139" s="268" t="s">
        <v>1183</v>
      </c>
      <c r="N139" s="268">
        <v>100</v>
      </c>
      <c r="O139" s="268"/>
      <c r="P139" s="268"/>
      <c r="Q139" s="268"/>
      <c r="R139" s="268"/>
      <c r="S139" s="269">
        <v>402.69230769230768</v>
      </c>
      <c r="T139" s="357">
        <f t="shared" si="46"/>
        <v>3.846153846153845E-2</v>
      </c>
      <c r="U139" s="359">
        <f t="shared" si="42"/>
        <v>1</v>
      </c>
      <c r="V139" s="357">
        <f t="shared" si="43"/>
        <v>0</v>
      </c>
      <c r="W139" s="357">
        <f t="shared" si="44"/>
        <v>3.846153846153845E-2</v>
      </c>
      <c r="X139" s="357">
        <f t="shared" si="45"/>
        <v>0</v>
      </c>
      <c r="Y139" s="198">
        <f t="shared" si="47"/>
        <v>100</v>
      </c>
      <c r="Z139" s="435"/>
      <c r="AC139" s="267"/>
    </row>
    <row r="140" spans="8:29" x14ac:dyDescent="0.25">
      <c r="H140" s="268" t="s">
        <v>401</v>
      </c>
      <c r="I140" s="397" t="s">
        <v>402</v>
      </c>
      <c r="J140" s="372">
        <v>45080</v>
      </c>
      <c r="K140" s="372">
        <v>45080</v>
      </c>
      <c r="L140" s="268">
        <v>0</v>
      </c>
      <c r="M140" s="268" t="s">
        <v>1183</v>
      </c>
      <c r="N140" s="268">
        <v>100</v>
      </c>
      <c r="O140" s="268"/>
      <c r="P140" s="268"/>
      <c r="Q140" s="268"/>
      <c r="R140" s="268"/>
      <c r="S140" s="269">
        <v>402.69230769230768</v>
      </c>
      <c r="T140" s="357">
        <f t="shared" si="46"/>
        <v>3.846153846153845E-2</v>
      </c>
      <c r="U140" s="359">
        <f t="shared" si="42"/>
        <v>1</v>
      </c>
      <c r="V140" s="357">
        <f t="shared" si="43"/>
        <v>0</v>
      </c>
      <c r="W140" s="357">
        <f t="shared" si="44"/>
        <v>3.846153846153845E-2</v>
      </c>
      <c r="X140" s="357">
        <f t="shared" si="45"/>
        <v>0</v>
      </c>
      <c r="Y140" s="198">
        <f t="shared" si="47"/>
        <v>100</v>
      </c>
      <c r="Z140" s="435"/>
      <c r="AC140" s="267"/>
    </row>
    <row r="141" spans="8:29" x14ac:dyDescent="0.25">
      <c r="H141" s="268" t="s">
        <v>403</v>
      </c>
      <c r="I141" s="397" t="s">
        <v>404</v>
      </c>
      <c r="J141" s="372">
        <v>45105</v>
      </c>
      <c r="K141" s="372">
        <v>45105</v>
      </c>
      <c r="L141" s="268">
        <v>0</v>
      </c>
      <c r="M141" s="268" t="s">
        <v>1183</v>
      </c>
      <c r="N141" s="268">
        <v>100</v>
      </c>
      <c r="O141" s="268"/>
      <c r="P141" s="268"/>
      <c r="Q141" s="268"/>
      <c r="R141" s="268"/>
      <c r="S141" s="269">
        <v>402.69230769230768</v>
      </c>
      <c r="T141" s="357">
        <f t="shared" si="46"/>
        <v>3.846153846153845E-2</v>
      </c>
      <c r="U141" s="359">
        <f t="shared" si="42"/>
        <v>1</v>
      </c>
      <c r="V141" s="357">
        <f t="shared" si="43"/>
        <v>0</v>
      </c>
      <c r="W141" s="357">
        <f t="shared" si="44"/>
        <v>3.846153846153845E-2</v>
      </c>
      <c r="X141" s="357">
        <f t="shared" si="45"/>
        <v>0</v>
      </c>
      <c r="Y141" s="198">
        <f t="shared" si="47"/>
        <v>100</v>
      </c>
      <c r="Z141" s="435"/>
      <c r="AC141" s="267"/>
    </row>
    <row r="142" spans="8:29" x14ac:dyDescent="0.25">
      <c r="H142" s="268" t="s">
        <v>405</v>
      </c>
      <c r="I142" s="397" t="s">
        <v>406</v>
      </c>
      <c r="J142" s="372">
        <v>45135</v>
      </c>
      <c r="K142" s="372">
        <v>45135</v>
      </c>
      <c r="L142" s="268">
        <v>0</v>
      </c>
      <c r="M142" s="268" t="s">
        <v>1183</v>
      </c>
      <c r="N142" s="268">
        <v>100</v>
      </c>
      <c r="O142" s="268"/>
      <c r="P142" s="268"/>
      <c r="Q142" s="268"/>
      <c r="R142" s="268"/>
      <c r="S142" s="269">
        <v>402.69230769230768</v>
      </c>
      <c r="T142" s="357">
        <f t="shared" si="46"/>
        <v>3.846153846153845E-2</v>
      </c>
      <c r="U142" s="359">
        <f t="shared" si="42"/>
        <v>1</v>
      </c>
      <c r="V142" s="357">
        <f t="shared" si="43"/>
        <v>0</v>
      </c>
      <c r="W142" s="357">
        <f t="shared" si="44"/>
        <v>3.846153846153845E-2</v>
      </c>
      <c r="X142" s="357">
        <f t="shared" si="45"/>
        <v>0</v>
      </c>
      <c r="Y142" s="198">
        <f t="shared" si="47"/>
        <v>100</v>
      </c>
      <c r="Z142" s="435"/>
      <c r="AC142" s="267"/>
    </row>
    <row r="143" spans="8:29" x14ac:dyDescent="0.25">
      <c r="H143" s="268" t="s">
        <v>407</v>
      </c>
      <c r="I143" s="397" t="s">
        <v>408</v>
      </c>
      <c r="J143" s="372">
        <v>45140</v>
      </c>
      <c r="K143" s="372">
        <v>45140</v>
      </c>
      <c r="L143" s="268">
        <v>0</v>
      </c>
      <c r="M143" s="268" t="s">
        <v>1183</v>
      </c>
      <c r="N143" s="268">
        <v>100</v>
      </c>
      <c r="O143" s="268"/>
      <c r="P143" s="268"/>
      <c r="Q143" s="268"/>
      <c r="R143" s="268"/>
      <c r="S143" s="269">
        <v>402.69230769230768</v>
      </c>
      <c r="T143" s="357">
        <f t="shared" si="46"/>
        <v>3.846153846153845E-2</v>
      </c>
      <c r="U143" s="359">
        <f t="shared" si="42"/>
        <v>1</v>
      </c>
      <c r="V143" s="357">
        <f t="shared" si="43"/>
        <v>0</v>
      </c>
      <c r="W143" s="357">
        <f t="shared" si="44"/>
        <v>3.846153846153845E-2</v>
      </c>
      <c r="X143" s="357">
        <f t="shared" si="45"/>
        <v>0</v>
      </c>
      <c r="Y143" s="198">
        <f t="shared" si="47"/>
        <v>100</v>
      </c>
      <c r="Z143" s="435"/>
      <c r="AC143" s="267"/>
    </row>
    <row r="144" spans="8:29" x14ac:dyDescent="0.25">
      <c r="H144" s="268" t="s">
        <v>409</v>
      </c>
      <c r="I144" s="397" t="s">
        <v>410</v>
      </c>
      <c r="J144" s="372">
        <v>45143</v>
      </c>
      <c r="K144" s="372">
        <v>45143</v>
      </c>
      <c r="L144" s="268">
        <v>0</v>
      </c>
      <c r="M144" s="268" t="s">
        <v>1183</v>
      </c>
      <c r="N144" s="268">
        <v>100</v>
      </c>
      <c r="O144" s="268"/>
      <c r="P144" s="268"/>
      <c r="Q144" s="268"/>
      <c r="R144" s="268"/>
      <c r="S144" s="269">
        <v>402.69230769230768</v>
      </c>
      <c r="T144" s="357">
        <f t="shared" si="46"/>
        <v>3.846153846153845E-2</v>
      </c>
      <c r="U144" s="359">
        <f t="shared" si="42"/>
        <v>1</v>
      </c>
      <c r="V144" s="357">
        <f t="shared" si="43"/>
        <v>0</v>
      </c>
      <c r="W144" s="357">
        <f t="shared" si="44"/>
        <v>3.846153846153845E-2</v>
      </c>
      <c r="X144" s="357">
        <f t="shared" si="45"/>
        <v>0</v>
      </c>
      <c r="Y144" s="198">
        <f t="shared" si="47"/>
        <v>100</v>
      </c>
      <c r="Z144" s="435"/>
      <c r="AC144" s="267"/>
    </row>
    <row r="145" spans="8:29" x14ac:dyDescent="0.25">
      <c r="H145" s="268" t="s">
        <v>411</v>
      </c>
      <c r="I145" s="397" t="s">
        <v>412</v>
      </c>
      <c r="J145" s="372">
        <v>45154</v>
      </c>
      <c r="K145" s="372">
        <v>45154</v>
      </c>
      <c r="L145" s="268">
        <v>0</v>
      </c>
      <c r="M145" s="268" t="s">
        <v>1183</v>
      </c>
      <c r="N145" s="268">
        <v>100</v>
      </c>
      <c r="O145" s="268"/>
      <c r="P145" s="268"/>
      <c r="Q145" s="268"/>
      <c r="R145" s="268"/>
      <c r="S145" s="269">
        <v>402.69230769230768</v>
      </c>
      <c r="T145" s="357">
        <f t="shared" si="46"/>
        <v>3.846153846153845E-2</v>
      </c>
      <c r="U145" s="359">
        <f t="shared" si="42"/>
        <v>1</v>
      </c>
      <c r="V145" s="357">
        <f t="shared" si="43"/>
        <v>0</v>
      </c>
      <c r="W145" s="357">
        <f t="shared" si="44"/>
        <v>3.846153846153845E-2</v>
      </c>
      <c r="X145" s="357">
        <f t="shared" si="45"/>
        <v>0</v>
      </c>
      <c r="Y145" s="198">
        <f t="shared" si="47"/>
        <v>100</v>
      </c>
      <c r="Z145" s="435"/>
      <c r="AC145" s="267"/>
    </row>
    <row r="146" spans="8:29" x14ac:dyDescent="0.25">
      <c r="H146" s="268" t="s">
        <v>413</v>
      </c>
      <c r="I146" s="397" t="s">
        <v>414</v>
      </c>
      <c r="J146" s="372">
        <v>45160</v>
      </c>
      <c r="K146" s="372">
        <v>45160</v>
      </c>
      <c r="L146" s="268">
        <v>0</v>
      </c>
      <c r="M146" s="268" t="s">
        <v>1183</v>
      </c>
      <c r="N146" s="268">
        <v>100</v>
      </c>
      <c r="O146" s="268"/>
      <c r="P146" s="268"/>
      <c r="Q146" s="268"/>
      <c r="R146" s="268"/>
      <c r="S146" s="269">
        <v>402.69230769230768</v>
      </c>
      <c r="T146" s="357">
        <f t="shared" si="46"/>
        <v>3.846153846153845E-2</v>
      </c>
      <c r="U146" s="359">
        <f t="shared" si="42"/>
        <v>1</v>
      </c>
      <c r="V146" s="357">
        <f t="shared" si="43"/>
        <v>0</v>
      </c>
      <c r="W146" s="357">
        <f t="shared" si="44"/>
        <v>3.846153846153845E-2</v>
      </c>
      <c r="X146" s="357">
        <f t="shared" si="45"/>
        <v>0</v>
      </c>
      <c r="Y146" s="198">
        <f t="shared" si="47"/>
        <v>100</v>
      </c>
      <c r="Z146" s="435"/>
      <c r="AC146" s="267"/>
    </row>
    <row r="147" spans="8:29" x14ac:dyDescent="0.25">
      <c r="H147" s="268" t="s">
        <v>415</v>
      </c>
      <c r="I147" s="397" t="s">
        <v>416</v>
      </c>
      <c r="J147" s="372">
        <v>45162</v>
      </c>
      <c r="K147" s="372">
        <v>45162</v>
      </c>
      <c r="L147" s="268">
        <v>0</v>
      </c>
      <c r="M147" s="268" t="s">
        <v>1183</v>
      </c>
      <c r="N147" s="268">
        <v>100</v>
      </c>
      <c r="O147" s="268"/>
      <c r="P147" s="268"/>
      <c r="Q147" s="268"/>
      <c r="R147" s="268"/>
      <c r="S147" s="269">
        <v>402.69230769230768</v>
      </c>
      <c r="T147" s="357">
        <f t="shared" si="46"/>
        <v>3.846153846153845E-2</v>
      </c>
      <c r="U147" s="359">
        <f t="shared" si="42"/>
        <v>1</v>
      </c>
      <c r="V147" s="357">
        <f t="shared" si="43"/>
        <v>0</v>
      </c>
      <c r="W147" s="357">
        <f t="shared" si="44"/>
        <v>3.846153846153845E-2</v>
      </c>
      <c r="X147" s="357">
        <f t="shared" si="45"/>
        <v>0</v>
      </c>
      <c r="Y147" s="198">
        <f t="shared" si="47"/>
        <v>100</v>
      </c>
      <c r="Z147" s="435"/>
      <c r="AC147" s="267"/>
    </row>
    <row r="148" spans="8:29" x14ac:dyDescent="0.25">
      <c r="H148" s="268" t="s">
        <v>417</v>
      </c>
      <c r="I148" s="397" t="s">
        <v>418</v>
      </c>
      <c r="J148" s="372">
        <v>45193</v>
      </c>
      <c r="K148" s="372">
        <v>45193</v>
      </c>
      <c r="L148" s="268">
        <v>0</v>
      </c>
      <c r="M148" s="268" t="s">
        <v>1183</v>
      </c>
      <c r="N148" s="268">
        <v>100</v>
      </c>
      <c r="O148" s="268"/>
      <c r="P148" s="268"/>
      <c r="Q148" s="268"/>
      <c r="R148" s="268"/>
      <c r="S148" s="269">
        <v>402.69230769230768</v>
      </c>
      <c r="T148" s="357">
        <f t="shared" si="46"/>
        <v>3.846153846153845E-2</v>
      </c>
      <c r="U148" s="359">
        <f t="shared" si="42"/>
        <v>1</v>
      </c>
      <c r="V148" s="357">
        <f t="shared" si="43"/>
        <v>0</v>
      </c>
      <c r="W148" s="357">
        <f t="shared" si="44"/>
        <v>3.846153846153845E-2</v>
      </c>
      <c r="X148" s="357">
        <f t="shared" si="45"/>
        <v>0</v>
      </c>
      <c r="Y148" s="198">
        <f t="shared" si="47"/>
        <v>100</v>
      </c>
      <c r="Z148" s="435"/>
      <c r="AC148" s="267"/>
    </row>
    <row r="149" spans="8:29" x14ac:dyDescent="0.25">
      <c r="H149" s="268" t="s">
        <v>419</v>
      </c>
      <c r="I149" s="397" t="s">
        <v>420</v>
      </c>
      <c r="J149" s="372">
        <v>45199</v>
      </c>
      <c r="K149" s="372">
        <v>45199</v>
      </c>
      <c r="L149" s="268">
        <v>0</v>
      </c>
      <c r="M149" s="268" t="s">
        <v>1183</v>
      </c>
      <c r="N149" s="268">
        <v>100</v>
      </c>
      <c r="O149" s="268"/>
      <c r="P149" s="268"/>
      <c r="Q149" s="268"/>
      <c r="R149" s="268"/>
      <c r="S149" s="269">
        <v>402.69230769230768</v>
      </c>
      <c r="T149" s="357">
        <f t="shared" si="46"/>
        <v>3.846153846153845E-2</v>
      </c>
      <c r="U149" s="359">
        <f t="shared" si="42"/>
        <v>1</v>
      </c>
      <c r="V149" s="357">
        <f t="shared" si="43"/>
        <v>0</v>
      </c>
      <c r="W149" s="357">
        <f t="shared" si="44"/>
        <v>3.846153846153845E-2</v>
      </c>
      <c r="X149" s="357">
        <f t="shared" si="45"/>
        <v>0</v>
      </c>
      <c r="Y149" s="198">
        <f t="shared" si="47"/>
        <v>100</v>
      </c>
      <c r="Z149" s="435"/>
      <c r="AC149" s="267"/>
    </row>
    <row r="150" spans="8:29" x14ac:dyDescent="0.25">
      <c r="H150" s="268" t="s">
        <v>421</v>
      </c>
      <c r="I150" s="397" t="s">
        <v>422</v>
      </c>
      <c r="J150" s="372">
        <v>45215</v>
      </c>
      <c r="K150" s="372">
        <v>45215</v>
      </c>
      <c r="L150" s="268">
        <v>0</v>
      </c>
      <c r="M150" s="268" t="s">
        <v>1183</v>
      </c>
      <c r="N150" s="268">
        <v>100</v>
      </c>
      <c r="O150" s="268"/>
      <c r="P150" s="268"/>
      <c r="Q150" s="268"/>
      <c r="R150" s="268"/>
      <c r="S150" s="269">
        <v>402.69230769230768</v>
      </c>
      <c r="T150" s="357">
        <f t="shared" si="46"/>
        <v>3.846153846153845E-2</v>
      </c>
      <c r="U150" s="359">
        <f t="shared" si="42"/>
        <v>1</v>
      </c>
      <c r="V150" s="357">
        <f t="shared" si="43"/>
        <v>0</v>
      </c>
      <c r="W150" s="357">
        <f t="shared" si="44"/>
        <v>3.846153846153845E-2</v>
      </c>
      <c r="X150" s="357">
        <f t="shared" si="45"/>
        <v>0</v>
      </c>
      <c r="Y150" s="198">
        <f t="shared" si="47"/>
        <v>100</v>
      </c>
      <c r="Z150" s="435"/>
      <c r="AC150" s="267"/>
    </row>
    <row r="151" spans="8:29" x14ac:dyDescent="0.25">
      <c r="H151" s="510" t="s">
        <v>423</v>
      </c>
      <c r="I151" s="511"/>
      <c r="J151" s="392">
        <v>45031</v>
      </c>
      <c r="K151" s="392">
        <v>45183</v>
      </c>
      <c r="L151" s="368">
        <f t="shared" ref="L151" si="48">K151-J151+1</f>
        <v>153</v>
      </c>
      <c r="M151" s="368"/>
      <c r="N151" s="368"/>
      <c r="O151" s="368"/>
      <c r="P151" s="368"/>
      <c r="Q151" s="368"/>
      <c r="R151" s="368"/>
      <c r="S151" s="400">
        <f>S152+S153</f>
        <v>800</v>
      </c>
      <c r="T151" s="401">
        <f>S151/S83</f>
        <v>1.4897579143389199E-2</v>
      </c>
      <c r="U151" s="368"/>
      <c r="V151" s="356"/>
      <c r="W151" s="356">
        <f>W152+W153</f>
        <v>1</v>
      </c>
      <c r="X151" s="356">
        <f>X152+X153</f>
        <v>0</v>
      </c>
      <c r="Y151" s="198">
        <f t="shared" si="47"/>
        <v>0</v>
      </c>
      <c r="Z151" s="435"/>
      <c r="AC151" s="267"/>
    </row>
    <row r="152" spans="8:29" x14ac:dyDescent="0.25">
      <c r="H152" s="268" t="s">
        <v>424</v>
      </c>
      <c r="I152" s="397" t="s">
        <v>425</v>
      </c>
      <c r="J152" s="372">
        <v>45031</v>
      </c>
      <c r="K152" s="372">
        <v>45031</v>
      </c>
      <c r="L152" s="268">
        <v>0</v>
      </c>
      <c r="M152" s="268" t="s">
        <v>1183</v>
      </c>
      <c r="N152" s="268">
        <v>100</v>
      </c>
      <c r="O152" s="268"/>
      <c r="P152" s="268"/>
      <c r="Q152" s="268"/>
      <c r="R152" s="268"/>
      <c r="S152" s="269">
        <v>400</v>
      </c>
      <c r="T152" s="357">
        <f>S152/S151</f>
        <v>0.5</v>
      </c>
      <c r="U152" s="359">
        <f t="shared" ref="U152:U153" si="49">IF($J152&gt;U$5,0,IF($K152&lt;U$5,1,IF(U$5=$K152,1,((U$5-$J152+1)/($K152-$J152+1)))))</f>
        <v>1</v>
      </c>
      <c r="V152" s="357">
        <f t="shared" ref="V152:V153" si="50">IFERROR(O152/N152,0)</f>
        <v>0</v>
      </c>
      <c r="W152" s="357">
        <f t="shared" ref="W152:W153" si="51">U152*$T152</f>
        <v>0.5</v>
      </c>
      <c r="X152" s="357">
        <f t="shared" ref="X152:X153" si="52">V152*$T152</f>
        <v>0</v>
      </c>
      <c r="Y152" s="198">
        <f t="shared" si="47"/>
        <v>100</v>
      </c>
      <c r="Z152" s="435"/>
      <c r="AC152" s="267"/>
    </row>
    <row r="153" spans="8:29" x14ac:dyDescent="0.25">
      <c r="H153" s="268" t="s">
        <v>426</v>
      </c>
      <c r="I153" s="397" t="s">
        <v>427</v>
      </c>
      <c r="J153" s="372">
        <v>45183</v>
      </c>
      <c r="K153" s="372">
        <v>45183</v>
      </c>
      <c r="L153" s="268">
        <v>0</v>
      </c>
      <c r="M153" s="268" t="s">
        <v>1183</v>
      </c>
      <c r="N153" s="268">
        <v>100</v>
      </c>
      <c r="O153" s="268"/>
      <c r="P153" s="268"/>
      <c r="Q153" s="268"/>
      <c r="R153" s="268"/>
      <c r="S153" s="269">
        <v>400</v>
      </c>
      <c r="T153" s="357">
        <f>S153/S151</f>
        <v>0.5</v>
      </c>
      <c r="U153" s="359">
        <f t="shared" si="49"/>
        <v>1</v>
      </c>
      <c r="V153" s="357">
        <f t="shared" si="50"/>
        <v>0</v>
      </c>
      <c r="W153" s="357">
        <f t="shared" si="51"/>
        <v>0.5</v>
      </c>
      <c r="X153" s="357">
        <f t="shared" si="52"/>
        <v>0</v>
      </c>
      <c r="Y153" s="198">
        <f t="shared" si="47"/>
        <v>100</v>
      </c>
      <c r="Z153" s="435"/>
      <c r="AC153" s="267"/>
    </row>
    <row r="154" spans="8:29" x14ac:dyDescent="0.25">
      <c r="H154" s="510" t="s">
        <v>428</v>
      </c>
      <c r="I154" s="511"/>
      <c r="J154" s="392">
        <v>45040</v>
      </c>
      <c r="K154" s="392">
        <v>45223</v>
      </c>
      <c r="L154" s="368">
        <f t="shared" ref="L154:L155" si="53">K154-J154+1</f>
        <v>184</v>
      </c>
      <c r="M154" s="368"/>
      <c r="N154" s="368"/>
      <c r="O154" s="368"/>
      <c r="P154" s="368"/>
      <c r="Q154" s="368"/>
      <c r="R154" s="368"/>
      <c r="S154" s="400">
        <f>S155+S162</f>
        <v>11970</v>
      </c>
      <c r="T154" s="356">
        <f>S154/S83</f>
        <v>0.22290502793296088</v>
      </c>
      <c r="U154" s="368"/>
      <c r="V154" s="356"/>
      <c r="W154" s="356">
        <f>W155*T155+W162*T162</f>
        <v>1</v>
      </c>
      <c r="X154" s="356">
        <f>X155*T155+X162*T162</f>
        <v>0</v>
      </c>
      <c r="Y154" s="198">
        <f t="shared" si="47"/>
        <v>0</v>
      </c>
      <c r="Z154" s="435"/>
      <c r="AC154" s="267"/>
    </row>
    <row r="155" spans="8:29" x14ac:dyDescent="0.25">
      <c r="H155" s="518" t="s">
        <v>429</v>
      </c>
      <c r="I155" s="519"/>
      <c r="J155" s="370">
        <v>45040</v>
      </c>
      <c r="K155" s="370">
        <v>45088</v>
      </c>
      <c r="L155" s="369">
        <f t="shared" si="53"/>
        <v>49</v>
      </c>
      <c r="M155" s="369"/>
      <c r="N155" s="369"/>
      <c r="O155" s="369"/>
      <c r="P155" s="369"/>
      <c r="Q155" s="369"/>
      <c r="R155" s="369"/>
      <c r="S155" s="385">
        <f>S156+S157+S158+S159+S160+S161</f>
        <v>4500</v>
      </c>
      <c r="T155" s="363">
        <f>S155/S154</f>
        <v>0.37593984962406013</v>
      </c>
      <c r="U155" s="369"/>
      <c r="V155" s="363"/>
      <c r="W155" s="363">
        <f>W156+W157+W158+W159+W160+W161</f>
        <v>0.99999999999999989</v>
      </c>
      <c r="X155" s="363">
        <f>-X156+X157+X158+X159+X160+X161</f>
        <v>0</v>
      </c>
      <c r="Y155" s="198">
        <f t="shared" si="47"/>
        <v>0</v>
      </c>
      <c r="Z155" s="435"/>
      <c r="AC155" s="267"/>
    </row>
    <row r="156" spans="8:29" x14ac:dyDescent="0.25">
      <c r="H156" s="268" t="s">
        <v>430</v>
      </c>
      <c r="I156" s="397" t="s">
        <v>431</v>
      </c>
      <c r="J156" s="372">
        <v>45040</v>
      </c>
      <c r="K156" s="372">
        <v>45040</v>
      </c>
      <c r="L156" s="268">
        <v>0</v>
      </c>
      <c r="M156" s="268" t="s">
        <v>1183</v>
      </c>
      <c r="N156" s="268">
        <v>100</v>
      </c>
      <c r="O156" s="268"/>
      <c r="P156" s="268"/>
      <c r="Q156" s="268"/>
      <c r="R156" s="268"/>
      <c r="S156" s="269">
        <v>750</v>
      </c>
      <c r="T156" s="357">
        <f>S156/$S$155</f>
        <v>0.16666666666666666</v>
      </c>
      <c r="U156" s="359">
        <f t="shared" ref="U156:U161" si="54">IF($J156&gt;U$5,0,IF($K156&lt;U$5,1,IF(U$5=$K156,1,((U$5-$J156+1)/($K156-$J156+1)))))</f>
        <v>1</v>
      </c>
      <c r="V156" s="357">
        <f t="shared" ref="V156:V161" si="55">IFERROR(O156/N156,0)</f>
        <v>0</v>
      </c>
      <c r="W156" s="357">
        <f t="shared" ref="W156:W161" si="56">U156*$T156</f>
        <v>0.16666666666666666</v>
      </c>
      <c r="X156" s="357">
        <f t="shared" ref="X156:X161" si="57">V156*$T156</f>
        <v>0</v>
      </c>
      <c r="Y156" s="198">
        <f t="shared" si="47"/>
        <v>100</v>
      </c>
      <c r="Z156" s="435"/>
      <c r="AC156" s="267"/>
    </row>
    <row r="157" spans="8:29" x14ac:dyDescent="0.25">
      <c r="H157" s="268" t="s">
        <v>432</v>
      </c>
      <c r="I157" s="397" t="s">
        <v>433</v>
      </c>
      <c r="J157" s="372">
        <v>45055</v>
      </c>
      <c r="K157" s="372">
        <v>45055</v>
      </c>
      <c r="L157" s="268">
        <v>0</v>
      </c>
      <c r="M157" s="268" t="s">
        <v>1183</v>
      </c>
      <c r="N157" s="268">
        <v>100</v>
      </c>
      <c r="O157" s="268"/>
      <c r="P157" s="268"/>
      <c r="Q157" s="268"/>
      <c r="R157" s="268"/>
      <c r="S157" s="269">
        <v>750</v>
      </c>
      <c r="T157" s="357">
        <f t="shared" ref="T157:T161" si="58">S157/$S$155</f>
        <v>0.16666666666666666</v>
      </c>
      <c r="U157" s="359">
        <f t="shared" si="54"/>
        <v>1</v>
      </c>
      <c r="V157" s="357">
        <f t="shared" si="55"/>
        <v>0</v>
      </c>
      <c r="W157" s="357">
        <f t="shared" si="56"/>
        <v>0.16666666666666666</v>
      </c>
      <c r="X157" s="357">
        <f t="shared" si="57"/>
        <v>0</v>
      </c>
      <c r="Y157" s="198">
        <f t="shared" si="47"/>
        <v>100</v>
      </c>
      <c r="Z157" s="435"/>
      <c r="AC157" s="267"/>
    </row>
    <row r="158" spans="8:29" x14ac:dyDescent="0.25">
      <c r="H158" s="268" t="s">
        <v>434</v>
      </c>
      <c r="I158" s="397" t="s">
        <v>435</v>
      </c>
      <c r="J158" s="372">
        <v>45055</v>
      </c>
      <c r="K158" s="372">
        <v>45055</v>
      </c>
      <c r="L158" s="268">
        <v>0</v>
      </c>
      <c r="M158" s="268" t="s">
        <v>1183</v>
      </c>
      <c r="N158" s="268">
        <v>100</v>
      </c>
      <c r="O158" s="268"/>
      <c r="P158" s="268"/>
      <c r="Q158" s="268"/>
      <c r="R158" s="268"/>
      <c r="S158" s="269">
        <v>750</v>
      </c>
      <c r="T158" s="357">
        <f t="shared" si="58"/>
        <v>0.16666666666666666</v>
      </c>
      <c r="U158" s="359">
        <f t="shared" si="54"/>
        <v>1</v>
      </c>
      <c r="V158" s="357">
        <f t="shared" si="55"/>
        <v>0</v>
      </c>
      <c r="W158" s="357">
        <f t="shared" si="56"/>
        <v>0.16666666666666666</v>
      </c>
      <c r="X158" s="357">
        <f t="shared" si="57"/>
        <v>0</v>
      </c>
      <c r="Y158" s="198">
        <f t="shared" si="47"/>
        <v>100</v>
      </c>
      <c r="Z158" s="435"/>
      <c r="AC158" s="267"/>
    </row>
    <row r="159" spans="8:29" x14ac:dyDescent="0.25">
      <c r="H159" s="268" t="s">
        <v>436</v>
      </c>
      <c r="I159" s="397" t="s">
        <v>437</v>
      </c>
      <c r="J159" s="372">
        <v>45055</v>
      </c>
      <c r="K159" s="372">
        <v>45055</v>
      </c>
      <c r="L159" s="268">
        <v>0</v>
      </c>
      <c r="M159" s="268" t="s">
        <v>1183</v>
      </c>
      <c r="N159" s="268">
        <v>100</v>
      </c>
      <c r="O159" s="268"/>
      <c r="P159" s="268"/>
      <c r="Q159" s="268"/>
      <c r="R159" s="268"/>
      <c r="S159" s="269">
        <v>750</v>
      </c>
      <c r="T159" s="357">
        <f t="shared" si="58"/>
        <v>0.16666666666666666</v>
      </c>
      <c r="U159" s="359">
        <f t="shared" si="54"/>
        <v>1</v>
      </c>
      <c r="V159" s="357">
        <f t="shared" si="55"/>
        <v>0</v>
      </c>
      <c r="W159" s="357">
        <f t="shared" si="56"/>
        <v>0.16666666666666666</v>
      </c>
      <c r="X159" s="357">
        <f t="shared" si="57"/>
        <v>0</v>
      </c>
      <c r="Y159" s="198">
        <f t="shared" si="47"/>
        <v>100</v>
      </c>
      <c r="Z159" s="435"/>
      <c r="AC159" s="267"/>
    </row>
    <row r="160" spans="8:29" x14ac:dyDescent="0.25">
      <c r="H160" s="268" t="s">
        <v>438</v>
      </c>
      <c r="I160" s="397" t="s">
        <v>439</v>
      </c>
      <c r="J160" s="372">
        <v>45055</v>
      </c>
      <c r="K160" s="372">
        <v>45055</v>
      </c>
      <c r="L160" s="268">
        <v>0</v>
      </c>
      <c r="M160" s="268" t="s">
        <v>1183</v>
      </c>
      <c r="N160" s="268">
        <v>100</v>
      </c>
      <c r="O160" s="268"/>
      <c r="P160" s="268"/>
      <c r="Q160" s="268"/>
      <c r="R160" s="268"/>
      <c r="S160" s="269">
        <v>750</v>
      </c>
      <c r="T160" s="357">
        <f t="shared" si="58"/>
        <v>0.16666666666666666</v>
      </c>
      <c r="U160" s="359">
        <f t="shared" si="54"/>
        <v>1</v>
      </c>
      <c r="V160" s="357">
        <f t="shared" si="55"/>
        <v>0</v>
      </c>
      <c r="W160" s="357">
        <f t="shared" si="56"/>
        <v>0.16666666666666666</v>
      </c>
      <c r="X160" s="357">
        <f t="shared" si="57"/>
        <v>0</v>
      </c>
      <c r="Y160" s="198">
        <f t="shared" si="47"/>
        <v>100</v>
      </c>
      <c r="Z160" s="435"/>
      <c r="AC160" s="267"/>
    </row>
    <row r="161" spans="8:29" x14ac:dyDescent="0.25">
      <c r="H161" s="268" t="s">
        <v>440</v>
      </c>
      <c r="I161" s="397" t="s">
        <v>441</v>
      </c>
      <c r="J161" s="372">
        <v>45088</v>
      </c>
      <c r="K161" s="372">
        <v>45088</v>
      </c>
      <c r="L161" s="268">
        <v>0</v>
      </c>
      <c r="M161" s="268" t="s">
        <v>1183</v>
      </c>
      <c r="N161" s="268">
        <v>100</v>
      </c>
      <c r="O161" s="268"/>
      <c r="P161" s="268"/>
      <c r="Q161" s="268"/>
      <c r="R161" s="268"/>
      <c r="S161" s="269">
        <v>750</v>
      </c>
      <c r="T161" s="357">
        <f t="shared" si="58"/>
        <v>0.16666666666666666</v>
      </c>
      <c r="U161" s="359">
        <f t="shared" si="54"/>
        <v>1</v>
      </c>
      <c r="V161" s="357">
        <f t="shared" si="55"/>
        <v>0</v>
      </c>
      <c r="W161" s="357">
        <f t="shared" si="56"/>
        <v>0.16666666666666666</v>
      </c>
      <c r="X161" s="357">
        <f t="shared" si="57"/>
        <v>0</v>
      </c>
      <c r="Y161" s="198">
        <f t="shared" si="47"/>
        <v>100</v>
      </c>
      <c r="Z161" s="435"/>
      <c r="AC161" s="267"/>
    </row>
    <row r="162" spans="8:29" x14ac:dyDescent="0.25">
      <c r="H162" s="520" t="s">
        <v>442</v>
      </c>
      <c r="I162" s="521"/>
      <c r="J162" s="375">
        <f>J163</f>
        <v>45056</v>
      </c>
      <c r="K162" s="375">
        <f>K171</f>
        <v>45223</v>
      </c>
      <c r="L162" s="374">
        <f t="shared" ref="L162:L163" si="59">K162-J162+1</f>
        <v>168</v>
      </c>
      <c r="M162" s="374"/>
      <c r="N162" s="374"/>
      <c r="O162" s="374"/>
      <c r="P162" s="374"/>
      <c r="Q162" s="374"/>
      <c r="R162" s="374"/>
      <c r="S162" s="386">
        <f>S163+S167+S171</f>
        <v>7470</v>
      </c>
      <c r="T162" s="376">
        <f>S162/S154</f>
        <v>0.62406015037593987</v>
      </c>
      <c r="U162" s="374"/>
      <c r="V162" s="376"/>
      <c r="W162" s="376">
        <f>W163*T163+W167*T167+W171*T171</f>
        <v>1</v>
      </c>
      <c r="X162" s="364">
        <f>X163*T163+X167*T167+X171*T171</f>
        <v>0</v>
      </c>
      <c r="Y162" s="198">
        <f t="shared" si="47"/>
        <v>0</v>
      </c>
      <c r="Z162" s="435"/>
      <c r="AC162" s="267"/>
    </row>
    <row r="163" spans="8:29" x14ac:dyDescent="0.25">
      <c r="H163" s="518" t="s">
        <v>443</v>
      </c>
      <c r="I163" s="519"/>
      <c r="J163" s="370">
        <v>45056</v>
      </c>
      <c r="K163" s="370">
        <v>45167</v>
      </c>
      <c r="L163" s="369">
        <f t="shared" si="59"/>
        <v>112</v>
      </c>
      <c r="M163" s="369"/>
      <c r="N163" s="369"/>
      <c r="O163" s="369"/>
      <c r="P163" s="369"/>
      <c r="Q163" s="369"/>
      <c r="R163" s="369"/>
      <c r="S163" s="385">
        <f>S164+S165+S166</f>
        <v>2490</v>
      </c>
      <c r="T163" s="363">
        <f>S163/S162</f>
        <v>0.33333333333333331</v>
      </c>
      <c r="U163" s="369"/>
      <c r="V163" s="363"/>
      <c r="W163" s="363">
        <f>W164+W165+W166</f>
        <v>1</v>
      </c>
      <c r="X163" s="363">
        <f>X164+X165+X166</f>
        <v>0</v>
      </c>
      <c r="Y163" s="198">
        <f t="shared" si="47"/>
        <v>0</v>
      </c>
      <c r="Z163" s="435"/>
      <c r="AC163" s="267"/>
    </row>
    <row r="164" spans="8:29" x14ac:dyDescent="0.25">
      <c r="H164" s="268" t="s">
        <v>444</v>
      </c>
      <c r="I164" s="397" t="s">
        <v>445</v>
      </c>
      <c r="J164" s="372">
        <v>45056</v>
      </c>
      <c r="K164" s="372">
        <v>45056</v>
      </c>
      <c r="L164" s="268">
        <v>0</v>
      </c>
      <c r="M164" s="268" t="s">
        <v>1183</v>
      </c>
      <c r="N164" s="268">
        <v>100</v>
      </c>
      <c r="O164" s="268"/>
      <c r="P164" s="268"/>
      <c r="Q164" s="268"/>
      <c r="R164" s="268"/>
      <c r="S164" s="269">
        <v>830</v>
      </c>
      <c r="T164" s="357">
        <f>S164/$S$163</f>
        <v>0.33333333333333331</v>
      </c>
      <c r="U164" s="359">
        <f t="shared" ref="U164:U166" si="60">IF($J164&gt;U$5,0,IF($K164&lt;U$5,1,IF(U$5=$K164,1,((U$5-$J164+1)/($K164-$J164+1)))))</f>
        <v>1</v>
      </c>
      <c r="V164" s="357">
        <f t="shared" ref="V164:V166" si="61">IFERROR(O164/N164,0)</f>
        <v>0</v>
      </c>
      <c r="W164" s="357">
        <f t="shared" ref="W164:W166" si="62">U164*$T164</f>
        <v>0.33333333333333331</v>
      </c>
      <c r="X164" s="357">
        <f t="shared" ref="X164:X166" si="63">V164*$T164</f>
        <v>0</v>
      </c>
      <c r="Y164" s="198">
        <f t="shared" si="47"/>
        <v>100</v>
      </c>
      <c r="Z164" s="435"/>
      <c r="AC164" s="267"/>
    </row>
    <row r="165" spans="8:29" x14ac:dyDescent="0.25">
      <c r="H165" s="268" t="s">
        <v>446</v>
      </c>
      <c r="I165" s="397" t="s">
        <v>447</v>
      </c>
      <c r="J165" s="372">
        <v>45056</v>
      </c>
      <c r="K165" s="372">
        <v>45056</v>
      </c>
      <c r="L165" s="268">
        <v>0</v>
      </c>
      <c r="M165" s="268" t="s">
        <v>1183</v>
      </c>
      <c r="N165" s="268">
        <v>100</v>
      </c>
      <c r="O165" s="268"/>
      <c r="P165" s="268"/>
      <c r="Q165" s="268"/>
      <c r="R165" s="268"/>
      <c r="S165" s="269">
        <v>830</v>
      </c>
      <c r="T165" s="357">
        <f t="shared" ref="T165:T166" si="64">S165/$S$163</f>
        <v>0.33333333333333331</v>
      </c>
      <c r="U165" s="359">
        <f t="shared" si="60"/>
        <v>1</v>
      </c>
      <c r="V165" s="357">
        <f t="shared" si="61"/>
        <v>0</v>
      </c>
      <c r="W165" s="357">
        <f t="shared" si="62"/>
        <v>0.33333333333333331</v>
      </c>
      <c r="X165" s="357">
        <f t="shared" si="63"/>
        <v>0</v>
      </c>
      <c r="Y165" s="198">
        <f t="shared" si="47"/>
        <v>100</v>
      </c>
      <c r="Z165" s="435"/>
      <c r="AC165" s="267"/>
    </row>
    <row r="166" spans="8:29" x14ac:dyDescent="0.25">
      <c r="H166" s="268" t="s">
        <v>448</v>
      </c>
      <c r="I166" s="397" t="s">
        <v>449</v>
      </c>
      <c r="J166" s="372">
        <v>45167</v>
      </c>
      <c r="K166" s="372">
        <v>45167</v>
      </c>
      <c r="L166" s="268">
        <v>0</v>
      </c>
      <c r="M166" s="268" t="s">
        <v>1183</v>
      </c>
      <c r="N166" s="268">
        <v>100</v>
      </c>
      <c r="O166" s="268"/>
      <c r="P166" s="268"/>
      <c r="Q166" s="268"/>
      <c r="R166" s="268"/>
      <c r="S166" s="269">
        <v>830</v>
      </c>
      <c r="T166" s="357">
        <f t="shared" si="64"/>
        <v>0.33333333333333331</v>
      </c>
      <c r="U166" s="359">
        <f t="shared" si="60"/>
        <v>1</v>
      </c>
      <c r="V166" s="357">
        <f t="shared" si="61"/>
        <v>0</v>
      </c>
      <c r="W166" s="357">
        <f t="shared" si="62"/>
        <v>0.33333333333333331</v>
      </c>
      <c r="X166" s="357">
        <f t="shared" si="63"/>
        <v>0</v>
      </c>
      <c r="Y166" s="198">
        <f t="shared" si="47"/>
        <v>100</v>
      </c>
      <c r="Z166" s="435"/>
      <c r="AC166" s="267"/>
    </row>
    <row r="167" spans="8:29" x14ac:dyDescent="0.25">
      <c r="H167" s="518" t="s">
        <v>450</v>
      </c>
      <c r="I167" s="519"/>
      <c r="J167" s="370">
        <v>45071</v>
      </c>
      <c r="K167" s="370">
        <v>45195</v>
      </c>
      <c r="L167" s="369">
        <f t="shared" ref="L167" si="65">K167-J167+1</f>
        <v>125</v>
      </c>
      <c r="M167" s="369"/>
      <c r="N167" s="369"/>
      <c r="O167" s="369"/>
      <c r="P167" s="369"/>
      <c r="Q167" s="369"/>
      <c r="R167" s="369"/>
      <c r="S167" s="385">
        <f>S168+S169+S170</f>
        <v>2490</v>
      </c>
      <c r="T167" s="363">
        <f>S167/S162</f>
        <v>0.33333333333333331</v>
      </c>
      <c r="U167" s="369"/>
      <c r="V167" s="363"/>
      <c r="W167" s="363">
        <f>W168+W169+W170</f>
        <v>1</v>
      </c>
      <c r="X167" s="363">
        <f>X168+X169+X170</f>
        <v>0</v>
      </c>
      <c r="Y167" s="198">
        <f t="shared" si="47"/>
        <v>0</v>
      </c>
      <c r="Z167" s="435"/>
      <c r="AC167" s="267"/>
    </row>
    <row r="168" spans="8:29" x14ac:dyDescent="0.25">
      <c r="H168" s="268" t="s">
        <v>451</v>
      </c>
      <c r="I168" s="397" t="s">
        <v>452</v>
      </c>
      <c r="J168" s="372">
        <f>K168</f>
        <v>45071</v>
      </c>
      <c r="K168" s="372">
        <v>45071</v>
      </c>
      <c r="L168" s="268">
        <v>0</v>
      </c>
      <c r="M168" s="268" t="s">
        <v>1183</v>
      </c>
      <c r="N168" s="268">
        <v>100</v>
      </c>
      <c r="O168" s="268"/>
      <c r="P168" s="268"/>
      <c r="Q168" s="268"/>
      <c r="R168" s="268"/>
      <c r="S168" s="269">
        <v>830</v>
      </c>
      <c r="T168" s="357">
        <f>S168/$S$167</f>
        <v>0.33333333333333331</v>
      </c>
      <c r="U168" s="359">
        <f t="shared" ref="U168:U174" si="66">IF($J168&gt;U$5,0,IF($K168&lt;U$5,1,IF(U$5=$K168,1,((U$5-$J168+1)/($K168-$J168+1)))))</f>
        <v>1</v>
      </c>
      <c r="V168" s="357">
        <f t="shared" ref="V168:V170" si="67">IFERROR(O168/N168,0)</f>
        <v>0</v>
      </c>
      <c r="W168" s="357">
        <f t="shared" ref="W168:W170" si="68">U168*$T168</f>
        <v>0.33333333333333331</v>
      </c>
      <c r="X168" s="357">
        <f t="shared" ref="X168:X170" si="69">V168*$T168</f>
        <v>0</v>
      </c>
      <c r="Y168" s="198">
        <f t="shared" si="47"/>
        <v>100</v>
      </c>
      <c r="Z168" s="435"/>
      <c r="AC168" s="267"/>
    </row>
    <row r="169" spans="8:29" x14ac:dyDescent="0.25">
      <c r="H169" s="268" t="s">
        <v>453</v>
      </c>
      <c r="I169" s="397" t="s">
        <v>454</v>
      </c>
      <c r="J169" s="372">
        <f t="shared" ref="J169:J174" si="70">K169</f>
        <v>45071</v>
      </c>
      <c r="K169" s="372">
        <v>45071</v>
      </c>
      <c r="L169" s="268">
        <v>0</v>
      </c>
      <c r="M169" s="268" t="s">
        <v>1183</v>
      </c>
      <c r="N169" s="268">
        <v>100</v>
      </c>
      <c r="O169" s="268"/>
      <c r="P169" s="268"/>
      <c r="Q169" s="268"/>
      <c r="R169" s="268"/>
      <c r="S169" s="269">
        <v>830</v>
      </c>
      <c r="T169" s="357">
        <f t="shared" ref="T169:T170" si="71">S169/$S$167</f>
        <v>0.33333333333333331</v>
      </c>
      <c r="U169" s="359">
        <f t="shared" si="66"/>
        <v>1</v>
      </c>
      <c r="V169" s="357">
        <f t="shared" si="67"/>
        <v>0</v>
      </c>
      <c r="W169" s="357">
        <f t="shared" si="68"/>
        <v>0.33333333333333331</v>
      </c>
      <c r="X169" s="357">
        <f t="shared" si="69"/>
        <v>0</v>
      </c>
      <c r="Y169" s="198">
        <f t="shared" si="47"/>
        <v>100</v>
      </c>
      <c r="Z169" s="435"/>
      <c r="AC169" s="267"/>
    </row>
    <row r="170" spans="8:29" x14ac:dyDescent="0.25">
      <c r="H170" s="268" t="s">
        <v>455</v>
      </c>
      <c r="I170" s="397" t="s">
        <v>449</v>
      </c>
      <c r="J170" s="372">
        <f t="shared" si="70"/>
        <v>45195</v>
      </c>
      <c r="K170" s="372">
        <v>45195</v>
      </c>
      <c r="L170" s="268">
        <v>0</v>
      </c>
      <c r="M170" s="268" t="s">
        <v>1183</v>
      </c>
      <c r="N170" s="268">
        <v>100</v>
      </c>
      <c r="O170" s="268"/>
      <c r="P170" s="268"/>
      <c r="Q170" s="268"/>
      <c r="R170" s="268"/>
      <c r="S170" s="269">
        <v>830</v>
      </c>
      <c r="T170" s="357">
        <f t="shared" si="71"/>
        <v>0.33333333333333331</v>
      </c>
      <c r="U170" s="359">
        <f t="shared" si="66"/>
        <v>1</v>
      </c>
      <c r="V170" s="357">
        <f t="shared" si="67"/>
        <v>0</v>
      </c>
      <c r="W170" s="357">
        <f t="shared" si="68"/>
        <v>0.33333333333333331</v>
      </c>
      <c r="X170" s="357">
        <f t="shared" si="69"/>
        <v>0</v>
      </c>
      <c r="Y170" s="198">
        <f t="shared" si="47"/>
        <v>100</v>
      </c>
      <c r="Z170" s="435"/>
      <c r="AC170" s="267"/>
    </row>
    <row r="171" spans="8:29" x14ac:dyDescent="0.25">
      <c r="H171" s="518" t="s">
        <v>456</v>
      </c>
      <c r="I171" s="519"/>
      <c r="J171" s="370">
        <v>45087</v>
      </c>
      <c r="K171" s="370">
        <v>45223</v>
      </c>
      <c r="L171" s="369">
        <f t="shared" ref="L171" si="72">K171-J171+1</f>
        <v>137</v>
      </c>
      <c r="M171" s="369"/>
      <c r="N171" s="369"/>
      <c r="O171" s="369"/>
      <c r="P171" s="369"/>
      <c r="Q171" s="369"/>
      <c r="R171" s="369"/>
      <c r="S171" s="385">
        <f>S172+S173+S174</f>
        <v>2490</v>
      </c>
      <c r="T171" s="363">
        <f>S171/S162</f>
        <v>0.33333333333333331</v>
      </c>
      <c r="U171" s="369"/>
      <c r="V171" s="363"/>
      <c r="W171" s="363">
        <f>W172+W173+W174</f>
        <v>1</v>
      </c>
      <c r="X171" s="363">
        <f>X172+X173+X174</f>
        <v>0</v>
      </c>
      <c r="Y171" s="198">
        <f t="shared" si="47"/>
        <v>0</v>
      </c>
      <c r="Z171" s="435"/>
      <c r="AC171" s="267"/>
    </row>
    <row r="172" spans="8:29" x14ac:dyDescent="0.25">
      <c r="H172" s="268" t="s">
        <v>457</v>
      </c>
      <c r="I172" s="397" t="s">
        <v>458</v>
      </c>
      <c r="J172" s="372">
        <f t="shared" si="70"/>
        <v>45087</v>
      </c>
      <c r="K172" s="372">
        <v>45087</v>
      </c>
      <c r="L172" s="268">
        <v>0</v>
      </c>
      <c r="M172" s="268" t="s">
        <v>1183</v>
      </c>
      <c r="N172" s="268">
        <v>100</v>
      </c>
      <c r="O172" s="268"/>
      <c r="P172" s="268"/>
      <c r="Q172" s="268"/>
      <c r="R172" s="268"/>
      <c r="S172" s="269">
        <v>830</v>
      </c>
      <c r="T172" s="357">
        <f>S172/$S$171</f>
        <v>0.33333333333333331</v>
      </c>
      <c r="U172" s="359">
        <f t="shared" si="66"/>
        <v>1</v>
      </c>
      <c r="V172" s="357">
        <f t="shared" ref="V172:V174" si="73">IFERROR(O172/N172,0)</f>
        <v>0</v>
      </c>
      <c r="W172" s="357">
        <f t="shared" ref="W172:W174" si="74">U172*$T172</f>
        <v>0.33333333333333331</v>
      </c>
      <c r="X172" s="357">
        <f t="shared" ref="X172:X174" si="75">V172*$T172</f>
        <v>0</v>
      </c>
      <c r="Y172" s="198">
        <f t="shared" si="47"/>
        <v>100</v>
      </c>
      <c r="Z172" s="435"/>
      <c r="AC172" s="267"/>
    </row>
    <row r="173" spans="8:29" x14ac:dyDescent="0.25">
      <c r="H173" s="268" t="s">
        <v>459</v>
      </c>
      <c r="I173" s="397" t="s">
        <v>460</v>
      </c>
      <c r="J173" s="372">
        <f t="shared" si="70"/>
        <v>45087</v>
      </c>
      <c r="K173" s="372">
        <v>45087</v>
      </c>
      <c r="L173" s="268">
        <v>0</v>
      </c>
      <c r="M173" s="268" t="s">
        <v>1183</v>
      </c>
      <c r="N173" s="268">
        <v>100</v>
      </c>
      <c r="O173" s="268"/>
      <c r="P173" s="268"/>
      <c r="Q173" s="268"/>
      <c r="R173" s="268"/>
      <c r="S173" s="269">
        <v>830</v>
      </c>
      <c r="T173" s="357">
        <f t="shared" ref="T173:T174" si="76">S173/$S$171</f>
        <v>0.33333333333333331</v>
      </c>
      <c r="U173" s="359">
        <f t="shared" si="66"/>
        <v>1</v>
      </c>
      <c r="V173" s="357">
        <f t="shared" si="73"/>
        <v>0</v>
      </c>
      <c r="W173" s="357">
        <f t="shared" si="74"/>
        <v>0.33333333333333331</v>
      </c>
      <c r="X173" s="357">
        <f t="shared" si="75"/>
        <v>0</v>
      </c>
      <c r="Y173" s="198">
        <f t="shared" si="47"/>
        <v>100</v>
      </c>
      <c r="Z173" s="435"/>
      <c r="AC173" s="267"/>
    </row>
    <row r="174" spans="8:29" x14ac:dyDescent="0.25">
      <c r="H174" s="268" t="s">
        <v>461</v>
      </c>
      <c r="I174" s="397" t="s">
        <v>449</v>
      </c>
      <c r="J174" s="372">
        <f t="shared" si="70"/>
        <v>45223</v>
      </c>
      <c r="K174" s="372">
        <v>45223</v>
      </c>
      <c r="L174" s="268">
        <v>0</v>
      </c>
      <c r="M174" s="268" t="s">
        <v>1183</v>
      </c>
      <c r="N174" s="268">
        <v>100</v>
      </c>
      <c r="O174" s="268"/>
      <c r="P174" s="268"/>
      <c r="Q174" s="268"/>
      <c r="R174" s="268"/>
      <c r="S174" s="269">
        <v>830</v>
      </c>
      <c r="T174" s="357">
        <f t="shared" si="76"/>
        <v>0.33333333333333331</v>
      </c>
      <c r="U174" s="359">
        <f t="shared" si="66"/>
        <v>1</v>
      </c>
      <c r="V174" s="357">
        <f t="shared" si="73"/>
        <v>0</v>
      </c>
      <c r="W174" s="357">
        <f t="shared" si="74"/>
        <v>0.33333333333333331</v>
      </c>
      <c r="X174" s="357">
        <f t="shared" si="75"/>
        <v>0</v>
      </c>
      <c r="Y174" s="198">
        <f t="shared" si="47"/>
        <v>100</v>
      </c>
      <c r="Z174" s="435"/>
      <c r="AC174" s="267"/>
    </row>
    <row r="175" spans="8:29" x14ac:dyDescent="0.25">
      <c r="H175" s="512" t="s">
        <v>462</v>
      </c>
      <c r="I175" s="513"/>
      <c r="J175" s="367">
        <v>44563</v>
      </c>
      <c r="K175" s="367">
        <v>45319</v>
      </c>
      <c r="L175" s="366">
        <f t="shared" ref="L175:L176" si="77">K175-J175+1</f>
        <v>757</v>
      </c>
      <c r="M175" s="366"/>
      <c r="N175" s="366"/>
      <c r="O175" s="366"/>
      <c r="P175" s="366">
        <f>P176+P195+P199+P291+P310+P346+P348</f>
        <v>615457</v>
      </c>
      <c r="Q175" s="366"/>
      <c r="R175" s="366"/>
      <c r="S175" s="403">
        <f>S176+S195+S199+S291+S310+S346+S348</f>
        <v>626563</v>
      </c>
      <c r="T175" s="405">
        <f>S175/S82</f>
        <v>0.29010615061423289</v>
      </c>
      <c r="U175" s="406"/>
      <c r="V175" s="406"/>
      <c r="W175" s="406">
        <f>W176*T176+W195*T195+W199*T199+W291*T291+W310*T310+W346*T346+W348*T348</f>
        <v>0.98495847605959685</v>
      </c>
      <c r="X175" s="406">
        <f>X176*T176+X195*T195+X199*T199+X291*T291+X310*T310+X346*T346+X348*T348</f>
        <v>0.69570616974923893</v>
      </c>
      <c r="Y175" s="198">
        <f t="shared" si="47"/>
        <v>0</v>
      </c>
      <c r="Z175" s="435"/>
      <c r="AC175" s="267"/>
    </row>
    <row r="176" spans="8:29" x14ac:dyDescent="0.25">
      <c r="H176" s="510" t="s">
        <v>463</v>
      </c>
      <c r="I176" s="511"/>
      <c r="J176" s="392">
        <v>44563</v>
      </c>
      <c r="K176" s="392">
        <v>44803</v>
      </c>
      <c r="L176" s="368">
        <f t="shared" si="77"/>
        <v>241</v>
      </c>
      <c r="M176" s="368"/>
      <c r="N176" s="368">
        <f>N177+N179+N185+N190+N193</f>
        <v>1608</v>
      </c>
      <c r="O176" s="368">
        <f>O177+O179+O185+O190+O193</f>
        <v>1608</v>
      </c>
      <c r="P176" s="368">
        <f>P177+P179+P185+P190+P193</f>
        <v>187512</v>
      </c>
      <c r="Q176" s="368"/>
      <c r="R176" s="368"/>
      <c r="S176" s="400">
        <f>S177+S179+S185+S190+S193</f>
        <v>187512</v>
      </c>
      <c r="T176" s="356">
        <f>P176/$P$175</f>
        <v>0.30467116305444575</v>
      </c>
      <c r="U176" s="368"/>
      <c r="V176" s="356"/>
      <c r="W176" s="356">
        <f>(W177*T177)+(W179*T179)+(W185*T185)+(W190*T190)+(W193*T193)</f>
        <v>1</v>
      </c>
      <c r="X176" s="356">
        <f>(X177*T177)+(X179*T179)+(X185*T185)+(X190*T190)+(X193*T193)</f>
        <v>1</v>
      </c>
      <c r="Y176" s="198">
        <f t="shared" si="47"/>
        <v>0</v>
      </c>
      <c r="Z176" s="435"/>
      <c r="AC176" s="267"/>
    </row>
    <row r="177" spans="8:29" x14ac:dyDescent="0.25">
      <c r="H177" s="518" t="s">
        <v>464</v>
      </c>
      <c r="I177" s="519"/>
      <c r="J177" s="370">
        <f>J178</f>
        <v>44682</v>
      </c>
      <c r="K177" s="370">
        <v>44737</v>
      </c>
      <c r="L177" s="369">
        <f t="shared" ref="L177:L179" si="78">K177-J177+1</f>
        <v>56</v>
      </c>
      <c r="M177" s="369"/>
      <c r="N177" s="369">
        <f>N178</f>
        <v>78</v>
      </c>
      <c r="O177" s="369">
        <f>O178</f>
        <v>78</v>
      </c>
      <c r="P177" s="369">
        <f>P178</f>
        <v>13440</v>
      </c>
      <c r="Q177" s="369"/>
      <c r="R177" s="369"/>
      <c r="S177" s="385">
        <f>S178</f>
        <v>13440</v>
      </c>
      <c r="T177" s="363">
        <f>S177/S176</f>
        <v>7.1675412773582498E-2</v>
      </c>
      <c r="U177" s="369"/>
      <c r="V177" s="363"/>
      <c r="W177" s="363">
        <f>W178</f>
        <v>1</v>
      </c>
      <c r="X177" s="363">
        <f>X178</f>
        <v>1</v>
      </c>
      <c r="Y177" s="198">
        <f t="shared" si="47"/>
        <v>0</v>
      </c>
      <c r="Z177" s="435"/>
      <c r="AC177" s="267"/>
    </row>
    <row r="178" spans="8:29" x14ac:dyDescent="0.25">
      <c r="H178" s="268" t="s">
        <v>465</v>
      </c>
      <c r="I178" s="397" t="s">
        <v>466</v>
      </c>
      <c r="J178" s="372">
        <v>44682</v>
      </c>
      <c r="K178" s="372">
        <v>44737</v>
      </c>
      <c r="L178" s="268">
        <f t="shared" si="78"/>
        <v>56</v>
      </c>
      <c r="M178" s="268" t="s">
        <v>1185</v>
      </c>
      <c r="N178" s="268">
        <v>78</v>
      </c>
      <c r="O178" s="268">
        <v>78</v>
      </c>
      <c r="P178" s="268">
        <f>L178*Q178*R178</f>
        <v>13440</v>
      </c>
      <c r="Q178" s="268">
        <v>24</v>
      </c>
      <c r="R178" s="268">
        <v>10</v>
      </c>
      <c r="S178" s="269">
        <f>P178</f>
        <v>13440</v>
      </c>
      <c r="T178" s="357">
        <v>1</v>
      </c>
      <c r="U178" s="359">
        <f t="shared" ref="U178" si="79">IF($J178&gt;U$5,0,IF($K178&lt;U$5,1,IF(U$5=$K178,1,((U$5-$J178+1)/($K178-$J178+1)))))</f>
        <v>1</v>
      </c>
      <c r="V178" s="357">
        <f>IFERROR(O178/N178,0)</f>
        <v>1</v>
      </c>
      <c r="W178" s="357">
        <f t="shared" ref="W178:X194" si="80">U178*$T178</f>
        <v>1</v>
      </c>
      <c r="X178" s="357">
        <f t="shared" si="80"/>
        <v>1</v>
      </c>
      <c r="Y178" s="198">
        <f t="shared" si="47"/>
        <v>78</v>
      </c>
      <c r="Z178" s="435"/>
      <c r="AC178" s="267"/>
    </row>
    <row r="179" spans="8:29" x14ac:dyDescent="0.25">
      <c r="H179" s="518" t="s">
        <v>467</v>
      </c>
      <c r="I179" s="519"/>
      <c r="J179" s="370">
        <f>J180</f>
        <v>44610</v>
      </c>
      <c r="K179" s="370">
        <v>44789</v>
      </c>
      <c r="L179" s="369">
        <f t="shared" si="78"/>
        <v>180</v>
      </c>
      <c r="M179" s="369"/>
      <c r="N179" s="369">
        <f>N180+N181+N182+N183+N184</f>
        <v>973</v>
      </c>
      <c r="O179" s="369">
        <f>O180+O181+O182+O183+O184</f>
        <v>973</v>
      </c>
      <c r="P179" s="369">
        <f>P180+P181+P182+P183+P184</f>
        <v>116640</v>
      </c>
      <c r="Q179" s="369"/>
      <c r="R179" s="369"/>
      <c r="S179" s="385">
        <f>S180+S181+S182+S183+S184</f>
        <v>116640</v>
      </c>
      <c r="T179" s="363">
        <f>S179/S176</f>
        <v>0.62204018942787664</v>
      </c>
      <c r="U179" s="369"/>
      <c r="V179" s="363"/>
      <c r="W179" s="363">
        <f t="shared" ref="W179:X179" si="81">W180+W181+W182+W183+W184</f>
        <v>1</v>
      </c>
      <c r="X179" s="363">
        <f t="shared" si="81"/>
        <v>1</v>
      </c>
      <c r="Y179" s="198">
        <f t="shared" si="47"/>
        <v>0</v>
      </c>
      <c r="Z179" s="435"/>
      <c r="AC179" s="267"/>
    </row>
    <row r="180" spans="8:29" x14ac:dyDescent="0.25">
      <c r="H180" s="268" t="s">
        <v>468</v>
      </c>
      <c r="I180" s="397" t="s">
        <v>469</v>
      </c>
      <c r="J180" s="372">
        <v>44610</v>
      </c>
      <c r="K180" s="372">
        <v>44714</v>
      </c>
      <c r="L180" s="268">
        <f t="shared" ref="L180:L185" si="82">K180-J180+1</f>
        <v>105</v>
      </c>
      <c r="M180" s="268" t="s">
        <v>1185</v>
      </c>
      <c r="N180" s="268">
        <v>175</v>
      </c>
      <c r="O180" s="268">
        <v>175</v>
      </c>
      <c r="P180" s="268">
        <f>L180*Q180*R180</f>
        <v>25200</v>
      </c>
      <c r="Q180" s="268">
        <v>24</v>
      </c>
      <c r="R180" s="268">
        <v>10</v>
      </c>
      <c r="S180" s="269">
        <f>P180</f>
        <v>25200</v>
      </c>
      <c r="T180" s="357">
        <f>S180/$S$179</f>
        <v>0.21604938271604937</v>
      </c>
      <c r="U180" s="359">
        <f t="shared" ref="U180:U184" si="83">IF($J180&gt;U$5,0,IF($K180&lt;U$5,1,IF(U$5=$K180,1,((U$5-$J180+1)/($K180-$J180+1)))))</f>
        <v>1</v>
      </c>
      <c r="V180" s="357">
        <f>IFERROR(O180/N180,0)</f>
        <v>1</v>
      </c>
      <c r="W180" s="357">
        <f t="shared" ref="W180" si="84">U180*$T180</f>
        <v>0.21604938271604937</v>
      </c>
      <c r="X180" s="357">
        <f t="shared" si="80"/>
        <v>0.21604938271604937</v>
      </c>
      <c r="Y180" s="198">
        <f t="shared" si="47"/>
        <v>175</v>
      </c>
      <c r="Z180" s="435"/>
      <c r="AC180" s="267"/>
    </row>
    <row r="181" spans="8:29" x14ac:dyDescent="0.25">
      <c r="H181" s="268" t="s">
        <v>470</v>
      </c>
      <c r="I181" s="397" t="s">
        <v>471</v>
      </c>
      <c r="J181" s="372">
        <v>44610</v>
      </c>
      <c r="K181" s="372">
        <v>44753</v>
      </c>
      <c r="L181" s="268">
        <f t="shared" si="82"/>
        <v>144</v>
      </c>
      <c r="M181" s="268" t="s">
        <v>1185</v>
      </c>
      <c r="N181" s="268">
        <v>257</v>
      </c>
      <c r="O181" s="268">
        <v>257</v>
      </c>
      <c r="P181" s="268">
        <f t="shared" ref="P181:P184" si="85">L181*Q181*R181</f>
        <v>34560</v>
      </c>
      <c r="Q181" s="268">
        <v>24</v>
      </c>
      <c r="R181" s="268">
        <v>10</v>
      </c>
      <c r="S181" s="269">
        <f>P181</f>
        <v>34560</v>
      </c>
      <c r="T181" s="357">
        <f t="shared" ref="T181:T184" si="86">S181/$S$179</f>
        <v>0.29629629629629628</v>
      </c>
      <c r="U181" s="359">
        <f t="shared" si="83"/>
        <v>1</v>
      </c>
      <c r="V181" s="357">
        <f>IFERROR(O181/N181,0)</f>
        <v>1</v>
      </c>
      <c r="W181" s="357">
        <f>U181*$T181</f>
        <v>0.29629629629629628</v>
      </c>
      <c r="X181" s="357">
        <f t="shared" si="80"/>
        <v>0.29629629629629628</v>
      </c>
      <c r="Y181" s="198">
        <f t="shared" si="47"/>
        <v>257</v>
      </c>
      <c r="Z181" s="435"/>
      <c r="AC181" s="267"/>
    </row>
    <row r="182" spans="8:29" x14ac:dyDescent="0.25">
      <c r="H182" s="268" t="s">
        <v>472</v>
      </c>
      <c r="I182" s="397" t="s">
        <v>473</v>
      </c>
      <c r="J182" s="372">
        <v>44734</v>
      </c>
      <c r="K182" s="372">
        <v>44758</v>
      </c>
      <c r="L182" s="268">
        <f t="shared" si="82"/>
        <v>25</v>
      </c>
      <c r="M182" s="268" t="s">
        <v>1185</v>
      </c>
      <c r="N182" s="268">
        <v>53</v>
      </c>
      <c r="O182" s="268">
        <v>53</v>
      </c>
      <c r="P182" s="268">
        <f t="shared" si="85"/>
        <v>6000</v>
      </c>
      <c r="Q182" s="268">
        <v>24</v>
      </c>
      <c r="R182" s="268">
        <v>10</v>
      </c>
      <c r="S182" s="269">
        <f>P182</f>
        <v>6000</v>
      </c>
      <c r="T182" s="357">
        <f t="shared" si="86"/>
        <v>5.1440329218106998E-2</v>
      </c>
      <c r="U182" s="359">
        <f t="shared" si="83"/>
        <v>1</v>
      </c>
      <c r="V182" s="357">
        <f>IFERROR(O182/N182,0)</f>
        <v>1</v>
      </c>
      <c r="W182" s="357">
        <f t="shared" ref="W182:W184" si="87">U182*$T182</f>
        <v>5.1440329218106998E-2</v>
      </c>
      <c r="X182" s="357">
        <f t="shared" si="80"/>
        <v>5.1440329218106998E-2</v>
      </c>
      <c r="Y182" s="198">
        <f t="shared" si="47"/>
        <v>53</v>
      </c>
      <c r="Z182" s="435"/>
      <c r="AC182" s="267"/>
    </row>
    <row r="183" spans="8:29" x14ac:dyDescent="0.25">
      <c r="H183" s="268" t="s">
        <v>474</v>
      </c>
      <c r="I183" s="397" t="s">
        <v>475</v>
      </c>
      <c r="J183" s="372">
        <v>44640</v>
      </c>
      <c r="K183" s="372">
        <v>44772</v>
      </c>
      <c r="L183" s="268">
        <f t="shared" si="82"/>
        <v>133</v>
      </c>
      <c r="M183" s="268" t="s">
        <v>1185</v>
      </c>
      <c r="N183" s="268">
        <v>369</v>
      </c>
      <c r="O183" s="268">
        <v>369</v>
      </c>
      <c r="P183" s="268">
        <f t="shared" si="85"/>
        <v>31920</v>
      </c>
      <c r="Q183" s="268">
        <v>24</v>
      </c>
      <c r="R183" s="268">
        <v>10</v>
      </c>
      <c r="S183" s="269">
        <f>P183</f>
        <v>31920</v>
      </c>
      <c r="T183" s="357">
        <f t="shared" si="86"/>
        <v>0.27366255144032919</v>
      </c>
      <c r="U183" s="359">
        <f t="shared" si="83"/>
        <v>1</v>
      </c>
      <c r="V183" s="357">
        <f>IFERROR(O183/N183,0)</f>
        <v>1</v>
      </c>
      <c r="W183" s="357">
        <f t="shared" si="87"/>
        <v>0.27366255144032919</v>
      </c>
      <c r="X183" s="357">
        <f t="shared" si="80"/>
        <v>0.27366255144032919</v>
      </c>
      <c r="Y183" s="198">
        <f t="shared" si="47"/>
        <v>369</v>
      </c>
      <c r="Z183" s="435"/>
      <c r="AC183" s="267"/>
    </row>
    <row r="184" spans="8:29" x14ac:dyDescent="0.25">
      <c r="H184" s="268" t="s">
        <v>476</v>
      </c>
      <c r="I184" s="397" t="s">
        <v>477</v>
      </c>
      <c r="J184" s="372">
        <v>44711</v>
      </c>
      <c r="K184" s="372">
        <v>44789</v>
      </c>
      <c r="L184" s="268">
        <f t="shared" si="82"/>
        <v>79</v>
      </c>
      <c r="M184" s="268" t="s">
        <v>1185</v>
      </c>
      <c r="N184" s="268">
        <v>119</v>
      </c>
      <c r="O184" s="268">
        <v>119</v>
      </c>
      <c r="P184" s="268">
        <f t="shared" si="85"/>
        <v>18960</v>
      </c>
      <c r="Q184" s="268">
        <v>24</v>
      </c>
      <c r="R184" s="268">
        <v>10</v>
      </c>
      <c r="S184" s="269">
        <f>P184</f>
        <v>18960</v>
      </c>
      <c r="T184" s="357">
        <f t="shared" si="86"/>
        <v>0.16255144032921812</v>
      </c>
      <c r="U184" s="359">
        <f t="shared" si="83"/>
        <v>1</v>
      </c>
      <c r="V184" s="357">
        <f>IFERROR(O184/N184,0)</f>
        <v>1</v>
      </c>
      <c r="W184" s="357">
        <f t="shared" si="87"/>
        <v>0.16255144032921812</v>
      </c>
      <c r="X184" s="357">
        <f t="shared" si="80"/>
        <v>0.16255144032921812</v>
      </c>
      <c r="Y184" s="198">
        <f t="shared" si="47"/>
        <v>119</v>
      </c>
      <c r="Z184" s="435"/>
      <c r="AC184" s="267"/>
    </row>
    <row r="185" spans="8:29" x14ac:dyDescent="0.25">
      <c r="H185" s="518" t="s">
        <v>478</v>
      </c>
      <c r="I185" s="519"/>
      <c r="J185" s="370">
        <f>J186</f>
        <v>44563</v>
      </c>
      <c r="K185" s="370">
        <v>44642</v>
      </c>
      <c r="L185" s="369">
        <f t="shared" si="82"/>
        <v>80</v>
      </c>
      <c r="M185" s="369"/>
      <c r="N185" s="369">
        <f>N186+N187+N188+N189</f>
        <v>195</v>
      </c>
      <c r="O185" s="369">
        <f>O186+O187+O188+O189</f>
        <v>195</v>
      </c>
      <c r="P185" s="369">
        <f>P186+P187+P188+P189</f>
        <v>24552</v>
      </c>
      <c r="Q185" s="369"/>
      <c r="R185" s="369"/>
      <c r="S185" s="385">
        <f>S186+S187+S188+S189</f>
        <v>24552</v>
      </c>
      <c r="T185" s="363">
        <f>S185/S176</f>
        <v>0.13093562012031229</v>
      </c>
      <c r="U185" s="369"/>
      <c r="V185" s="363"/>
      <c r="W185" s="363">
        <f t="shared" ref="W185:X185" si="88">W186+W187+W188+W189</f>
        <v>1</v>
      </c>
      <c r="X185" s="363">
        <f t="shared" si="88"/>
        <v>1</v>
      </c>
      <c r="Y185" s="198">
        <f t="shared" si="47"/>
        <v>0</v>
      </c>
      <c r="Z185" s="435"/>
      <c r="AC185" s="267"/>
    </row>
    <row r="186" spans="8:29" x14ac:dyDescent="0.25">
      <c r="H186" s="268" t="s">
        <v>479</v>
      </c>
      <c r="I186" s="397" t="s">
        <v>480</v>
      </c>
      <c r="J186" s="372">
        <v>44563</v>
      </c>
      <c r="K186" s="372">
        <v>44591</v>
      </c>
      <c r="L186" s="268">
        <f t="shared" ref="L186:L195" si="89">K186-J186+1</f>
        <v>29</v>
      </c>
      <c r="M186" s="268" t="s">
        <v>1185</v>
      </c>
      <c r="N186" s="268">
        <v>67</v>
      </c>
      <c r="O186" s="268">
        <v>67</v>
      </c>
      <c r="P186" s="268">
        <f t="shared" ref="P186:P189" si="90">L186*Q186*R186</f>
        <v>6960</v>
      </c>
      <c r="Q186" s="268">
        <v>24</v>
      </c>
      <c r="R186" s="268">
        <v>10</v>
      </c>
      <c r="S186" s="269">
        <f>P186</f>
        <v>6960</v>
      </c>
      <c r="T186" s="357">
        <f t="shared" ref="T186:T187" si="91">S186/$S$185</f>
        <v>0.28347996089931576</v>
      </c>
      <c r="U186" s="359">
        <f t="shared" ref="U186:U189" si="92">IF($J186&gt;U$5,0,IF($K186&lt;U$5,1,IF(U$5=$K186,1,((U$5-$J186+1)/($K186-$J186+1)))))</f>
        <v>1</v>
      </c>
      <c r="V186" s="357">
        <f>IFERROR(O186/N186,0)</f>
        <v>1</v>
      </c>
      <c r="W186" s="357">
        <f t="shared" ref="W186:W189" si="93">U186*$T186</f>
        <v>0.28347996089931576</v>
      </c>
      <c r="X186" s="357">
        <f t="shared" si="80"/>
        <v>0.28347996089931576</v>
      </c>
      <c r="Y186" s="198">
        <f t="shared" si="47"/>
        <v>67</v>
      </c>
      <c r="Z186" s="435"/>
      <c r="AC186" s="267"/>
    </row>
    <row r="187" spans="8:29" x14ac:dyDescent="0.25">
      <c r="H187" s="268" t="s">
        <v>481</v>
      </c>
      <c r="I187" s="397" t="s">
        <v>482</v>
      </c>
      <c r="J187" s="372">
        <v>44591</v>
      </c>
      <c r="K187" s="372">
        <v>44607</v>
      </c>
      <c r="L187" s="268">
        <f t="shared" si="89"/>
        <v>17</v>
      </c>
      <c r="M187" s="268" t="s">
        <v>1185</v>
      </c>
      <c r="N187" s="268">
        <v>35</v>
      </c>
      <c r="O187" s="268">
        <v>35</v>
      </c>
      <c r="P187" s="268">
        <f t="shared" si="90"/>
        <v>4080</v>
      </c>
      <c r="Q187" s="268">
        <v>24</v>
      </c>
      <c r="R187" s="268">
        <v>10</v>
      </c>
      <c r="S187" s="269">
        <f>P187</f>
        <v>4080</v>
      </c>
      <c r="T187" s="357">
        <f t="shared" si="91"/>
        <v>0.16617790811339198</v>
      </c>
      <c r="U187" s="359">
        <f t="shared" si="92"/>
        <v>1</v>
      </c>
      <c r="V187" s="357">
        <f>IFERROR(O187/N187,0)</f>
        <v>1</v>
      </c>
      <c r="W187" s="357">
        <f t="shared" si="93"/>
        <v>0.16617790811339198</v>
      </c>
      <c r="X187" s="357">
        <f t="shared" si="80"/>
        <v>0.16617790811339198</v>
      </c>
      <c r="Y187" s="198">
        <f t="shared" si="47"/>
        <v>35</v>
      </c>
      <c r="Z187" s="435"/>
      <c r="AC187" s="267"/>
    </row>
    <row r="188" spans="8:29" x14ac:dyDescent="0.25">
      <c r="H188" s="268" t="s">
        <v>483</v>
      </c>
      <c r="I188" s="397" t="s">
        <v>484</v>
      </c>
      <c r="J188" s="372">
        <v>44591</v>
      </c>
      <c r="K188" s="372">
        <v>44610</v>
      </c>
      <c r="L188" s="268">
        <f t="shared" si="89"/>
        <v>20</v>
      </c>
      <c r="M188" s="268" t="s">
        <v>1185</v>
      </c>
      <c r="N188" s="268">
        <v>10</v>
      </c>
      <c r="O188" s="268">
        <v>10</v>
      </c>
      <c r="P188" s="268">
        <f t="shared" si="90"/>
        <v>4800</v>
      </c>
      <c r="Q188" s="268">
        <v>24</v>
      </c>
      <c r="R188" s="268">
        <v>10</v>
      </c>
      <c r="S188" s="269">
        <f>P188</f>
        <v>4800</v>
      </c>
      <c r="T188" s="357">
        <f>S188/$S$185</f>
        <v>0.19550342130987292</v>
      </c>
      <c r="U188" s="359">
        <f t="shared" si="92"/>
        <v>1</v>
      </c>
      <c r="V188" s="357">
        <f>IFERROR(O188/N188,0)</f>
        <v>1</v>
      </c>
      <c r="W188" s="357">
        <f t="shared" si="93"/>
        <v>0.19550342130987292</v>
      </c>
      <c r="X188" s="357">
        <f t="shared" si="80"/>
        <v>0.19550342130987292</v>
      </c>
      <c r="Y188" s="198">
        <f t="shared" si="47"/>
        <v>10</v>
      </c>
      <c r="Z188" s="435"/>
      <c r="AC188" s="267"/>
    </row>
    <row r="189" spans="8:29" x14ac:dyDescent="0.25">
      <c r="H189" s="268" t="s">
        <v>485</v>
      </c>
      <c r="I189" s="397" t="s">
        <v>486</v>
      </c>
      <c r="J189" s="372">
        <v>44610</v>
      </c>
      <c r="K189" s="372">
        <v>44642</v>
      </c>
      <c r="L189" s="268">
        <f t="shared" si="89"/>
        <v>33</v>
      </c>
      <c r="M189" s="268" t="s">
        <v>1185</v>
      </c>
      <c r="N189" s="268">
        <v>83</v>
      </c>
      <c r="O189" s="268">
        <v>83</v>
      </c>
      <c r="P189" s="268">
        <f t="shared" si="90"/>
        <v>8712</v>
      </c>
      <c r="Q189" s="268">
        <v>24</v>
      </c>
      <c r="R189" s="268">
        <v>11</v>
      </c>
      <c r="S189" s="269">
        <f>P189</f>
        <v>8712</v>
      </c>
      <c r="T189" s="357">
        <f t="shared" ref="T189" si="94">S189/$S$185</f>
        <v>0.35483870967741937</v>
      </c>
      <c r="U189" s="359">
        <f t="shared" si="92"/>
        <v>1</v>
      </c>
      <c r="V189" s="357">
        <f>IFERROR(O189/N189,0)</f>
        <v>1</v>
      </c>
      <c r="W189" s="357">
        <f t="shared" si="93"/>
        <v>0.35483870967741937</v>
      </c>
      <c r="X189" s="357">
        <f t="shared" si="80"/>
        <v>0.35483870967741937</v>
      </c>
      <c r="Y189" s="198">
        <f t="shared" si="47"/>
        <v>83</v>
      </c>
      <c r="Z189" s="435"/>
      <c r="AC189" s="267"/>
    </row>
    <row r="190" spans="8:29" x14ac:dyDescent="0.25">
      <c r="H190" s="518" t="s">
        <v>487</v>
      </c>
      <c r="I190" s="519"/>
      <c r="J190" s="370">
        <f>J191</f>
        <v>44610</v>
      </c>
      <c r="K190" s="370">
        <v>44781</v>
      </c>
      <c r="L190" s="369">
        <f t="shared" si="89"/>
        <v>172</v>
      </c>
      <c r="M190" s="369"/>
      <c r="N190" s="369">
        <f>N191+N192</f>
        <v>150</v>
      </c>
      <c r="O190" s="369">
        <f>O191+O192</f>
        <v>150</v>
      </c>
      <c r="P190" s="369">
        <f>P191+P192</f>
        <v>19680</v>
      </c>
      <c r="Q190" s="369"/>
      <c r="R190" s="369"/>
      <c r="S190" s="385">
        <f>S191+S192</f>
        <v>19680</v>
      </c>
      <c r="T190" s="363">
        <f>S190/S176</f>
        <v>0.10495328298988865</v>
      </c>
      <c r="U190" s="369"/>
      <c r="V190" s="363"/>
      <c r="W190" s="363">
        <f t="shared" ref="W190:X190" si="95">W191+W192</f>
        <v>1</v>
      </c>
      <c r="X190" s="363">
        <f t="shared" si="95"/>
        <v>1</v>
      </c>
      <c r="Y190" s="198">
        <f t="shared" si="47"/>
        <v>0</v>
      </c>
      <c r="Z190" s="435"/>
      <c r="AC190" s="267"/>
    </row>
    <row r="191" spans="8:29" x14ac:dyDescent="0.25">
      <c r="H191" s="268" t="s">
        <v>488</v>
      </c>
      <c r="I191" s="397" t="s">
        <v>489</v>
      </c>
      <c r="J191" s="372">
        <v>44610</v>
      </c>
      <c r="K191" s="372">
        <v>44642</v>
      </c>
      <c r="L191" s="268">
        <f t="shared" si="89"/>
        <v>33</v>
      </c>
      <c r="M191" s="268" t="s">
        <v>1185</v>
      </c>
      <c r="N191" s="268">
        <v>84</v>
      </c>
      <c r="O191" s="268">
        <v>84</v>
      </c>
      <c r="P191" s="268">
        <f t="shared" ref="P191:P192" si="96">L191*Q191*R191</f>
        <v>7920</v>
      </c>
      <c r="Q191" s="268">
        <v>24</v>
      </c>
      <c r="R191" s="268">
        <v>10</v>
      </c>
      <c r="S191" s="269">
        <f>P191</f>
        <v>7920</v>
      </c>
      <c r="T191" s="357">
        <f>S191/S190</f>
        <v>0.40243902439024393</v>
      </c>
      <c r="U191" s="359">
        <f t="shared" ref="U191:U192" si="97">IF($J191&gt;U$5,0,IF($K191&lt;U$5,1,IF(U$5=$K191,1,((U$5-$J191+1)/($K191-$J191+1)))))</f>
        <v>1</v>
      </c>
      <c r="V191" s="357">
        <f>IFERROR(O191/N191,0)</f>
        <v>1</v>
      </c>
      <c r="W191" s="357">
        <f t="shared" ref="W191:W192" si="98">U191*$T191</f>
        <v>0.40243902439024393</v>
      </c>
      <c r="X191" s="357">
        <f t="shared" si="80"/>
        <v>0.40243902439024393</v>
      </c>
      <c r="Y191" s="198">
        <f t="shared" si="47"/>
        <v>84</v>
      </c>
      <c r="Z191" s="435"/>
      <c r="AC191" s="267"/>
    </row>
    <row r="192" spans="8:29" x14ac:dyDescent="0.25">
      <c r="H192" s="268" t="s">
        <v>490</v>
      </c>
      <c r="I192" s="397" t="s">
        <v>491</v>
      </c>
      <c r="J192" s="372">
        <v>44733</v>
      </c>
      <c r="K192" s="372">
        <v>44781</v>
      </c>
      <c r="L192" s="268">
        <f t="shared" si="89"/>
        <v>49</v>
      </c>
      <c r="M192" s="268" t="s">
        <v>1185</v>
      </c>
      <c r="N192" s="268">
        <v>66</v>
      </c>
      <c r="O192" s="268">
        <v>66</v>
      </c>
      <c r="P192" s="268">
        <f t="shared" si="96"/>
        <v>11760</v>
      </c>
      <c r="Q192" s="268">
        <v>24</v>
      </c>
      <c r="R192" s="268">
        <v>10</v>
      </c>
      <c r="S192" s="269">
        <f>P192</f>
        <v>11760</v>
      </c>
      <c r="T192" s="357">
        <f>S192/S190</f>
        <v>0.59756097560975607</v>
      </c>
      <c r="U192" s="359">
        <f t="shared" si="97"/>
        <v>1</v>
      </c>
      <c r="V192" s="357">
        <f>IFERROR(O192/N192,0)</f>
        <v>1</v>
      </c>
      <c r="W192" s="357">
        <f t="shared" si="98"/>
        <v>0.59756097560975607</v>
      </c>
      <c r="X192" s="357">
        <f t="shared" si="80"/>
        <v>0.59756097560975607</v>
      </c>
      <c r="Y192" s="198">
        <f t="shared" si="47"/>
        <v>66</v>
      </c>
      <c r="Z192" s="435"/>
      <c r="AC192" s="267"/>
    </row>
    <row r="193" spans="8:29" x14ac:dyDescent="0.25">
      <c r="H193" s="518" t="s">
        <v>492</v>
      </c>
      <c r="I193" s="519"/>
      <c r="J193" s="370">
        <f>J194</f>
        <v>44749</v>
      </c>
      <c r="K193" s="370">
        <v>44803</v>
      </c>
      <c r="L193" s="369">
        <f t="shared" si="89"/>
        <v>55</v>
      </c>
      <c r="M193" s="369"/>
      <c r="N193" s="369">
        <f>N194</f>
        <v>212</v>
      </c>
      <c r="O193" s="369">
        <f>O194</f>
        <v>212</v>
      </c>
      <c r="P193" s="369">
        <f>P194</f>
        <v>13200</v>
      </c>
      <c r="Q193" s="369"/>
      <c r="R193" s="369"/>
      <c r="S193" s="385">
        <f>S194</f>
        <v>13200</v>
      </c>
      <c r="T193" s="363">
        <f>S193/S176</f>
        <v>7.0395494688339944E-2</v>
      </c>
      <c r="U193" s="369"/>
      <c r="V193" s="363"/>
      <c r="W193" s="363">
        <f t="shared" ref="W193:X193" si="99">W194</f>
        <v>1</v>
      </c>
      <c r="X193" s="363">
        <f t="shared" si="99"/>
        <v>1</v>
      </c>
      <c r="Y193" s="198">
        <f t="shared" si="47"/>
        <v>0</v>
      </c>
      <c r="Z193" s="435"/>
      <c r="AC193" s="267"/>
    </row>
    <row r="194" spans="8:29" x14ac:dyDescent="0.25">
      <c r="H194" s="268" t="s">
        <v>493</v>
      </c>
      <c r="I194" s="397" t="s">
        <v>494</v>
      </c>
      <c r="J194" s="372">
        <v>44749</v>
      </c>
      <c r="K194" s="372">
        <v>44803</v>
      </c>
      <c r="L194" s="268">
        <f t="shared" si="89"/>
        <v>55</v>
      </c>
      <c r="M194" s="268" t="s">
        <v>1185</v>
      </c>
      <c r="N194" s="268">
        <v>212</v>
      </c>
      <c r="O194" s="268">
        <v>212</v>
      </c>
      <c r="P194" s="268">
        <f>L194*Q194*R194</f>
        <v>13200</v>
      </c>
      <c r="Q194" s="268">
        <v>24</v>
      </c>
      <c r="R194" s="268">
        <v>10</v>
      </c>
      <c r="S194" s="269">
        <f>P194</f>
        <v>13200</v>
      </c>
      <c r="T194" s="357">
        <f>S194/S193</f>
        <v>1</v>
      </c>
      <c r="U194" s="359">
        <f t="shared" ref="U194" si="100">IF($J194&gt;U$5,0,IF($K194&lt;U$5,1,IF(U$5=$K194,1,((U$5-$J194+1)/($K194-$J194+1)))))</f>
        <v>1</v>
      </c>
      <c r="V194" s="357">
        <f>IFERROR(O194/N194,0)</f>
        <v>1</v>
      </c>
      <c r="W194" s="357">
        <f>U194*$T194</f>
        <v>1</v>
      </c>
      <c r="X194" s="357">
        <f t="shared" si="80"/>
        <v>1</v>
      </c>
      <c r="Y194" s="198">
        <f t="shared" si="47"/>
        <v>212</v>
      </c>
      <c r="Z194" s="435"/>
      <c r="AC194" s="267"/>
    </row>
    <row r="195" spans="8:29" x14ac:dyDescent="0.25">
      <c r="H195" s="510" t="s">
        <v>1198</v>
      </c>
      <c r="I195" s="511"/>
      <c r="J195" s="392">
        <f>J196</f>
        <v>44810</v>
      </c>
      <c r="K195" s="392">
        <f>K196</f>
        <v>44926</v>
      </c>
      <c r="L195" s="368">
        <f t="shared" si="89"/>
        <v>117</v>
      </c>
      <c r="M195" s="368"/>
      <c r="N195" s="368">
        <f>N197+N198</f>
        <v>172</v>
      </c>
      <c r="O195" s="368">
        <f>O197+O198</f>
        <v>141</v>
      </c>
      <c r="P195" s="368">
        <f>P196</f>
        <v>28080</v>
      </c>
      <c r="Q195" s="368"/>
      <c r="R195" s="368"/>
      <c r="S195" s="400">
        <f>S196</f>
        <v>28080</v>
      </c>
      <c r="T195" s="356">
        <f>P195/$P$175</f>
        <v>4.5624633402496034E-2</v>
      </c>
      <c r="U195" s="368"/>
      <c r="V195" s="356"/>
      <c r="W195" s="356">
        <f>W196*T196</f>
        <v>1</v>
      </c>
      <c r="X195" s="356">
        <f>X196*T196</f>
        <v>0.88455433455433463</v>
      </c>
      <c r="Y195" s="198">
        <f t="shared" si="47"/>
        <v>0</v>
      </c>
      <c r="Z195" s="435"/>
      <c r="AC195" s="267"/>
    </row>
    <row r="196" spans="8:29" x14ac:dyDescent="0.25">
      <c r="H196" s="518" t="s">
        <v>487</v>
      </c>
      <c r="I196" s="519"/>
      <c r="J196" s="370">
        <f>J197</f>
        <v>44810</v>
      </c>
      <c r="K196" s="370">
        <f>K198</f>
        <v>44926</v>
      </c>
      <c r="L196" s="369">
        <f t="shared" ref="L196:L200" si="101">K196-J196+1</f>
        <v>117</v>
      </c>
      <c r="M196" s="369"/>
      <c r="N196" s="369">
        <f>N197+N198</f>
        <v>172</v>
      </c>
      <c r="O196" s="369">
        <f>O197+O198</f>
        <v>141</v>
      </c>
      <c r="P196" s="369">
        <f>P197+P198</f>
        <v>28080</v>
      </c>
      <c r="Q196" s="369"/>
      <c r="R196" s="369"/>
      <c r="S196" s="385">
        <f>S197+S198</f>
        <v>28080</v>
      </c>
      <c r="T196" s="363">
        <f>S196/S195</f>
        <v>1</v>
      </c>
      <c r="U196" s="369"/>
      <c r="V196" s="363"/>
      <c r="W196" s="363">
        <f t="shared" ref="W196:X196" si="102">W197+W198</f>
        <v>1</v>
      </c>
      <c r="X196" s="363">
        <f t="shared" si="102"/>
        <v>0.88455433455433463</v>
      </c>
      <c r="Y196" s="198">
        <f t="shared" si="47"/>
        <v>0</v>
      </c>
      <c r="Z196" s="435"/>
      <c r="AC196" s="267"/>
    </row>
    <row r="197" spans="8:29" x14ac:dyDescent="0.25">
      <c r="H197" s="268"/>
      <c r="I197" s="397" t="s">
        <v>1172</v>
      </c>
      <c r="J197" s="372">
        <v>44810</v>
      </c>
      <c r="K197" s="372">
        <v>44865</v>
      </c>
      <c r="L197" s="268">
        <f t="shared" si="101"/>
        <v>56</v>
      </c>
      <c r="M197" s="268" t="s">
        <v>1185</v>
      </c>
      <c r="N197" s="268">
        <v>32</v>
      </c>
      <c r="O197" s="268">
        <v>32</v>
      </c>
      <c r="P197" s="268">
        <f t="shared" ref="P197:P198" si="103">L197*Q197*R197</f>
        <v>13440</v>
      </c>
      <c r="Q197" s="268">
        <v>24</v>
      </c>
      <c r="R197" s="268">
        <v>10</v>
      </c>
      <c r="S197" s="269">
        <f>P197</f>
        <v>13440</v>
      </c>
      <c r="T197" s="358">
        <f>S197/S196</f>
        <v>0.47863247863247865</v>
      </c>
      <c r="U197" s="359">
        <f t="shared" ref="U197:U198" si="104">IF($J197&gt;U$5,0,IF($K197&lt;U$5,1,IF(U$5=$K197,1,((U$5-$J197+1)/($K197-$J197+1)))))</f>
        <v>1</v>
      </c>
      <c r="V197" s="357">
        <f>IFERROR(O197/N197,0)</f>
        <v>1</v>
      </c>
      <c r="W197" s="357">
        <f t="shared" ref="W197:X198" si="105">U197*$T197</f>
        <v>0.47863247863247865</v>
      </c>
      <c r="X197" s="357">
        <f t="shared" si="105"/>
        <v>0.47863247863247865</v>
      </c>
      <c r="Y197" s="198">
        <f t="shared" si="47"/>
        <v>32</v>
      </c>
      <c r="Z197" s="435"/>
      <c r="AC197" s="267"/>
    </row>
    <row r="198" spans="8:29" x14ac:dyDescent="0.25">
      <c r="H198" s="268"/>
      <c r="I198" s="397" t="s">
        <v>1173</v>
      </c>
      <c r="J198" s="372">
        <v>44866</v>
      </c>
      <c r="K198" s="372">
        <v>44926</v>
      </c>
      <c r="L198" s="268">
        <f t="shared" si="101"/>
        <v>61</v>
      </c>
      <c r="M198" s="268" t="s">
        <v>1185</v>
      </c>
      <c r="N198" s="268">
        <v>140</v>
      </c>
      <c r="O198" s="268">
        <v>109</v>
      </c>
      <c r="P198" s="268">
        <f t="shared" si="103"/>
        <v>14640</v>
      </c>
      <c r="Q198" s="268">
        <v>24</v>
      </c>
      <c r="R198" s="268">
        <v>10</v>
      </c>
      <c r="S198" s="269">
        <f>P198</f>
        <v>14640</v>
      </c>
      <c r="T198" s="358">
        <f>S198/S196</f>
        <v>0.5213675213675214</v>
      </c>
      <c r="U198" s="359">
        <f t="shared" si="104"/>
        <v>1</v>
      </c>
      <c r="V198" s="357">
        <f>IFERROR(O198/N198,0)</f>
        <v>0.77857142857142858</v>
      </c>
      <c r="W198" s="357">
        <f t="shared" si="105"/>
        <v>0.5213675213675214</v>
      </c>
      <c r="X198" s="357">
        <f t="shared" si="105"/>
        <v>0.40592185592185598</v>
      </c>
      <c r="Y198" s="198">
        <f t="shared" si="47"/>
        <v>140</v>
      </c>
      <c r="Z198" s="435"/>
      <c r="AC198" s="267"/>
    </row>
    <row r="199" spans="8:29" x14ac:dyDescent="0.25">
      <c r="H199" s="510" t="s">
        <v>495</v>
      </c>
      <c r="I199" s="511"/>
      <c r="J199" s="392">
        <v>44655</v>
      </c>
      <c r="K199" s="392">
        <v>45305</v>
      </c>
      <c r="L199" s="368">
        <f t="shared" si="101"/>
        <v>651</v>
      </c>
      <c r="M199" s="368"/>
      <c r="N199" s="368"/>
      <c r="O199" s="368"/>
      <c r="P199" s="368">
        <f>P200+P217+P260+P277+P284</f>
        <v>231095</v>
      </c>
      <c r="Q199" s="368"/>
      <c r="R199" s="368"/>
      <c r="S199" s="400">
        <f>S200+S217+S260+S277+S284</f>
        <v>242201</v>
      </c>
      <c r="T199" s="356">
        <f>P199/$P$175</f>
        <v>0.37548520855234402</v>
      </c>
      <c r="U199" s="368"/>
      <c r="V199" s="356"/>
      <c r="W199" s="356">
        <f>W200*T200+W217*T217+W260*T260+W277*T277+W284*T284</f>
        <v>0.98265903113529662</v>
      </c>
      <c r="X199" s="356">
        <f>X200*T200+X217*T217+X260*T260+X277*T277+X284*T284</f>
        <v>0.72529676351707228</v>
      </c>
      <c r="Y199" s="198">
        <f t="shared" si="47"/>
        <v>0</v>
      </c>
      <c r="Z199" s="435"/>
      <c r="AC199" s="267"/>
    </row>
    <row r="200" spans="8:29" x14ac:dyDescent="0.25">
      <c r="H200" s="518" t="s">
        <v>496</v>
      </c>
      <c r="I200" s="519"/>
      <c r="J200" s="370">
        <v>44719</v>
      </c>
      <c r="K200" s="370">
        <v>44804</v>
      </c>
      <c r="L200" s="369">
        <f t="shared" si="101"/>
        <v>86</v>
      </c>
      <c r="M200" s="369"/>
      <c r="N200" s="369"/>
      <c r="O200" s="369"/>
      <c r="P200" s="369">
        <f>P201+P209</f>
        <v>25440</v>
      </c>
      <c r="Q200" s="369"/>
      <c r="R200" s="369"/>
      <c r="S200" s="385">
        <f>S201+S209</f>
        <v>25440</v>
      </c>
      <c r="T200" s="363">
        <f>S200/S199</f>
        <v>0.10503672569477418</v>
      </c>
      <c r="U200" s="369"/>
      <c r="V200" s="363"/>
      <c r="W200" s="363">
        <f>(W201*T201)+(W209*T209)</f>
        <v>1</v>
      </c>
      <c r="X200" s="363">
        <f>(X201*T201)+(X209*T209)</f>
        <v>1</v>
      </c>
      <c r="Y200" s="198">
        <f t="shared" si="47"/>
        <v>0</v>
      </c>
      <c r="Z200" s="435"/>
      <c r="AC200" s="267"/>
    </row>
    <row r="201" spans="8:29" x14ac:dyDescent="0.25">
      <c r="H201" s="520" t="s">
        <v>497</v>
      </c>
      <c r="I201" s="521"/>
      <c r="J201" s="375">
        <v>44719</v>
      </c>
      <c r="K201" s="375">
        <v>44773</v>
      </c>
      <c r="L201" s="374">
        <f t="shared" ref="L201:L247" si="106">K201-J201+1</f>
        <v>55</v>
      </c>
      <c r="M201" s="374"/>
      <c r="N201" s="374"/>
      <c r="O201" s="374"/>
      <c r="P201" s="374">
        <f>P202+P203+P204+P205+P206+P207+P208</f>
        <v>14784</v>
      </c>
      <c r="Q201" s="374"/>
      <c r="R201" s="374"/>
      <c r="S201" s="386">
        <f>S202+S203+S204+S205+S206+S207+S208</f>
        <v>14784</v>
      </c>
      <c r="T201" s="360">
        <f>S201/S200</f>
        <v>0.5811320754716981</v>
      </c>
      <c r="U201" s="374"/>
      <c r="V201" s="376"/>
      <c r="W201" s="376">
        <f t="shared" ref="W201:X201" si="107">W202+W203+W204+W205+W206+W207+W208</f>
        <v>1</v>
      </c>
      <c r="X201" s="376">
        <f t="shared" si="107"/>
        <v>1</v>
      </c>
      <c r="Y201" s="198">
        <f t="shared" si="47"/>
        <v>0</v>
      </c>
      <c r="Z201" s="435"/>
      <c r="AC201" s="267"/>
    </row>
    <row r="202" spans="8:29" x14ac:dyDescent="0.25">
      <c r="H202" s="268" t="s">
        <v>498</v>
      </c>
      <c r="I202" s="397" t="s">
        <v>499</v>
      </c>
      <c r="J202" s="372">
        <v>44719</v>
      </c>
      <c r="K202" s="372">
        <v>44734</v>
      </c>
      <c r="L202" s="268">
        <f t="shared" si="106"/>
        <v>16</v>
      </c>
      <c r="M202" s="268" t="s">
        <v>1186</v>
      </c>
      <c r="N202" s="268">
        <v>1250</v>
      </c>
      <c r="O202" s="268">
        <v>1250</v>
      </c>
      <c r="P202" s="268">
        <f t="shared" ref="P202:P216" si="108">L202*Q202*R202</f>
        <v>3840</v>
      </c>
      <c r="Q202" s="268">
        <v>24</v>
      </c>
      <c r="R202" s="268">
        <v>10</v>
      </c>
      <c r="S202" s="269">
        <f t="shared" ref="S202:S208" si="109">P202</f>
        <v>3840</v>
      </c>
      <c r="T202" s="359">
        <f>S202/$S$201</f>
        <v>0.25974025974025972</v>
      </c>
      <c r="U202" s="359">
        <f t="shared" ref="U202" si="110">IF($J202&gt;U$5,0,IF($K202&lt;U$5,1,IF(U$5=$K202,1,((U$5-$J202+1)/($K202-$J202+1)))))</f>
        <v>1</v>
      </c>
      <c r="V202" s="357">
        <f t="shared" ref="V202:V208" si="111">IFERROR(O202/N202,0)</f>
        <v>1</v>
      </c>
      <c r="W202" s="357">
        <f t="shared" ref="W202:X208" si="112">U202*$T202</f>
        <v>0.25974025974025972</v>
      </c>
      <c r="X202" s="357">
        <f t="shared" si="112"/>
        <v>0.25974025974025972</v>
      </c>
      <c r="Y202" s="198">
        <f t="shared" ref="Y202:Y265" si="113">+U202*N202</f>
        <v>1250</v>
      </c>
      <c r="Z202" s="435"/>
      <c r="AC202" s="267"/>
    </row>
    <row r="203" spans="8:29" x14ac:dyDescent="0.25">
      <c r="H203" s="268" t="s">
        <v>500</v>
      </c>
      <c r="I203" s="397" t="s">
        <v>501</v>
      </c>
      <c r="J203" s="372">
        <v>44723</v>
      </c>
      <c r="K203" s="372">
        <v>44738</v>
      </c>
      <c r="L203" s="268">
        <f t="shared" si="106"/>
        <v>16</v>
      </c>
      <c r="M203" s="268" t="s">
        <v>1186</v>
      </c>
      <c r="N203" s="268">
        <v>130</v>
      </c>
      <c r="O203" s="268">
        <v>130</v>
      </c>
      <c r="P203" s="268">
        <f t="shared" si="108"/>
        <v>2304</v>
      </c>
      <c r="Q203" s="268">
        <v>12</v>
      </c>
      <c r="R203" s="268">
        <v>12</v>
      </c>
      <c r="S203" s="269">
        <f t="shared" si="109"/>
        <v>2304</v>
      </c>
      <c r="T203" s="359">
        <f t="shared" ref="T203:T208" si="114">S203/$S$201</f>
        <v>0.15584415584415584</v>
      </c>
      <c r="U203" s="359">
        <f>IF($J203&gt;U$5,0,IF($K203&lt;U$5,1,IF(U$5=$K203,1,((U$5-$J203+1)/($K203-$J203+1)))))</f>
        <v>1</v>
      </c>
      <c r="V203" s="357">
        <f t="shared" si="111"/>
        <v>1</v>
      </c>
      <c r="W203" s="357">
        <f t="shared" si="112"/>
        <v>0.15584415584415584</v>
      </c>
      <c r="X203" s="357">
        <f t="shared" si="112"/>
        <v>0.15584415584415584</v>
      </c>
      <c r="Y203" s="198">
        <f t="shared" si="113"/>
        <v>130</v>
      </c>
      <c r="Z203" s="435"/>
      <c r="AC203" s="267"/>
    </row>
    <row r="204" spans="8:29" x14ac:dyDescent="0.25">
      <c r="H204" s="268" t="s">
        <v>502</v>
      </c>
      <c r="I204" s="397" t="s">
        <v>503</v>
      </c>
      <c r="J204" s="372">
        <v>44731</v>
      </c>
      <c r="K204" s="372">
        <v>44739</v>
      </c>
      <c r="L204" s="268">
        <f t="shared" si="106"/>
        <v>9</v>
      </c>
      <c r="M204" s="268" t="s">
        <v>1186</v>
      </c>
      <c r="N204" s="268">
        <v>130</v>
      </c>
      <c r="O204" s="268">
        <v>130</v>
      </c>
      <c r="P204" s="268">
        <f t="shared" si="108"/>
        <v>1620</v>
      </c>
      <c r="Q204" s="268">
        <v>12</v>
      </c>
      <c r="R204" s="268">
        <v>15</v>
      </c>
      <c r="S204" s="269">
        <f t="shared" si="109"/>
        <v>1620</v>
      </c>
      <c r="T204" s="359">
        <f t="shared" si="114"/>
        <v>0.10957792207792208</v>
      </c>
      <c r="U204" s="359">
        <f t="shared" ref="U204:U216" si="115">IF($J204&gt;U$5,0,IF($K204&lt;U$5,1,IF(U$5=$K204,1,((U$5-$J204+1)/($K204-$J204+1)))))</f>
        <v>1</v>
      </c>
      <c r="V204" s="357">
        <f t="shared" si="111"/>
        <v>1</v>
      </c>
      <c r="W204" s="357">
        <f t="shared" si="112"/>
        <v>0.10957792207792208</v>
      </c>
      <c r="X204" s="357">
        <f t="shared" si="112"/>
        <v>0.10957792207792208</v>
      </c>
      <c r="Y204" s="198">
        <f t="shared" si="113"/>
        <v>130</v>
      </c>
      <c r="Z204" s="435"/>
      <c r="AC204" s="267"/>
    </row>
    <row r="205" spans="8:29" x14ac:dyDescent="0.25">
      <c r="H205" s="268" t="s">
        <v>504</v>
      </c>
      <c r="I205" s="397" t="s">
        <v>505</v>
      </c>
      <c r="J205" s="372">
        <v>44739</v>
      </c>
      <c r="K205" s="372">
        <v>44754</v>
      </c>
      <c r="L205" s="268">
        <f t="shared" si="106"/>
        <v>16</v>
      </c>
      <c r="M205" s="268" t="s">
        <v>1186</v>
      </c>
      <c r="N205" s="268">
        <v>65</v>
      </c>
      <c r="O205" s="268">
        <v>65</v>
      </c>
      <c r="P205" s="268">
        <f t="shared" si="108"/>
        <v>1920</v>
      </c>
      <c r="Q205" s="268">
        <v>12</v>
      </c>
      <c r="R205" s="268">
        <v>10</v>
      </c>
      <c r="S205" s="269">
        <f t="shared" si="109"/>
        <v>1920</v>
      </c>
      <c r="T205" s="359">
        <f t="shared" si="114"/>
        <v>0.12987012987012986</v>
      </c>
      <c r="U205" s="359">
        <f t="shared" si="115"/>
        <v>1</v>
      </c>
      <c r="V205" s="357">
        <f t="shared" si="111"/>
        <v>1</v>
      </c>
      <c r="W205" s="357">
        <f t="shared" si="112"/>
        <v>0.12987012987012986</v>
      </c>
      <c r="X205" s="357">
        <f t="shared" si="112"/>
        <v>0.12987012987012986</v>
      </c>
      <c r="Y205" s="198">
        <f t="shared" si="113"/>
        <v>65</v>
      </c>
      <c r="Z205" s="435"/>
      <c r="AC205" s="267"/>
    </row>
    <row r="206" spans="8:29" x14ac:dyDescent="0.25">
      <c r="H206" s="268" t="s">
        <v>506</v>
      </c>
      <c r="I206" s="397" t="s">
        <v>507</v>
      </c>
      <c r="J206" s="372">
        <v>44748</v>
      </c>
      <c r="K206" s="372">
        <v>44756</v>
      </c>
      <c r="L206" s="268">
        <f t="shared" si="106"/>
        <v>9</v>
      </c>
      <c r="M206" s="268" t="s">
        <v>1186</v>
      </c>
      <c r="N206" s="268">
        <v>130</v>
      </c>
      <c r="O206" s="268">
        <v>130</v>
      </c>
      <c r="P206" s="268">
        <f t="shared" si="108"/>
        <v>1620</v>
      </c>
      <c r="Q206" s="268">
        <v>12</v>
      </c>
      <c r="R206" s="268">
        <v>15</v>
      </c>
      <c r="S206" s="269">
        <f t="shared" si="109"/>
        <v>1620</v>
      </c>
      <c r="T206" s="359">
        <f t="shared" si="114"/>
        <v>0.10957792207792208</v>
      </c>
      <c r="U206" s="359">
        <f t="shared" si="115"/>
        <v>1</v>
      </c>
      <c r="V206" s="357">
        <f t="shared" si="111"/>
        <v>1</v>
      </c>
      <c r="W206" s="357">
        <f t="shared" si="112"/>
        <v>0.10957792207792208</v>
      </c>
      <c r="X206" s="357">
        <f t="shared" si="112"/>
        <v>0.10957792207792208</v>
      </c>
      <c r="Y206" s="198">
        <f t="shared" si="113"/>
        <v>130</v>
      </c>
      <c r="Z206" s="435"/>
      <c r="AC206" s="267"/>
    </row>
    <row r="207" spans="8:29" x14ac:dyDescent="0.25">
      <c r="H207" s="268" t="s">
        <v>508</v>
      </c>
      <c r="I207" s="397" t="s">
        <v>509</v>
      </c>
      <c r="J207" s="372">
        <v>44755</v>
      </c>
      <c r="K207" s="372">
        <v>44770</v>
      </c>
      <c r="L207" s="268">
        <f t="shared" si="106"/>
        <v>16</v>
      </c>
      <c r="M207" s="268" t="s">
        <v>1186</v>
      </c>
      <c r="N207" s="268">
        <v>65</v>
      </c>
      <c r="O207" s="268">
        <v>65</v>
      </c>
      <c r="P207" s="268">
        <f t="shared" si="108"/>
        <v>1920</v>
      </c>
      <c r="Q207" s="268">
        <v>12</v>
      </c>
      <c r="R207" s="268">
        <v>10</v>
      </c>
      <c r="S207" s="269">
        <f t="shared" si="109"/>
        <v>1920</v>
      </c>
      <c r="T207" s="359">
        <f t="shared" si="114"/>
        <v>0.12987012987012986</v>
      </c>
      <c r="U207" s="359">
        <f t="shared" si="115"/>
        <v>1</v>
      </c>
      <c r="V207" s="357">
        <f t="shared" si="111"/>
        <v>1</v>
      </c>
      <c r="W207" s="357">
        <f t="shared" si="112"/>
        <v>0.12987012987012986</v>
      </c>
      <c r="X207" s="357">
        <f t="shared" si="112"/>
        <v>0.12987012987012986</v>
      </c>
      <c r="Y207" s="198">
        <f t="shared" si="113"/>
        <v>65</v>
      </c>
      <c r="Z207" s="435"/>
      <c r="AC207" s="267"/>
    </row>
    <row r="208" spans="8:29" x14ac:dyDescent="0.25">
      <c r="H208" s="268" t="s">
        <v>510</v>
      </c>
      <c r="I208" s="397" t="s">
        <v>511</v>
      </c>
      <c r="J208" s="372">
        <v>44761</v>
      </c>
      <c r="K208" s="372">
        <v>44773</v>
      </c>
      <c r="L208" s="268">
        <f t="shared" si="106"/>
        <v>13</v>
      </c>
      <c r="M208" s="268" t="s">
        <v>1186</v>
      </c>
      <c r="N208" s="268">
        <v>65</v>
      </c>
      <c r="O208" s="268">
        <v>65</v>
      </c>
      <c r="P208" s="268">
        <f t="shared" si="108"/>
        <v>1560</v>
      </c>
      <c r="Q208" s="268">
        <v>12</v>
      </c>
      <c r="R208" s="268">
        <v>10</v>
      </c>
      <c r="S208" s="269">
        <f t="shared" si="109"/>
        <v>1560</v>
      </c>
      <c r="T208" s="359">
        <f t="shared" si="114"/>
        <v>0.10551948051948051</v>
      </c>
      <c r="U208" s="359">
        <f t="shared" si="115"/>
        <v>1</v>
      </c>
      <c r="V208" s="357">
        <f t="shared" si="111"/>
        <v>1</v>
      </c>
      <c r="W208" s="357">
        <f t="shared" si="112"/>
        <v>0.10551948051948051</v>
      </c>
      <c r="X208" s="357">
        <f t="shared" si="112"/>
        <v>0.10551948051948051</v>
      </c>
      <c r="Y208" s="198">
        <f t="shared" si="113"/>
        <v>65</v>
      </c>
      <c r="Z208" s="435"/>
      <c r="AC208" s="267"/>
    </row>
    <row r="209" spans="8:29" x14ac:dyDescent="0.25">
      <c r="H209" s="520" t="s">
        <v>512</v>
      </c>
      <c r="I209" s="521"/>
      <c r="J209" s="375">
        <v>44740</v>
      </c>
      <c r="K209" s="375">
        <v>44804</v>
      </c>
      <c r="L209" s="374">
        <f t="shared" si="106"/>
        <v>65</v>
      </c>
      <c r="M209" s="374"/>
      <c r="N209" s="374"/>
      <c r="O209" s="374"/>
      <c r="P209" s="374">
        <f>P210+P211+P212+P213+P214+P215+P216</f>
        <v>10656</v>
      </c>
      <c r="Q209" s="374"/>
      <c r="R209" s="374"/>
      <c r="S209" s="386">
        <f>S210+S211+S212+S213+S214+S215+S216</f>
        <v>10656</v>
      </c>
      <c r="T209" s="360">
        <f>S209/$S$200</f>
        <v>0.4188679245283019</v>
      </c>
      <c r="U209" s="374"/>
      <c r="V209" s="376"/>
      <c r="W209" s="376">
        <f t="shared" ref="W209:X209" si="116">W210+W211+W212+W213+W214+W215+W216</f>
        <v>0.99999999999999989</v>
      </c>
      <c r="X209" s="376">
        <f t="shared" si="116"/>
        <v>0.99999999999999989</v>
      </c>
      <c r="Y209" s="198">
        <f t="shared" si="113"/>
        <v>0</v>
      </c>
      <c r="Z209" s="435"/>
      <c r="AC209" s="267"/>
    </row>
    <row r="210" spans="8:29" x14ac:dyDescent="0.25">
      <c r="H210" s="268" t="s">
        <v>513</v>
      </c>
      <c r="I210" s="397" t="s">
        <v>499</v>
      </c>
      <c r="J210" s="372">
        <v>44740</v>
      </c>
      <c r="K210" s="372">
        <v>44760</v>
      </c>
      <c r="L210" s="268">
        <f t="shared" si="106"/>
        <v>21</v>
      </c>
      <c r="M210" s="268" t="s">
        <v>1186</v>
      </c>
      <c r="N210" s="268">
        <v>1625</v>
      </c>
      <c r="O210" s="268">
        <v>1625</v>
      </c>
      <c r="P210" s="268">
        <f t="shared" si="108"/>
        <v>1512</v>
      </c>
      <c r="Q210" s="268">
        <v>24</v>
      </c>
      <c r="R210" s="268">
        <v>3</v>
      </c>
      <c r="S210" s="269">
        <f t="shared" ref="S210:S216" si="117">P210</f>
        <v>1512</v>
      </c>
      <c r="T210" s="359">
        <f>S210/$S$209</f>
        <v>0.14189189189189189</v>
      </c>
      <c r="U210" s="359">
        <f t="shared" si="115"/>
        <v>1</v>
      </c>
      <c r="V210" s="357">
        <f t="shared" ref="V210:V216" si="118">IFERROR(O210/N210,0)</f>
        <v>1</v>
      </c>
      <c r="W210" s="357">
        <f t="shared" ref="W210:X216" si="119">U210*$T210</f>
        <v>0.14189189189189189</v>
      </c>
      <c r="X210" s="357">
        <f t="shared" si="119"/>
        <v>0.14189189189189189</v>
      </c>
      <c r="Y210" s="198">
        <f t="shared" si="113"/>
        <v>1625</v>
      </c>
      <c r="Z210" s="435"/>
      <c r="AC210" s="267"/>
    </row>
    <row r="211" spans="8:29" x14ac:dyDescent="0.25">
      <c r="H211" s="268" t="s">
        <v>514</v>
      </c>
      <c r="I211" s="397" t="s">
        <v>515</v>
      </c>
      <c r="J211" s="372">
        <v>44755</v>
      </c>
      <c r="K211" s="372">
        <v>44770</v>
      </c>
      <c r="L211" s="268">
        <f t="shared" si="106"/>
        <v>16</v>
      </c>
      <c r="M211" s="268" t="s">
        <v>1186</v>
      </c>
      <c r="N211" s="268">
        <v>166.25</v>
      </c>
      <c r="O211" s="268">
        <v>166.25</v>
      </c>
      <c r="P211" s="268">
        <f t="shared" si="108"/>
        <v>2880</v>
      </c>
      <c r="Q211" s="268">
        <v>12</v>
      </c>
      <c r="R211" s="268">
        <v>15</v>
      </c>
      <c r="S211" s="269">
        <f t="shared" si="117"/>
        <v>2880</v>
      </c>
      <c r="T211" s="359">
        <f t="shared" ref="T211:T216" si="120">S211/$S$209</f>
        <v>0.27027027027027029</v>
      </c>
      <c r="U211" s="359">
        <f t="shared" si="115"/>
        <v>1</v>
      </c>
      <c r="V211" s="357">
        <f t="shared" si="118"/>
        <v>1</v>
      </c>
      <c r="W211" s="357">
        <f t="shared" si="119"/>
        <v>0.27027027027027029</v>
      </c>
      <c r="X211" s="357">
        <f t="shared" si="119"/>
        <v>0.27027027027027029</v>
      </c>
      <c r="Y211" s="198">
        <f t="shared" si="113"/>
        <v>166.25</v>
      </c>
      <c r="Z211" s="435"/>
      <c r="AC211" s="267"/>
    </row>
    <row r="212" spans="8:29" x14ac:dyDescent="0.25">
      <c r="H212" s="268" t="s">
        <v>516</v>
      </c>
      <c r="I212" s="397" t="s">
        <v>517</v>
      </c>
      <c r="J212" s="372">
        <v>44766</v>
      </c>
      <c r="K212" s="372">
        <v>44772</v>
      </c>
      <c r="L212" s="268">
        <f t="shared" si="106"/>
        <v>7</v>
      </c>
      <c r="M212" s="268" t="s">
        <v>1186</v>
      </c>
      <c r="N212" s="268">
        <v>166.25</v>
      </c>
      <c r="O212" s="268">
        <v>166.25</v>
      </c>
      <c r="P212" s="268">
        <f t="shared" si="108"/>
        <v>1260</v>
      </c>
      <c r="Q212" s="268">
        <v>12</v>
      </c>
      <c r="R212" s="268">
        <v>15</v>
      </c>
      <c r="S212" s="269">
        <f t="shared" si="117"/>
        <v>1260</v>
      </c>
      <c r="T212" s="359">
        <f t="shared" si="120"/>
        <v>0.11824324324324324</v>
      </c>
      <c r="U212" s="359">
        <f t="shared" si="115"/>
        <v>1</v>
      </c>
      <c r="V212" s="357">
        <f t="shared" si="118"/>
        <v>1</v>
      </c>
      <c r="W212" s="357">
        <f t="shared" si="119"/>
        <v>0.11824324324324324</v>
      </c>
      <c r="X212" s="357">
        <f t="shared" si="119"/>
        <v>0.11824324324324324</v>
      </c>
      <c r="Y212" s="198">
        <f t="shared" si="113"/>
        <v>166.25</v>
      </c>
      <c r="Z212" s="435"/>
      <c r="AC212" s="267"/>
    </row>
    <row r="213" spans="8:29" x14ac:dyDescent="0.25">
      <c r="H213" s="268" t="s">
        <v>518</v>
      </c>
      <c r="I213" s="397" t="s">
        <v>519</v>
      </c>
      <c r="J213" s="372">
        <v>44772</v>
      </c>
      <c r="K213" s="372">
        <v>44787</v>
      </c>
      <c r="L213" s="268">
        <f t="shared" si="106"/>
        <v>16</v>
      </c>
      <c r="M213" s="268" t="s">
        <v>1186</v>
      </c>
      <c r="N213" s="268">
        <v>83.125</v>
      </c>
      <c r="O213" s="268">
        <v>83.125</v>
      </c>
      <c r="P213" s="268">
        <f t="shared" si="108"/>
        <v>1536</v>
      </c>
      <c r="Q213" s="268">
        <v>12</v>
      </c>
      <c r="R213" s="268">
        <v>8</v>
      </c>
      <c r="S213" s="269">
        <f t="shared" si="117"/>
        <v>1536</v>
      </c>
      <c r="T213" s="359">
        <f t="shared" si="120"/>
        <v>0.14414414414414414</v>
      </c>
      <c r="U213" s="359">
        <f t="shared" si="115"/>
        <v>1</v>
      </c>
      <c r="V213" s="357">
        <f t="shared" si="118"/>
        <v>1</v>
      </c>
      <c r="W213" s="357">
        <f t="shared" si="119"/>
        <v>0.14414414414414414</v>
      </c>
      <c r="X213" s="357">
        <f t="shared" si="119"/>
        <v>0.14414414414414414</v>
      </c>
      <c r="Y213" s="198">
        <f t="shared" si="113"/>
        <v>83.125</v>
      </c>
      <c r="Z213" s="435"/>
      <c r="AC213" s="267"/>
    </row>
    <row r="214" spans="8:29" x14ac:dyDescent="0.25">
      <c r="H214" s="268" t="s">
        <v>520</v>
      </c>
      <c r="I214" s="397" t="s">
        <v>507</v>
      </c>
      <c r="J214" s="372">
        <v>44783</v>
      </c>
      <c r="K214" s="372">
        <v>44789</v>
      </c>
      <c r="L214" s="268">
        <f t="shared" si="106"/>
        <v>7</v>
      </c>
      <c r="M214" s="268" t="s">
        <v>1186</v>
      </c>
      <c r="N214" s="268">
        <v>166.25</v>
      </c>
      <c r="O214" s="268">
        <v>166.25</v>
      </c>
      <c r="P214" s="268">
        <f t="shared" si="108"/>
        <v>1260</v>
      </c>
      <c r="Q214" s="268">
        <v>12</v>
      </c>
      <c r="R214" s="268">
        <v>15</v>
      </c>
      <c r="S214" s="269">
        <f t="shared" si="117"/>
        <v>1260</v>
      </c>
      <c r="T214" s="359">
        <f t="shared" si="120"/>
        <v>0.11824324324324324</v>
      </c>
      <c r="U214" s="359">
        <f t="shared" si="115"/>
        <v>1</v>
      </c>
      <c r="V214" s="357">
        <f t="shared" si="118"/>
        <v>1</v>
      </c>
      <c r="W214" s="357">
        <f t="shared" si="119"/>
        <v>0.11824324324324324</v>
      </c>
      <c r="X214" s="357">
        <f t="shared" si="119"/>
        <v>0.11824324324324324</v>
      </c>
      <c r="Y214" s="198">
        <f t="shared" si="113"/>
        <v>166.25</v>
      </c>
      <c r="Z214" s="435"/>
      <c r="AC214" s="267"/>
    </row>
    <row r="215" spans="8:29" x14ac:dyDescent="0.25">
      <c r="H215" s="268" t="s">
        <v>521</v>
      </c>
      <c r="I215" s="397" t="s">
        <v>522</v>
      </c>
      <c r="J215" s="372">
        <v>44787</v>
      </c>
      <c r="K215" s="372">
        <v>44802</v>
      </c>
      <c r="L215" s="268">
        <f t="shared" si="106"/>
        <v>16</v>
      </c>
      <c r="M215" s="268" t="s">
        <v>1186</v>
      </c>
      <c r="N215" s="268">
        <v>83.125</v>
      </c>
      <c r="O215" s="268">
        <v>83.125</v>
      </c>
      <c r="P215" s="268">
        <f t="shared" si="108"/>
        <v>1536</v>
      </c>
      <c r="Q215" s="268">
        <v>12</v>
      </c>
      <c r="R215" s="268">
        <v>8</v>
      </c>
      <c r="S215" s="269">
        <f t="shared" si="117"/>
        <v>1536</v>
      </c>
      <c r="T215" s="359">
        <f t="shared" si="120"/>
        <v>0.14414414414414414</v>
      </c>
      <c r="U215" s="359">
        <f t="shared" si="115"/>
        <v>1</v>
      </c>
      <c r="V215" s="357">
        <f t="shared" si="118"/>
        <v>1</v>
      </c>
      <c r="W215" s="357">
        <f t="shared" si="119"/>
        <v>0.14414414414414414</v>
      </c>
      <c r="X215" s="357">
        <f t="shared" si="119"/>
        <v>0.14414414414414414</v>
      </c>
      <c r="Y215" s="198">
        <f t="shared" si="113"/>
        <v>83.125</v>
      </c>
      <c r="Z215" s="435"/>
      <c r="AC215" s="267"/>
    </row>
    <row r="216" spans="8:29" x14ac:dyDescent="0.25">
      <c r="H216" s="268" t="s">
        <v>523</v>
      </c>
      <c r="I216" s="397" t="s">
        <v>524</v>
      </c>
      <c r="J216" s="372">
        <v>44798</v>
      </c>
      <c r="K216" s="372">
        <v>44804</v>
      </c>
      <c r="L216" s="268">
        <f t="shared" si="106"/>
        <v>7</v>
      </c>
      <c r="M216" s="268" t="s">
        <v>1186</v>
      </c>
      <c r="N216" s="268">
        <v>83.125</v>
      </c>
      <c r="O216" s="268">
        <v>83.125</v>
      </c>
      <c r="P216" s="268">
        <f t="shared" si="108"/>
        <v>672</v>
      </c>
      <c r="Q216" s="268">
        <v>12</v>
      </c>
      <c r="R216" s="268">
        <v>8</v>
      </c>
      <c r="S216" s="269">
        <f t="shared" si="117"/>
        <v>672</v>
      </c>
      <c r="T216" s="359">
        <f t="shared" si="120"/>
        <v>6.3063063063063057E-2</v>
      </c>
      <c r="U216" s="359">
        <f t="shared" si="115"/>
        <v>1</v>
      </c>
      <c r="V216" s="357">
        <f t="shared" si="118"/>
        <v>1</v>
      </c>
      <c r="W216" s="357">
        <f t="shared" si="119"/>
        <v>6.3063063063063057E-2</v>
      </c>
      <c r="X216" s="357">
        <f t="shared" si="119"/>
        <v>6.3063063063063057E-2</v>
      </c>
      <c r="Y216" s="198">
        <f t="shared" si="113"/>
        <v>83.125</v>
      </c>
      <c r="Z216" s="435"/>
      <c r="AC216" s="267"/>
    </row>
    <row r="217" spans="8:29" x14ac:dyDescent="0.25">
      <c r="H217" s="518" t="s">
        <v>525</v>
      </c>
      <c r="I217" s="519"/>
      <c r="J217" s="370">
        <v>44727</v>
      </c>
      <c r="K217" s="370">
        <v>45305</v>
      </c>
      <c r="L217" s="369">
        <f t="shared" si="106"/>
        <v>579</v>
      </c>
      <c r="M217" s="369"/>
      <c r="N217" s="369"/>
      <c r="O217" s="369"/>
      <c r="P217" s="369">
        <f>P218+P221+P228+P231+P234+P241+P246</f>
        <v>148543</v>
      </c>
      <c r="Q217" s="369"/>
      <c r="R217" s="369"/>
      <c r="S217" s="385">
        <f>S218+S221+S228+S231+S234+S241+S246</f>
        <v>159649</v>
      </c>
      <c r="T217" s="363">
        <f>S217/S199</f>
        <v>0.65915912816214628</v>
      </c>
      <c r="U217" s="369"/>
      <c r="V217" s="363"/>
      <c r="W217" s="363">
        <f>W218*T218+W221*T221+W228*T228+W231*T231+W234*T234+W241*T241+W246*T246</f>
        <v>0.97369228745560576</v>
      </c>
      <c r="X217" s="363">
        <f>X218*T218+X221*T221+X228*T228+X231*T231+X234*T234+X241*T241+X246*T246</f>
        <v>0.67329955978802514</v>
      </c>
      <c r="Y217" s="198">
        <f t="shared" si="113"/>
        <v>0</v>
      </c>
      <c r="Z217" s="435"/>
      <c r="AC217" s="267"/>
    </row>
    <row r="218" spans="8:29" x14ac:dyDescent="0.25">
      <c r="H218" s="520" t="s">
        <v>526</v>
      </c>
      <c r="I218" s="521"/>
      <c r="J218" s="375">
        <v>44727</v>
      </c>
      <c r="K218" s="375">
        <v>44819</v>
      </c>
      <c r="L218" s="374">
        <f t="shared" si="106"/>
        <v>93</v>
      </c>
      <c r="M218" s="374"/>
      <c r="N218" s="374"/>
      <c r="O218" s="374"/>
      <c r="P218" s="374">
        <f>P219+P220</f>
        <v>17340</v>
      </c>
      <c r="Q218" s="374"/>
      <c r="R218" s="374"/>
      <c r="S218" s="386">
        <f>S219+S220</f>
        <v>17340</v>
      </c>
      <c r="T218" s="360">
        <f>S218/S217</f>
        <v>0.10861327036185632</v>
      </c>
      <c r="U218" s="374"/>
      <c r="V218" s="376"/>
      <c r="W218" s="376">
        <f>W219+W220</f>
        <v>1</v>
      </c>
      <c r="X218" s="376">
        <f>X219+X220</f>
        <v>1</v>
      </c>
      <c r="Y218" s="198">
        <f t="shared" si="113"/>
        <v>0</v>
      </c>
      <c r="Z218" s="435"/>
      <c r="AC218" s="267"/>
    </row>
    <row r="219" spans="8:29" x14ac:dyDescent="0.25">
      <c r="H219" s="268" t="s">
        <v>527</v>
      </c>
      <c r="I219" s="397" t="s">
        <v>528</v>
      </c>
      <c r="J219" s="372">
        <v>44727</v>
      </c>
      <c r="K219" s="372">
        <v>44761</v>
      </c>
      <c r="L219" s="268">
        <f t="shared" si="106"/>
        <v>35</v>
      </c>
      <c r="M219" s="268" t="s">
        <v>1186</v>
      </c>
      <c r="N219" s="268">
        <v>3750</v>
      </c>
      <c r="O219" s="268">
        <v>3750</v>
      </c>
      <c r="P219" s="268">
        <f t="shared" ref="P219:P220" si="121">L219*Q219*R219</f>
        <v>1680</v>
      </c>
      <c r="Q219" s="268">
        <v>24</v>
      </c>
      <c r="R219" s="268">
        <v>2</v>
      </c>
      <c r="S219" s="269">
        <f>P219</f>
        <v>1680</v>
      </c>
      <c r="T219" s="359">
        <f>S219/S218</f>
        <v>9.6885813148788927E-2</v>
      </c>
      <c r="U219" s="359">
        <f t="shared" ref="U219:U220" si="122">IF($J219&gt;U$5,0,IF($K219&lt;U$5,1,IF(U$5=$K219,1,((U$5-$J219+1)/($K219-$J219+1)))))</f>
        <v>1</v>
      </c>
      <c r="V219" s="357">
        <f>IFERROR(O219/N219,0)</f>
        <v>1</v>
      </c>
      <c r="W219" s="357">
        <f t="shared" ref="W219:X220" si="123">U219*$T219</f>
        <v>9.6885813148788927E-2</v>
      </c>
      <c r="X219" s="357">
        <f t="shared" si="123"/>
        <v>9.6885813148788927E-2</v>
      </c>
      <c r="Y219" s="198">
        <f t="shared" si="113"/>
        <v>3750</v>
      </c>
      <c r="Z219" s="435"/>
      <c r="AC219" s="267"/>
    </row>
    <row r="220" spans="8:29" x14ac:dyDescent="0.25">
      <c r="H220" s="268" t="s">
        <v>529</v>
      </c>
      <c r="I220" s="397" t="s">
        <v>530</v>
      </c>
      <c r="J220" s="372">
        <v>44733</v>
      </c>
      <c r="K220" s="372">
        <v>44819</v>
      </c>
      <c r="L220" s="268">
        <f t="shared" si="106"/>
        <v>87</v>
      </c>
      <c r="M220" s="268" t="s">
        <v>1186</v>
      </c>
      <c r="N220" s="268">
        <v>1776.3</v>
      </c>
      <c r="O220" s="268">
        <v>1776.3</v>
      </c>
      <c r="P220" s="268">
        <f t="shared" si="121"/>
        <v>15660</v>
      </c>
      <c r="Q220" s="268">
        <v>12</v>
      </c>
      <c r="R220" s="268">
        <v>15</v>
      </c>
      <c r="S220" s="269">
        <f>P220</f>
        <v>15660</v>
      </c>
      <c r="T220" s="359">
        <f>S220/S218</f>
        <v>0.90311418685121103</v>
      </c>
      <c r="U220" s="359">
        <f t="shared" si="122"/>
        <v>1</v>
      </c>
      <c r="V220" s="357">
        <f>IFERROR(O220/N220,0)</f>
        <v>1</v>
      </c>
      <c r="W220" s="357">
        <f t="shared" si="123"/>
        <v>0.90311418685121103</v>
      </c>
      <c r="X220" s="357">
        <f t="shared" si="123"/>
        <v>0.90311418685121103</v>
      </c>
      <c r="Y220" s="198">
        <f t="shared" si="113"/>
        <v>1776.3</v>
      </c>
      <c r="Z220" s="435"/>
      <c r="AC220" s="267"/>
    </row>
    <row r="221" spans="8:29" x14ac:dyDescent="0.25">
      <c r="H221" s="520" t="s">
        <v>531</v>
      </c>
      <c r="I221" s="521"/>
      <c r="J221" s="375">
        <v>44842</v>
      </c>
      <c r="K221" s="375">
        <v>44999</v>
      </c>
      <c r="L221" s="374">
        <f t="shared" si="106"/>
        <v>158</v>
      </c>
      <c r="M221" s="374"/>
      <c r="N221" s="374"/>
      <c r="O221" s="374"/>
      <c r="P221" s="374">
        <f>P222+P223+P224+P225+P226+P227</f>
        <v>33010</v>
      </c>
      <c r="Q221" s="374"/>
      <c r="R221" s="374"/>
      <c r="S221" s="386">
        <f>S222+S223+S224+S225+S226+S227</f>
        <v>33010</v>
      </c>
      <c r="T221" s="376">
        <f>S221/S217</f>
        <v>0.20676609311677493</v>
      </c>
      <c r="U221" s="374"/>
      <c r="V221" s="376"/>
      <c r="W221" s="376">
        <f>W222+W223+W224+W225+W226+W227</f>
        <v>0.99999999999999989</v>
      </c>
      <c r="X221" s="376">
        <f>X222+X223+X224+X225+X226+X227</f>
        <v>0.84966679084207164</v>
      </c>
      <c r="Y221" s="198">
        <f t="shared" si="113"/>
        <v>0</v>
      </c>
      <c r="Z221" s="435"/>
      <c r="AC221" s="267"/>
    </row>
    <row r="222" spans="8:29" x14ac:dyDescent="0.25">
      <c r="H222" s="268" t="s">
        <v>532</v>
      </c>
      <c r="I222" s="397" t="s">
        <v>533</v>
      </c>
      <c r="J222" s="372">
        <v>44871</v>
      </c>
      <c r="K222" s="372">
        <v>44905</v>
      </c>
      <c r="L222" s="268">
        <f t="shared" si="106"/>
        <v>35</v>
      </c>
      <c r="M222" s="268" t="s">
        <v>1186</v>
      </c>
      <c r="N222" s="268">
        <v>7500</v>
      </c>
      <c r="O222" s="268">
        <v>7500</v>
      </c>
      <c r="P222" s="268">
        <f t="shared" ref="P222" si="124">L222*Q222*R222</f>
        <v>1680</v>
      </c>
      <c r="Q222" s="268">
        <v>24</v>
      </c>
      <c r="R222" s="268">
        <v>2</v>
      </c>
      <c r="S222" s="269">
        <f t="shared" ref="S222:S227" si="125">P222</f>
        <v>1680</v>
      </c>
      <c r="T222" s="357">
        <f>S222/$S$221</f>
        <v>5.0893668585277191E-2</v>
      </c>
      <c r="U222" s="359">
        <f t="shared" ref="U222:U227" si="126">IF($J222&gt;U$5,0,IF($K222&lt;U$5,1,IF(U$5=$K222,1,((U$5-$J222+1)/($K222-$J222+1)))))</f>
        <v>1</v>
      </c>
      <c r="V222" s="357">
        <f t="shared" ref="V222:V227" si="127">IFERROR(O222/N222,0)</f>
        <v>1</v>
      </c>
      <c r="W222" s="357">
        <f t="shared" ref="W222:X227" si="128">U222*$T222</f>
        <v>5.0893668585277191E-2</v>
      </c>
      <c r="X222" s="357">
        <f t="shared" si="128"/>
        <v>5.0893668585277191E-2</v>
      </c>
      <c r="Y222" s="198">
        <f t="shared" si="113"/>
        <v>7500</v>
      </c>
      <c r="Z222" s="435"/>
      <c r="AC222" s="267"/>
    </row>
    <row r="223" spans="8:29" x14ac:dyDescent="0.25">
      <c r="H223" s="268" t="s">
        <v>534</v>
      </c>
      <c r="I223" s="397" t="s">
        <v>1188</v>
      </c>
      <c r="J223" s="372">
        <v>44842</v>
      </c>
      <c r="K223" s="372">
        <v>44910</v>
      </c>
      <c r="L223" s="268">
        <f t="shared" si="106"/>
        <v>69</v>
      </c>
      <c r="M223" s="268" t="s">
        <v>1186</v>
      </c>
      <c r="N223" s="268">
        <f>N222*10/100</f>
        <v>750</v>
      </c>
      <c r="O223" s="268">
        <v>600</v>
      </c>
      <c r="P223" s="268">
        <f>L223*Q223*R223</f>
        <v>5520</v>
      </c>
      <c r="Q223" s="268">
        <v>10</v>
      </c>
      <c r="R223" s="268">
        <v>8</v>
      </c>
      <c r="S223" s="269">
        <f t="shared" si="125"/>
        <v>5520</v>
      </c>
      <c r="T223" s="357">
        <f t="shared" ref="T223:T227" si="129">S223/$S$221</f>
        <v>0.16722205392305362</v>
      </c>
      <c r="U223" s="359">
        <f t="shared" si="126"/>
        <v>1</v>
      </c>
      <c r="V223" s="357">
        <f t="shared" si="127"/>
        <v>0.8</v>
      </c>
      <c r="W223" s="357">
        <f t="shared" si="128"/>
        <v>0.16722205392305362</v>
      </c>
      <c r="X223" s="357">
        <f t="shared" si="128"/>
        <v>0.1337776431384429</v>
      </c>
      <c r="Y223" s="198">
        <f t="shared" si="113"/>
        <v>750</v>
      </c>
      <c r="Z223" s="435"/>
      <c r="AC223" s="267"/>
    </row>
    <row r="224" spans="8:29" x14ac:dyDescent="0.25">
      <c r="H224" s="268" t="s">
        <v>535</v>
      </c>
      <c r="I224" s="397" t="s">
        <v>1189</v>
      </c>
      <c r="J224" s="372">
        <v>44857</v>
      </c>
      <c r="K224" s="372">
        <v>44926</v>
      </c>
      <c r="L224" s="268">
        <f t="shared" si="106"/>
        <v>70</v>
      </c>
      <c r="M224" s="268" t="s">
        <v>1186</v>
      </c>
      <c r="N224" s="268">
        <f>N223</f>
        <v>750</v>
      </c>
      <c r="O224" s="268">
        <v>450</v>
      </c>
      <c r="P224" s="268">
        <f>L224*Q224*R224</f>
        <v>5600</v>
      </c>
      <c r="Q224" s="268">
        <v>10</v>
      </c>
      <c r="R224" s="268">
        <v>8</v>
      </c>
      <c r="S224" s="269">
        <f t="shared" si="125"/>
        <v>5600</v>
      </c>
      <c r="T224" s="357">
        <f t="shared" si="129"/>
        <v>0.16964556195092395</v>
      </c>
      <c r="U224" s="359">
        <f t="shared" si="126"/>
        <v>1</v>
      </c>
      <c r="V224" s="357">
        <f t="shared" si="127"/>
        <v>0.6</v>
      </c>
      <c r="W224" s="357">
        <f t="shared" si="128"/>
        <v>0.16964556195092395</v>
      </c>
      <c r="X224" s="357">
        <f t="shared" si="128"/>
        <v>0.10178733717055437</v>
      </c>
      <c r="Y224" s="198">
        <f t="shared" si="113"/>
        <v>750</v>
      </c>
      <c r="Z224" s="435"/>
      <c r="AC224" s="267"/>
    </row>
    <row r="225" spans="8:29" x14ac:dyDescent="0.25">
      <c r="H225" s="268" t="s">
        <v>536</v>
      </c>
      <c r="I225" s="397" t="s">
        <v>537</v>
      </c>
      <c r="J225" s="372">
        <v>44900</v>
      </c>
      <c r="K225" s="372">
        <v>44934</v>
      </c>
      <c r="L225" s="268">
        <f t="shared" si="106"/>
        <v>35</v>
      </c>
      <c r="M225" s="268" t="s">
        <v>1186</v>
      </c>
      <c r="N225" s="268">
        <v>7500</v>
      </c>
      <c r="O225" s="268">
        <v>7500</v>
      </c>
      <c r="P225" s="268">
        <f>L225*Q225*R225</f>
        <v>5250</v>
      </c>
      <c r="Q225" s="268">
        <v>10</v>
      </c>
      <c r="R225" s="268">
        <v>15</v>
      </c>
      <c r="S225" s="269">
        <f t="shared" si="125"/>
        <v>5250</v>
      </c>
      <c r="T225" s="357">
        <f t="shared" si="129"/>
        <v>0.15904271432899122</v>
      </c>
      <c r="U225" s="359">
        <f t="shared" si="126"/>
        <v>1</v>
      </c>
      <c r="V225" s="357">
        <f t="shared" si="127"/>
        <v>1</v>
      </c>
      <c r="W225" s="357">
        <f t="shared" si="128"/>
        <v>0.15904271432899122</v>
      </c>
      <c r="X225" s="357">
        <f t="shared" si="128"/>
        <v>0.15904271432899122</v>
      </c>
      <c r="Y225" s="198">
        <f t="shared" si="113"/>
        <v>7500</v>
      </c>
      <c r="Z225" s="435"/>
      <c r="AC225" s="267"/>
    </row>
    <row r="226" spans="8:29" x14ac:dyDescent="0.25">
      <c r="H226" s="268" t="s">
        <v>538</v>
      </c>
      <c r="I226" s="397" t="s">
        <v>539</v>
      </c>
      <c r="J226" s="372">
        <v>44882</v>
      </c>
      <c r="K226" s="372">
        <v>44969</v>
      </c>
      <c r="L226" s="268">
        <f t="shared" si="106"/>
        <v>88</v>
      </c>
      <c r="M226" s="268" t="s">
        <v>1186</v>
      </c>
      <c r="N226" s="268">
        <v>1697.8</v>
      </c>
      <c r="O226" s="268">
        <v>1620</v>
      </c>
      <c r="P226" s="268">
        <f>L226*Q226*R226</f>
        <v>1760</v>
      </c>
      <c r="Q226" s="268">
        <v>10</v>
      </c>
      <c r="R226" s="268">
        <v>2</v>
      </c>
      <c r="S226" s="269">
        <f t="shared" si="125"/>
        <v>1760</v>
      </c>
      <c r="T226" s="357">
        <f t="shared" si="129"/>
        <v>5.3317176613147534E-2</v>
      </c>
      <c r="U226" s="359">
        <f t="shared" si="126"/>
        <v>1</v>
      </c>
      <c r="V226" s="357">
        <f t="shared" si="127"/>
        <v>0.95417599246083173</v>
      </c>
      <c r="W226" s="357">
        <f t="shared" si="128"/>
        <v>5.3317176613147534E-2</v>
      </c>
      <c r="X226" s="357">
        <f t="shared" si="128"/>
        <v>5.0873969910059498E-2</v>
      </c>
      <c r="Y226" s="198">
        <f t="shared" si="113"/>
        <v>1697.8</v>
      </c>
      <c r="Z226" s="435"/>
      <c r="AC226" s="267"/>
    </row>
    <row r="227" spans="8:29" x14ac:dyDescent="0.25">
      <c r="H227" s="268" t="s">
        <v>540</v>
      </c>
      <c r="I227" s="397" t="s">
        <v>541</v>
      </c>
      <c r="J227" s="372">
        <v>44912</v>
      </c>
      <c r="K227" s="372">
        <v>44999</v>
      </c>
      <c r="L227" s="268">
        <f t="shared" si="106"/>
        <v>88</v>
      </c>
      <c r="M227" s="268" t="s">
        <v>1186</v>
      </c>
      <c r="N227" s="268">
        <v>1697.8</v>
      </c>
      <c r="O227" s="268">
        <v>1500</v>
      </c>
      <c r="P227" s="268">
        <f>L227*Q227*R227</f>
        <v>13200</v>
      </c>
      <c r="Q227" s="268">
        <v>10</v>
      </c>
      <c r="R227" s="268">
        <v>15</v>
      </c>
      <c r="S227" s="269">
        <f t="shared" si="125"/>
        <v>13200</v>
      </c>
      <c r="T227" s="357">
        <f t="shared" si="129"/>
        <v>0.39987882459860646</v>
      </c>
      <c r="U227" s="359">
        <f t="shared" si="126"/>
        <v>1</v>
      </c>
      <c r="V227" s="357">
        <f t="shared" si="127"/>
        <v>0.88349628931558488</v>
      </c>
      <c r="W227" s="357">
        <f t="shared" si="128"/>
        <v>0.39987882459860646</v>
      </c>
      <c r="X227" s="357">
        <f t="shared" si="128"/>
        <v>0.35329145770874643</v>
      </c>
      <c r="Y227" s="198">
        <f t="shared" si="113"/>
        <v>1697.8</v>
      </c>
      <c r="Z227" s="435"/>
      <c r="AC227" s="267"/>
    </row>
    <row r="228" spans="8:29" x14ac:dyDescent="0.25">
      <c r="H228" s="520" t="s">
        <v>542</v>
      </c>
      <c r="I228" s="521"/>
      <c r="J228" s="375">
        <v>44786</v>
      </c>
      <c r="K228" s="375">
        <v>44926</v>
      </c>
      <c r="L228" s="374">
        <f t="shared" si="106"/>
        <v>141</v>
      </c>
      <c r="M228" s="374"/>
      <c r="N228" s="374"/>
      <c r="O228" s="374"/>
      <c r="P228" s="374">
        <f>P229+P230</f>
        <v>23238</v>
      </c>
      <c r="Q228" s="374"/>
      <c r="R228" s="374"/>
      <c r="S228" s="386">
        <f>S229+S230</f>
        <v>23238</v>
      </c>
      <c r="T228" s="376">
        <f>S228/S217</f>
        <v>0.14555681526348427</v>
      </c>
      <c r="U228" s="374"/>
      <c r="V228" s="376"/>
      <c r="W228" s="376">
        <f>W229+W230</f>
        <v>1</v>
      </c>
      <c r="X228" s="376">
        <f>X229+X230</f>
        <v>0.54224138839410319</v>
      </c>
      <c r="Y228" s="198">
        <f t="shared" si="113"/>
        <v>0</v>
      </c>
      <c r="Z228" s="435"/>
      <c r="AC228" s="267"/>
    </row>
    <row r="229" spans="8:29" x14ac:dyDescent="0.25">
      <c r="H229" s="268" t="s">
        <v>543</v>
      </c>
      <c r="I229" s="397" t="s">
        <v>499</v>
      </c>
      <c r="J229" s="372">
        <v>44786</v>
      </c>
      <c r="K229" s="372">
        <v>44866</v>
      </c>
      <c r="L229" s="268">
        <f t="shared" si="106"/>
        <v>81</v>
      </c>
      <c r="M229" s="268" t="s">
        <v>9</v>
      </c>
      <c r="N229" s="268">
        <v>2500</v>
      </c>
      <c r="O229" s="268">
        <v>1350</v>
      </c>
      <c r="P229" s="268">
        <f t="shared" ref="P229:P230" si="130">L229*Q229*R229</f>
        <v>3888</v>
      </c>
      <c r="Q229" s="268">
        <v>24</v>
      </c>
      <c r="R229" s="268">
        <v>2</v>
      </c>
      <c r="S229" s="269">
        <f>P229</f>
        <v>3888</v>
      </c>
      <c r="T229" s="357">
        <f>S229/S228</f>
        <v>0.16731216111541442</v>
      </c>
      <c r="U229" s="359">
        <f t="shared" ref="U229:U230" si="131">IF($J229&gt;U$5,0,IF($K229&lt;U$5,1,IF(U$5=$K229,1,((U$5-$J229+1)/($K229-$J229+1)))))</f>
        <v>1</v>
      </c>
      <c r="V229" s="357">
        <f>IFERROR(O229/N229,0)</f>
        <v>0.54</v>
      </c>
      <c r="W229" s="357">
        <f t="shared" ref="W229:X230" si="132">U229*$T229</f>
        <v>0.16731216111541442</v>
      </c>
      <c r="X229" s="357">
        <f t="shared" si="132"/>
        <v>9.0348567002323785E-2</v>
      </c>
      <c r="Y229" s="198">
        <f t="shared" si="113"/>
        <v>2500</v>
      </c>
      <c r="Z229" s="435"/>
      <c r="AC229" s="267"/>
    </row>
    <row r="230" spans="8:29" x14ac:dyDescent="0.25">
      <c r="H230" s="268" t="s">
        <v>544</v>
      </c>
      <c r="I230" s="397" t="s">
        <v>545</v>
      </c>
      <c r="J230" s="372">
        <v>44798</v>
      </c>
      <c r="K230" s="372">
        <v>44926</v>
      </c>
      <c r="L230" s="268">
        <f t="shared" si="106"/>
        <v>129</v>
      </c>
      <c r="M230" s="268" t="s">
        <v>9</v>
      </c>
      <c r="N230" s="268">
        <f>1307+75</f>
        <v>1382</v>
      </c>
      <c r="O230" s="268">
        <v>750</v>
      </c>
      <c r="P230" s="268">
        <f t="shared" si="130"/>
        <v>19350</v>
      </c>
      <c r="Q230" s="268">
        <v>10</v>
      </c>
      <c r="R230" s="268">
        <v>15</v>
      </c>
      <c r="S230" s="269">
        <f>P230</f>
        <v>19350</v>
      </c>
      <c r="T230" s="357">
        <f>S230/S228</f>
        <v>0.83268783888458564</v>
      </c>
      <c r="U230" s="359">
        <f t="shared" si="131"/>
        <v>1</v>
      </c>
      <c r="V230" s="357">
        <f>IFERROR(O230/N230,0)</f>
        <v>0.54269175108538348</v>
      </c>
      <c r="W230" s="357">
        <f t="shared" si="132"/>
        <v>0.83268783888458564</v>
      </c>
      <c r="X230" s="357">
        <f t="shared" si="132"/>
        <v>0.45189282139177944</v>
      </c>
      <c r="Y230" s="198">
        <f t="shared" si="113"/>
        <v>1382</v>
      </c>
      <c r="Z230" s="435"/>
      <c r="AC230" s="267"/>
    </row>
    <row r="231" spans="8:29" x14ac:dyDescent="0.25">
      <c r="H231" s="520" t="s">
        <v>546</v>
      </c>
      <c r="I231" s="521"/>
      <c r="J231" s="375">
        <v>44915</v>
      </c>
      <c r="K231" s="375">
        <v>44991</v>
      </c>
      <c r="L231" s="374">
        <f t="shared" si="106"/>
        <v>77</v>
      </c>
      <c r="M231" s="374"/>
      <c r="N231" s="374"/>
      <c r="O231" s="374"/>
      <c r="P231" s="374"/>
      <c r="Q231" s="374"/>
      <c r="R231" s="374"/>
      <c r="S231" s="386">
        <f>S232+S233</f>
        <v>11106</v>
      </c>
      <c r="T231" s="376">
        <f>S231/S217</f>
        <v>6.9565108456676836E-2</v>
      </c>
      <c r="U231" s="374"/>
      <c r="V231" s="376"/>
      <c r="W231" s="376">
        <f>W232+W233</f>
        <v>1</v>
      </c>
      <c r="X231" s="376">
        <f>X232+X233</f>
        <v>0</v>
      </c>
      <c r="Y231" s="198">
        <f t="shared" si="113"/>
        <v>0</v>
      </c>
      <c r="Z231" s="435"/>
      <c r="AC231" s="267"/>
    </row>
    <row r="232" spans="8:29" x14ac:dyDescent="0.25">
      <c r="H232" s="268" t="s">
        <v>547</v>
      </c>
      <c r="I232" s="397" t="s">
        <v>499</v>
      </c>
      <c r="J232" s="372">
        <v>44915</v>
      </c>
      <c r="K232" s="372">
        <v>44961</v>
      </c>
      <c r="L232" s="268">
        <f t="shared" si="106"/>
        <v>47</v>
      </c>
      <c r="M232" s="268" t="str">
        <f>M233</f>
        <v>m3</v>
      </c>
      <c r="N232" s="268">
        <v>2500</v>
      </c>
      <c r="O232" s="268"/>
      <c r="P232" s="268">
        <f t="shared" ref="P232:P233" si="133">L232*Q232*R232</f>
        <v>2256</v>
      </c>
      <c r="Q232" s="268">
        <v>24</v>
      </c>
      <c r="R232" s="268">
        <v>2</v>
      </c>
      <c r="S232" s="269">
        <f>P232</f>
        <v>2256</v>
      </c>
      <c r="T232" s="357">
        <f>S232/S231</f>
        <v>0.20313344138303618</v>
      </c>
      <c r="U232" s="359">
        <f t="shared" ref="U232:U233" si="134">IF($J232&gt;U$5,0,IF($K232&lt;U$5,1,IF(U$5=$K232,1,((U$5-$J232+1)/($K232-$J232+1)))))</f>
        <v>1</v>
      </c>
      <c r="V232" s="357">
        <f>IFERROR(O232/N232,0)</f>
        <v>0</v>
      </c>
      <c r="W232" s="357">
        <f t="shared" ref="W232:X233" si="135">U232*$T232</f>
        <v>0.20313344138303618</v>
      </c>
      <c r="X232" s="357">
        <f t="shared" si="135"/>
        <v>0</v>
      </c>
      <c r="Y232" s="198">
        <f t="shared" si="113"/>
        <v>2500</v>
      </c>
      <c r="Z232" s="435"/>
      <c r="AC232" s="267"/>
    </row>
    <row r="233" spans="8:29" x14ac:dyDescent="0.25">
      <c r="H233" s="268" t="s">
        <v>548</v>
      </c>
      <c r="I233" s="397" t="s">
        <v>545</v>
      </c>
      <c r="J233" s="372">
        <v>44933</v>
      </c>
      <c r="K233" s="372">
        <v>44991</v>
      </c>
      <c r="L233" s="268">
        <f t="shared" si="106"/>
        <v>59</v>
      </c>
      <c r="M233" s="268" t="s">
        <v>9</v>
      </c>
      <c r="N233" s="268">
        <v>800</v>
      </c>
      <c r="O233" s="268"/>
      <c r="P233" s="268">
        <f t="shared" si="133"/>
        <v>8850</v>
      </c>
      <c r="Q233" s="268">
        <v>10</v>
      </c>
      <c r="R233" s="268">
        <v>15</v>
      </c>
      <c r="S233" s="269">
        <f>P233</f>
        <v>8850</v>
      </c>
      <c r="T233" s="357">
        <f>S233/S231</f>
        <v>0.79686655861696376</v>
      </c>
      <c r="U233" s="359">
        <f t="shared" si="134"/>
        <v>1</v>
      </c>
      <c r="V233" s="357">
        <f>IFERROR(O233/N233,0)</f>
        <v>0</v>
      </c>
      <c r="W233" s="357">
        <f t="shared" si="135"/>
        <v>0.79686655861696376</v>
      </c>
      <c r="X233" s="357">
        <f t="shared" si="135"/>
        <v>0</v>
      </c>
      <c r="Y233" s="198">
        <f t="shared" si="113"/>
        <v>800</v>
      </c>
      <c r="Z233" s="435"/>
      <c r="AC233" s="267"/>
    </row>
    <row r="234" spans="8:29" x14ac:dyDescent="0.25">
      <c r="H234" s="520" t="s">
        <v>549</v>
      </c>
      <c r="I234" s="521"/>
      <c r="J234" s="375">
        <v>44821</v>
      </c>
      <c r="K234" s="375">
        <v>44966</v>
      </c>
      <c r="L234" s="374">
        <f t="shared" si="106"/>
        <v>146</v>
      </c>
      <c r="M234" s="374"/>
      <c r="N234" s="374"/>
      <c r="O234" s="374"/>
      <c r="P234" s="374">
        <f>P235+P236+P237+P238+P239+P240</f>
        <v>10358</v>
      </c>
      <c r="Q234" s="374"/>
      <c r="R234" s="374"/>
      <c r="S234" s="386">
        <f>S235+S236+S237+S238+S239+S240</f>
        <v>10358</v>
      </c>
      <c r="T234" s="376">
        <f>S234/S217</f>
        <v>6.4879830127341859E-2</v>
      </c>
      <c r="U234" s="374"/>
      <c r="V234" s="376"/>
      <c r="W234" s="376">
        <f>W235+W236+W237+W238+W239+W240</f>
        <v>1</v>
      </c>
      <c r="X234" s="376">
        <f>X235+X236+X237+X238+X239+X240</f>
        <v>0.31125699942073759</v>
      </c>
      <c r="Y234" s="198">
        <f t="shared" si="113"/>
        <v>0</v>
      </c>
      <c r="Z234" s="435"/>
      <c r="AC234" s="267"/>
    </row>
    <row r="235" spans="8:29" x14ac:dyDescent="0.25">
      <c r="H235" s="268" t="s">
        <v>550</v>
      </c>
      <c r="I235" s="397" t="s">
        <v>499</v>
      </c>
      <c r="J235" s="372">
        <v>44821</v>
      </c>
      <c r="K235" s="372">
        <v>44866</v>
      </c>
      <c r="L235" s="268">
        <f t="shared" si="106"/>
        <v>46</v>
      </c>
      <c r="M235" s="268" t="s">
        <v>1186</v>
      </c>
      <c r="N235" s="268">
        <v>3000</v>
      </c>
      <c r="O235" s="268">
        <v>2000</v>
      </c>
      <c r="P235" s="268">
        <f t="shared" ref="P235:P245" si="136">L235*Q235*R235</f>
        <v>2208</v>
      </c>
      <c r="Q235" s="268">
        <v>24</v>
      </c>
      <c r="R235" s="268">
        <v>2</v>
      </c>
      <c r="S235" s="269">
        <f t="shared" ref="S235:S240" si="137">P235</f>
        <v>2208</v>
      </c>
      <c r="T235" s="357">
        <f>S235/$S$234</f>
        <v>0.21316856536010814</v>
      </c>
      <c r="U235" s="359">
        <f t="shared" ref="U235:U240" si="138">IF($J235&gt;U$5,0,IF($K235&lt;U$5,1,IF(U$5=$K235,1,((U$5-$J235+1)/($K235-$J235+1)))))</f>
        <v>1</v>
      </c>
      <c r="V235" s="357">
        <f t="shared" ref="V235:V240" si="139">IFERROR(O235/N235,0)</f>
        <v>0.66666666666666663</v>
      </c>
      <c r="W235" s="357">
        <f t="shared" ref="W235:X240" si="140">U235*$T235</f>
        <v>0.21316856536010814</v>
      </c>
      <c r="X235" s="357">
        <f t="shared" si="140"/>
        <v>0.14211237690673875</v>
      </c>
      <c r="Y235" s="198">
        <f t="shared" si="113"/>
        <v>3000</v>
      </c>
      <c r="Z235" s="435"/>
      <c r="AC235" s="267"/>
    </row>
    <row r="236" spans="8:29" x14ac:dyDescent="0.25">
      <c r="H236" s="268" t="s">
        <v>551</v>
      </c>
      <c r="I236" s="397" t="s">
        <v>552</v>
      </c>
      <c r="J236" s="372">
        <v>44867</v>
      </c>
      <c r="K236" s="372">
        <v>44884</v>
      </c>
      <c r="L236" s="268">
        <f t="shared" si="106"/>
        <v>18</v>
      </c>
      <c r="M236" s="268" t="s">
        <v>1186</v>
      </c>
      <c r="N236" s="268">
        <v>150</v>
      </c>
      <c r="O236" s="268">
        <v>150</v>
      </c>
      <c r="P236" s="268">
        <f t="shared" si="136"/>
        <v>1080</v>
      </c>
      <c r="Q236" s="268">
        <v>10</v>
      </c>
      <c r="R236" s="268">
        <v>6</v>
      </c>
      <c r="S236" s="269">
        <f t="shared" si="137"/>
        <v>1080</v>
      </c>
      <c r="T236" s="357">
        <f t="shared" ref="T236:T240" si="141">S236/$S$234</f>
        <v>0.10426723305657463</v>
      </c>
      <c r="U236" s="359">
        <f t="shared" si="138"/>
        <v>1</v>
      </c>
      <c r="V236" s="357">
        <f t="shared" si="139"/>
        <v>1</v>
      </c>
      <c r="W236" s="357">
        <f t="shared" si="140"/>
        <v>0.10426723305657463</v>
      </c>
      <c r="X236" s="357">
        <f t="shared" si="140"/>
        <v>0.10426723305657463</v>
      </c>
      <c r="Y236" s="198">
        <f t="shared" si="113"/>
        <v>150</v>
      </c>
      <c r="Z236" s="435"/>
      <c r="AC236" s="267"/>
    </row>
    <row r="237" spans="8:29" x14ac:dyDescent="0.25">
      <c r="H237" s="268" t="s">
        <v>553</v>
      </c>
      <c r="I237" s="397" t="s">
        <v>554</v>
      </c>
      <c r="J237" s="372">
        <v>44886</v>
      </c>
      <c r="K237" s="372">
        <v>44899</v>
      </c>
      <c r="L237" s="268">
        <f t="shared" si="106"/>
        <v>14</v>
      </c>
      <c r="M237" s="268" t="s">
        <v>1183</v>
      </c>
      <c r="N237" s="268">
        <v>100</v>
      </c>
      <c r="O237" s="268">
        <v>80</v>
      </c>
      <c r="P237" s="268">
        <f t="shared" si="136"/>
        <v>840</v>
      </c>
      <c r="Q237" s="268">
        <v>10</v>
      </c>
      <c r="R237" s="268">
        <v>6</v>
      </c>
      <c r="S237" s="269">
        <f t="shared" si="137"/>
        <v>840</v>
      </c>
      <c r="T237" s="357">
        <f t="shared" si="141"/>
        <v>8.1096736821780271E-2</v>
      </c>
      <c r="U237" s="359">
        <f t="shared" si="138"/>
        <v>1</v>
      </c>
      <c r="V237" s="357">
        <f t="shared" si="139"/>
        <v>0.8</v>
      </c>
      <c r="W237" s="357">
        <f t="shared" si="140"/>
        <v>8.1096736821780271E-2</v>
      </c>
      <c r="X237" s="357">
        <f t="shared" si="140"/>
        <v>6.4877389457424217E-2</v>
      </c>
      <c r="Y237" s="198">
        <f t="shared" si="113"/>
        <v>100</v>
      </c>
      <c r="Z237" s="435"/>
      <c r="AC237" s="267"/>
    </row>
    <row r="238" spans="8:29" x14ac:dyDescent="0.25">
      <c r="H238" s="268" t="s">
        <v>555</v>
      </c>
      <c r="I238" s="397" t="s">
        <v>556</v>
      </c>
      <c r="J238" s="372">
        <v>44900</v>
      </c>
      <c r="K238" s="372">
        <v>44934</v>
      </c>
      <c r="L238" s="268">
        <f t="shared" si="106"/>
        <v>35</v>
      </c>
      <c r="M238" s="268" t="s">
        <v>1186</v>
      </c>
      <c r="N238" s="268">
        <v>200</v>
      </c>
      <c r="O238" s="268"/>
      <c r="P238" s="268">
        <f t="shared" si="136"/>
        <v>5250</v>
      </c>
      <c r="Q238" s="268">
        <v>10</v>
      </c>
      <c r="R238" s="268">
        <v>15</v>
      </c>
      <c r="S238" s="269">
        <f t="shared" si="137"/>
        <v>5250</v>
      </c>
      <c r="T238" s="357">
        <f t="shared" si="141"/>
        <v>0.50685460513612668</v>
      </c>
      <c r="U238" s="359">
        <f t="shared" si="138"/>
        <v>1</v>
      </c>
      <c r="V238" s="357">
        <f t="shared" si="139"/>
        <v>0</v>
      </c>
      <c r="W238" s="357">
        <f t="shared" si="140"/>
        <v>0.50685460513612668</v>
      </c>
      <c r="X238" s="357">
        <f t="shared" si="140"/>
        <v>0</v>
      </c>
      <c r="Y238" s="198">
        <f t="shared" si="113"/>
        <v>200</v>
      </c>
      <c r="Z238" s="435"/>
      <c r="AC238" s="267"/>
    </row>
    <row r="239" spans="8:29" x14ac:dyDescent="0.25">
      <c r="H239" s="268" t="s">
        <v>557</v>
      </c>
      <c r="I239" s="397" t="s">
        <v>558</v>
      </c>
      <c r="J239" s="372">
        <v>44938</v>
      </c>
      <c r="K239" s="372">
        <v>44955</v>
      </c>
      <c r="L239" s="268">
        <f t="shared" si="106"/>
        <v>18</v>
      </c>
      <c r="M239" s="268" t="s">
        <v>1186</v>
      </c>
      <c r="N239" s="268">
        <v>93.350000000000009</v>
      </c>
      <c r="O239" s="268"/>
      <c r="P239" s="268">
        <f t="shared" si="136"/>
        <v>540</v>
      </c>
      <c r="Q239" s="268">
        <v>10</v>
      </c>
      <c r="R239" s="268">
        <v>3</v>
      </c>
      <c r="S239" s="269">
        <f t="shared" si="137"/>
        <v>540</v>
      </c>
      <c r="T239" s="357">
        <f t="shared" si="141"/>
        <v>5.2133616528287317E-2</v>
      </c>
      <c r="U239" s="359">
        <f t="shared" si="138"/>
        <v>1</v>
      </c>
      <c r="V239" s="357">
        <f t="shared" si="139"/>
        <v>0</v>
      </c>
      <c r="W239" s="357">
        <f t="shared" si="140"/>
        <v>5.2133616528287317E-2</v>
      </c>
      <c r="X239" s="357">
        <f t="shared" si="140"/>
        <v>0</v>
      </c>
      <c r="Y239" s="198">
        <f t="shared" si="113"/>
        <v>93.350000000000009</v>
      </c>
      <c r="Z239" s="435"/>
      <c r="AC239" s="267"/>
    </row>
    <row r="240" spans="8:29" x14ac:dyDescent="0.25">
      <c r="H240" s="268" t="s">
        <v>559</v>
      </c>
      <c r="I240" s="397" t="s">
        <v>560</v>
      </c>
      <c r="J240" s="372">
        <v>44956</v>
      </c>
      <c r="K240" s="372">
        <v>44966</v>
      </c>
      <c r="L240" s="268">
        <f t="shared" si="106"/>
        <v>11</v>
      </c>
      <c r="M240" s="268" t="s">
        <v>1183</v>
      </c>
      <c r="N240" s="268">
        <v>100</v>
      </c>
      <c r="O240" s="268"/>
      <c r="P240" s="268">
        <f t="shared" si="136"/>
        <v>440</v>
      </c>
      <c r="Q240" s="268">
        <v>10</v>
      </c>
      <c r="R240" s="268">
        <v>4</v>
      </c>
      <c r="S240" s="269">
        <f t="shared" si="137"/>
        <v>440</v>
      </c>
      <c r="T240" s="357">
        <f t="shared" si="141"/>
        <v>4.2479243097122997E-2</v>
      </c>
      <c r="U240" s="359">
        <f t="shared" si="138"/>
        <v>1</v>
      </c>
      <c r="V240" s="357">
        <f t="shared" si="139"/>
        <v>0</v>
      </c>
      <c r="W240" s="357">
        <f t="shared" si="140"/>
        <v>4.2479243097122997E-2</v>
      </c>
      <c r="X240" s="357">
        <f t="shared" si="140"/>
        <v>0</v>
      </c>
      <c r="Y240" s="198">
        <f t="shared" si="113"/>
        <v>100</v>
      </c>
      <c r="Z240" s="435"/>
      <c r="AC240" s="267"/>
    </row>
    <row r="241" spans="8:29" x14ac:dyDescent="0.25">
      <c r="H241" s="520" t="s">
        <v>561</v>
      </c>
      <c r="I241" s="521"/>
      <c r="J241" s="375">
        <v>44938</v>
      </c>
      <c r="K241" s="375">
        <v>44998</v>
      </c>
      <c r="L241" s="374">
        <f t="shared" si="106"/>
        <v>61</v>
      </c>
      <c r="M241" s="374"/>
      <c r="N241" s="374"/>
      <c r="O241" s="374"/>
      <c r="P241" s="374">
        <f>P242+P243+P244+P245</f>
        <v>9672</v>
      </c>
      <c r="Q241" s="374"/>
      <c r="R241" s="374"/>
      <c r="S241" s="386">
        <f>S242+S243+S244+S245</f>
        <v>9672</v>
      </c>
      <c r="T241" s="376">
        <f>S241/S217</f>
        <v>6.0582903745090795E-2</v>
      </c>
      <c r="U241" s="374"/>
      <c r="V241" s="376"/>
      <c r="W241" s="376">
        <f>W242+W243+W244+W245</f>
        <v>1</v>
      </c>
      <c r="X241" s="376">
        <f>X242+X243+X244+X245</f>
        <v>0.29212722761109855</v>
      </c>
      <c r="Y241" s="198">
        <f t="shared" si="113"/>
        <v>0</v>
      </c>
      <c r="Z241" s="435"/>
      <c r="AC241" s="267"/>
    </row>
    <row r="242" spans="8:29" x14ac:dyDescent="0.25">
      <c r="H242" s="268" t="s">
        <v>1174</v>
      </c>
      <c r="I242" s="397" t="s">
        <v>499</v>
      </c>
      <c r="J242" s="372">
        <v>44927</v>
      </c>
      <c r="K242" s="372">
        <v>44955</v>
      </c>
      <c r="L242" s="268">
        <f t="shared" si="106"/>
        <v>29</v>
      </c>
      <c r="M242" s="268" t="s">
        <v>1186</v>
      </c>
      <c r="N242" s="268">
        <v>620</v>
      </c>
      <c r="O242" s="268">
        <v>0</v>
      </c>
      <c r="P242" s="268">
        <f t="shared" si="136"/>
        <v>1392</v>
      </c>
      <c r="Q242" s="268">
        <v>24</v>
      </c>
      <c r="R242" s="268">
        <v>2</v>
      </c>
      <c r="S242" s="269">
        <f>P242</f>
        <v>1392</v>
      </c>
      <c r="T242" s="359">
        <f>S242/$S$241</f>
        <v>0.14392059553349876</v>
      </c>
      <c r="U242" s="359">
        <f t="shared" ref="U242:U245" si="142">IF($J242&gt;U$5,0,IF($K242&lt;U$5,1,IF(U$5=$K242,1,((U$5-$J242+1)/($K242-$J242+1)))))</f>
        <v>1</v>
      </c>
      <c r="V242" s="357">
        <f>IFERROR(O242/N242,0)</f>
        <v>0</v>
      </c>
      <c r="W242" s="357">
        <f t="shared" ref="W242:X245" si="143">U242*$T242</f>
        <v>0.14392059553349876</v>
      </c>
      <c r="X242" s="357">
        <f t="shared" si="143"/>
        <v>0</v>
      </c>
      <c r="Y242" s="198">
        <f t="shared" si="113"/>
        <v>620</v>
      </c>
      <c r="Z242" s="435"/>
      <c r="AC242" s="267"/>
    </row>
    <row r="243" spans="8:29" x14ac:dyDescent="0.25">
      <c r="H243" s="268"/>
      <c r="I243" s="397" t="s">
        <v>1175</v>
      </c>
      <c r="J243" s="372">
        <v>44831</v>
      </c>
      <c r="K243" s="372">
        <v>44844</v>
      </c>
      <c r="L243" s="268">
        <f t="shared" si="106"/>
        <v>14</v>
      </c>
      <c r="M243" s="268" t="s">
        <v>1186</v>
      </c>
      <c r="N243" s="268">
        <v>850</v>
      </c>
      <c r="O243" s="268">
        <v>850</v>
      </c>
      <c r="P243" s="268">
        <f t="shared" si="136"/>
        <v>280</v>
      </c>
      <c r="Q243" s="268">
        <v>10</v>
      </c>
      <c r="R243" s="268">
        <v>2</v>
      </c>
      <c r="S243" s="269">
        <f>P243</f>
        <v>280</v>
      </c>
      <c r="T243" s="359">
        <f t="shared" ref="T243:T245" si="144">S243/$S$241</f>
        <v>2.8949545078577336E-2</v>
      </c>
      <c r="U243" s="359">
        <f t="shared" si="142"/>
        <v>1</v>
      </c>
      <c r="V243" s="357">
        <f>IFERROR(O243/N243,0)</f>
        <v>1</v>
      </c>
      <c r="W243" s="357">
        <f t="shared" si="143"/>
        <v>2.8949545078577336E-2</v>
      </c>
      <c r="X243" s="357">
        <f t="shared" si="143"/>
        <v>2.8949545078577336E-2</v>
      </c>
      <c r="Y243" s="198">
        <f t="shared" si="113"/>
        <v>850</v>
      </c>
      <c r="Z243" s="435"/>
      <c r="AC243" s="267"/>
    </row>
    <row r="244" spans="8:29" x14ac:dyDescent="0.25">
      <c r="H244" s="268" t="s">
        <v>562</v>
      </c>
      <c r="I244" s="397" t="s">
        <v>545</v>
      </c>
      <c r="J244" s="372">
        <v>44934</v>
      </c>
      <c r="K244" s="372">
        <v>44985</v>
      </c>
      <c r="L244" s="268">
        <f t="shared" si="106"/>
        <v>52</v>
      </c>
      <c r="M244" s="268" t="s">
        <v>1186</v>
      </c>
      <c r="N244" s="268">
        <v>858.109504132231</v>
      </c>
      <c r="O244" s="268"/>
      <c r="P244" s="268">
        <f t="shared" si="136"/>
        <v>5200</v>
      </c>
      <c r="Q244" s="268">
        <v>10</v>
      </c>
      <c r="R244" s="268">
        <v>10</v>
      </c>
      <c r="S244" s="269">
        <f>P244</f>
        <v>5200</v>
      </c>
      <c r="T244" s="359">
        <f t="shared" si="144"/>
        <v>0.5376344086021505</v>
      </c>
      <c r="U244" s="359">
        <f t="shared" si="142"/>
        <v>1</v>
      </c>
      <c r="V244" s="357">
        <f>IFERROR(O244/N244,0)</f>
        <v>0</v>
      </c>
      <c r="W244" s="357">
        <f t="shared" si="143"/>
        <v>0.5376344086021505</v>
      </c>
      <c r="X244" s="357">
        <f t="shared" si="143"/>
        <v>0</v>
      </c>
      <c r="Y244" s="198">
        <f t="shared" si="113"/>
        <v>858.109504132231</v>
      </c>
      <c r="Z244" s="435"/>
      <c r="AC244" s="267"/>
    </row>
    <row r="245" spans="8:29" x14ac:dyDescent="0.25">
      <c r="H245" s="268"/>
      <c r="I245" s="397" t="s">
        <v>1176</v>
      </c>
      <c r="J245" s="372">
        <v>44838</v>
      </c>
      <c r="K245" s="372">
        <v>44865</v>
      </c>
      <c r="L245" s="268">
        <f t="shared" si="106"/>
        <v>28</v>
      </c>
      <c r="M245" s="268" t="s">
        <v>1186</v>
      </c>
      <c r="N245" s="268">
        <v>550</v>
      </c>
      <c r="O245" s="268">
        <v>500</v>
      </c>
      <c r="P245" s="268">
        <f t="shared" si="136"/>
        <v>2800</v>
      </c>
      <c r="Q245" s="268">
        <v>10</v>
      </c>
      <c r="R245" s="268">
        <v>10</v>
      </c>
      <c r="S245" s="269">
        <f>P245</f>
        <v>2800</v>
      </c>
      <c r="T245" s="359">
        <f t="shared" si="144"/>
        <v>0.28949545078577338</v>
      </c>
      <c r="U245" s="359">
        <f t="shared" si="142"/>
        <v>1</v>
      </c>
      <c r="V245" s="357">
        <f>IFERROR(O245/N245,0)</f>
        <v>0.90909090909090906</v>
      </c>
      <c r="W245" s="357">
        <f t="shared" si="143"/>
        <v>0.28949545078577338</v>
      </c>
      <c r="X245" s="357">
        <f t="shared" si="143"/>
        <v>0.26317768253252122</v>
      </c>
      <c r="Y245" s="198">
        <f t="shared" si="113"/>
        <v>550</v>
      </c>
      <c r="Z245" s="435"/>
      <c r="AC245" s="267"/>
    </row>
    <row r="246" spans="8:29" x14ac:dyDescent="0.25">
      <c r="H246" s="520" t="s">
        <v>563</v>
      </c>
      <c r="I246" s="521"/>
      <c r="J246" s="375">
        <v>44744</v>
      </c>
      <c r="K246" s="375">
        <v>45305</v>
      </c>
      <c r="L246" s="374">
        <f t="shared" si="106"/>
        <v>562</v>
      </c>
      <c r="M246" s="374"/>
      <c r="N246" s="374"/>
      <c r="O246" s="374"/>
      <c r="P246" s="374">
        <f>P247+P257</f>
        <v>54925</v>
      </c>
      <c r="Q246" s="374"/>
      <c r="R246" s="374"/>
      <c r="S246" s="386">
        <f>S247+S257</f>
        <v>54925</v>
      </c>
      <c r="T246" s="376">
        <f>S246/S217</f>
        <v>0.34403597892877502</v>
      </c>
      <c r="U246" s="374"/>
      <c r="V246" s="376"/>
      <c r="W246" s="376">
        <f>(W247*T247)+(W257*T257)</f>
        <v>0.92353208921256258</v>
      </c>
      <c r="X246" s="376">
        <f>(X247*T247)+(X257*T257)</f>
        <v>0.79115231180600709</v>
      </c>
      <c r="Y246" s="198">
        <f t="shared" si="113"/>
        <v>0</v>
      </c>
      <c r="Z246" s="435"/>
      <c r="AC246" s="267"/>
    </row>
    <row r="247" spans="8:29" x14ac:dyDescent="0.25">
      <c r="H247" s="522" t="s">
        <v>564</v>
      </c>
      <c r="I247" s="523"/>
      <c r="J247" s="378">
        <v>44744</v>
      </c>
      <c r="K247" s="378">
        <v>44885</v>
      </c>
      <c r="L247" s="377">
        <f t="shared" si="106"/>
        <v>142</v>
      </c>
      <c r="M247" s="377"/>
      <c r="N247" s="377"/>
      <c r="O247" s="377"/>
      <c r="P247" s="377">
        <f>P248+P249+P250+P251+P252+P253+P254+P255+P256</f>
        <v>40925</v>
      </c>
      <c r="Q247" s="377"/>
      <c r="R247" s="377"/>
      <c r="S247" s="387">
        <f>S248+S249+S250+S251+S252+S253+S254+S255+S256</f>
        <v>40925</v>
      </c>
      <c r="T247" s="379">
        <f>S247/S246</f>
        <v>0.74510696404187526</v>
      </c>
      <c r="U247" s="377"/>
      <c r="V247" s="379"/>
      <c r="W247" s="379">
        <f>W248+W249+W250+W251+W252+W253+W254+W255+W256</f>
        <v>1</v>
      </c>
      <c r="X247" s="379">
        <f>X248+X249+X250+X251+X252+X253+X254+X255+X256</f>
        <v>0.98482689617458619</v>
      </c>
      <c r="Y247" s="198">
        <f t="shared" si="113"/>
        <v>0</v>
      </c>
      <c r="Z247" s="435"/>
      <c r="AC247" s="267"/>
    </row>
    <row r="248" spans="8:29" x14ac:dyDescent="0.25">
      <c r="H248" s="268" t="s">
        <v>565</v>
      </c>
      <c r="I248" s="397" t="s">
        <v>566</v>
      </c>
      <c r="J248" s="372">
        <v>44777</v>
      </c>
      <c r="K248" s="372">
        <v>44823</v>
      </c>
      <c r="L248" s="268">
        <f t="shared" ref="L248:L260" si="145">K248-J248+1</f>
        <v>47</v>
      </c>
      <c r="M248" s="268" t="s">
        <v>1186</v>
      </c>
      <c r="N248" s="268">
        <v>1200.1456611570247</v>
      </c>
      <c r="O248" s="268">
        <v>1200.1500000000001</v>
      </c>
      <c r="P248" s="268">
        <v>1145</v>
      </c>
      <c r="Q248" s="268">
        <v>10</v>
      </c>
      <c r="R248" s="268">
        <v>2</v>
      </c>
      <c r="S248" s="269">
        <f t="shared" ref="S248:S256" si="146">P248</f>
        <v>1145</v>
      </c>
      <c r="T248" s="359">
        <f>S248/$S$247</f>
        <v>2.7978008552229688E-2</v>
      </c>
      <c r="U248" s="359">
        <f t="shared" ref="U248:U256" si="147">IF($J248&gt;U$5,0,IF($K248&lt;U$5,1,IF(U$5=$K248,1,((U$5-$J248+1)/($K248-$J248+1)))))</f>
        <v>1</v>
      </c>
      <c r="V248" s="357">
        <f t="shared" ref="V248:V256" si="148">IFERROR(O248/N248,0)</f>
        <v>1.0000036152636431</v>
      </c>
      <c r="W248" s="357">
        <f t="shared" ref="W248:X256" si="149">U248*$T248</f>
        <v>2.7978008552229688E-2</v>
      </c>
      <c r="X248" s="357">
        <f t="shared" si="149"/>
        <v>2.7978109700106814E-2</v>
      </c>
      <c r="Y248" s="198">
        <f t="shared" si="113"/>
        <v>1200.1456611570247</v>
      </c>
      <c r="Z248" s="435"/>
      <c r="AC248" s="267"/>
    </row>
    <row r="249" spans="8:29" x14ac:dyDescent="0.25">
      <c r="H249" s="268" t="s">
        <v>567</v>
      </c>
      <c r="I249" s="397" t="s">
        <v>499</v>
      </c>
      <c r="J249" s="372">
        <v>44744</v>
      </c>
      <c r="K249" s="372">
        <v>44836</v>
      </c>
      <c r="L249" s="268">
        <f t="shared" si="145"/>
        <v>93</v>
      </c>
      <c r="M249" s="268" t="s">
        <v>1186</v>
      </c>
      <c r="N249" s="268">
        <v>4940</v>
      </c>
      <c r="O249" s="268">
        <f>N249</f>
        <v>4940</v>
      </c>
      <c r="P249" s="268">
        <f t="shared" ref="P249:P259" si="150">L249*Q249*R249</f>
        <v>11160</v>
      </c>
      <c r="Q249" s="268">
        <v>24</v>
      </c>
      <c r="R249" s="268">
        <v>5</v>
      </c>
      <c r="S249" s="269">
        <f t="shared" si="146"/>
        <v>11160</v>
      </c>
      <c r="T249" s="359">
        <f t="shared" ref="T249:T256" si="151">S249/$S$247</f>
        <v>0.27269395235186317</v>
      </c>
      <c r="U249" s="359">
        <f t="shared" si="147"/>
        <v>1</v>
      </c>
      <c r="V249" s="357">
        <f t="shared" si="148"/>
        <v>1</v>
      </c>
      <c r="W249" s="357">
        <f t="shared" si="149"/>
        <v>0.27269395235186317</v>
      </c>
      <c r="X249" s="357">
        <f t="shared" si="149"/>
        <v>0.27269395235186317</v>
      </c>
      <c r="Y249" s="198">
        <f t="shared" si="113"/>
        <v>4940</v>
      </c>
      <c r="Z249" s="435"/>
      <c r="AC249" s="267"/>
    </row>
    <row r="250" spans="8:29" x14ac:dyDescent="0.25">
      <c r="H250" s="268" t="s">
        <v>568</v>
      </c>
      <c r="I250" s="397" t="s">
        <v>569</v>
      </c>
      <c r="J250" s="372">
        <v>44807</v>
      </c>
      <c r="K250" s="372">
        <v>44852</v>
      </c>
      <c r="L250" s="268">
        <f t="shared" si="145"/>
        <v>46</v>
      </c>
      <c r="M250" s="268" t="s">
        <v>1186</v>
      </c>
      <c r="N250" s="268">
        <v>1200.1456611570247</v>
      </c>
      <c r="O250" s="268">
        <v>1200.1500000000001</v>
      </c>
      <c r="P250" s="268">
        <f t="shared" si="150"/>
        <v>10120</v>
      </c>
      <c r="Q250" s="268">
        <v>10</v>
      </c>
      <c r="R250" s="268">
        <v>22</v>
      </c>
      <c r="S250" s="269">
        <f t="shared" si="146"/>
        <v>10120</v>
      </c>
      <c r="T250" s="359">
        <f t="shared" si="151"/>
        <v>0.24728161270616983</v>
      </c>
      <c r="U250" s="359">
        <f t="shared" si="147"/>
        <v>1</v>
      </c>
      <c r="V250" s="357">
        <f t="shared" si="148"/>
        <v>1.0000036152636431</v>
      </c>
      <c r="W250" s="357">
        <f t="shared" si="149"/>
        <v>0.24728161270616983</v>
      </c>
      <c r="X250" s="357">
        <f t="shared" si="149"/>
        <v>0.24728250669439386</v>
      </c>
      <c r="Y250" s="198">
        <f t="shared" si="113"/>
        <v>1200.1456611570247</v>
      </c>
      <c r="Z250" s="435"/>
      <c r="AC250" s="267"/>
    </row>
    <row r="251" spans="8:29" x14ac:dyDescent="0.25">
      <c r="H251" s="268" t="s">
        <v>570</v>
      </c>
      <c r="I251" s="397" t="s">
        <v>571</v>
      </c>
      <c r="J251" s="372">
        <v>44818</v>
      </c>
      <c r="K251" s="372">
        <v>44852</v>
      </c>
      <c r="L251" s="268">
        <f t="shared" si="145"/>
        <v>35</v>
      </c>
      <c r="M251" s="268" t="s">
        <v>1186</v>
      </c>
      <c r="N251" s="268">
        <v>180</v>
      </c>
      <c r="O251" s="268">
        <v>180</v>
      </c>
      <c r="P251" s="268">
        <f t="shared" si="150"/>
        <v>7700</v>
      </c>
      <c r="Q251" s="268">
        <v>10</v>
      </c>
      <c r="R251" s="268">
        <v>22</v>
      </c>
      <c r="S251" s="269">
        <f t="shared" si="146"/>
        <v>7700</v>
      </c>
      <c r="T251" s="359">
        <f t="shared" si="151"/>
        <v>0.18814905314599878</v>
      </c>
      <c r="U251" s="359">
        <f t="shared" si="147"/>
        <v>1</v>
      </c>
      <c r="V251" s="357">
        <f t="shared" si="148"/>
        <v>1</v>
      </c>
      <c r="W251" s="357">
        <f t="shared" si="149"/>
        <v>0.18814905314599878</v>
      </c>
      <c r="X251" s="357">
        <f t="shared" si="149"/>
        <v>0.18814905314599878</v>
      </c>
      <c r="Y251" s="198">
        <f t="shared" si="113"/>
        <v>180</v>
      </c>
      <c r="Z251" s="435"/>
      <c r="AC251" s="267"/>
    </row>
    <row r="252" spans="8:29" x14ac:dyDescent="0.25">
      <c r="H252" s="268" t="s">
        <v>572</v>
      </c>
      <c r="I252" s="397" t="s">
        <v>573</v>
      </c>
      <c r="J252" s="372">
        <v>44842</v>
      </c>
      <c r="K252" s="372">
        <v>44864</v>
      </c>
      <c r="L252" s="268">
        <f t="shared" si="145"/>
        <v>23</v>
      </c>
      <c r="M252" s="268" t="s">
        <v>1186</v>
      </c>
      <c r="N252" s="268">
        <v>800</v>
      </c>
      <c r="O252" s="268">
        <v>720</v>
      </c>
      <c r="P252" s="268">
        <f t="shared" si="150"/>
        <v>2760</v>
      </c>
      <c r="Q252" s="268">
        <v>10</v>
      </c>
      <c r="R252" s="268">
        <v>12</v>
      </c>
      <c r="S252" s="269">
        <f t="shared" si="146"/>
        <v>2760</v>
      </c>
      <c r="T252" s="359">
        <f t="shared" si="151"/>
        <v>6.7440439828955409E-2</v>
      </c>
      <c r="U252" s="359">
        <f t="shared" si="147"/>
        <v>1</v>
      </c>
      <c r="V252" s="381">
        <f t="shared" si="148"/>
        <v>0.9</v>
      </c>
      <c r="W252" s="357">
        <f t="shared" si="149"/>
        <v>6.7440439828955409E-2</v>
      </c>
      <c r="X252" s="357">
        <f t="shared" si="149"/>
        <v>6.0696395846059868E-2</v>
      </c>
      <c r="Y252" s="198">
        <f t="shared" si="113"/>
        <v>800</v>
      </c>
      <c r="Z252" s="435"/>
      <c r="AC252" s="267"/>
    </row>
    <row r="253" spans="8:29" x14ac:dyDescent="0.25">
      <c r="H253" s="268" t="s">
        <v>574</v>
      </c>
      <c r="I253" s="397" t="s">
        <v>575</v>
      </c>
      <c r="J253" s="372">
        <v>44859</v>
      </c>
      <c r="K253" s="372">
        <v>44881</v>
      </c>
      <c r="L253" s="268">
        <f t="shared" si="145"/>
        <v>23</v>
      </c>
      <c r="M253" s="268" t="s">
        <v>1186</v>
      </c>
      <c r="N253" s="268">
        <v>800</v>
      </c>
      <c r="O253" s="268">
        <v>700</v>
      </c>
      <c r="P253" s="268">
        <f t="shared" si="150"/>
        <v>2760</v>
      </c>
      <c r="Q253" s="268">
        <v>10</v>
      </c>
      <c r="R253" s="268">
        <v>12</v>
      </c>
      <c r="S253" s="269">
        <f t="shared" si="146"/>
        <v>2760</v>
      </c>
      <c r="T253" s="359">
        <f t="shared" si="151"/>
        <v>6.7440439828955409E-2</v>
      </c>
      <c r="U253" s="359">
        <f t="shared" si="147"/>
        <v>1</v>
      </c>
      <c r="V253" s="381">
        <f t="shared" si="148"/>
        <v>0.875</v>
      </c>
      <c r="W253" s="357">
        <f t="shared" si="149"/>
        <v>6.7440439828955409E-2</v>
      </c>
      <c r="X253" s="357">
        <f t="shared" si="149"/>
        <v>5.9010384850335981E-2</v>
      </c>
      <c r="Y253" s="198">
        <f t="shared" si="113"/>
        <v>800</v>
      </c>
      <c r="Z253" s="435"/>
      <c r="AC253" s="267"/>
    </row>
    <row r="254" spans="8:29" x14ac:dyDescent="0.25">
      <c r="H254" s="268" t="s">
        <v>576</v>
      </c>
      <c r="I254" s="397" t="s">
        <v>577</v>
      </c>
      <c r="J254" s="372">
        <v>44847</v>
      </c>
      <c r="K254" s="372">
        <v>44881</v>
      </c>
      <c r="L254" s="268">
        <f t="shared" si="145"/>
        <v>35</v>
      </c>
      <c r="M254" s="268" t="s">
        <v>1186</v>
      </c>
      <c r="N254" s="268">
        <v>100</v>
      </c>
      <c r="O254" s="268">
        <v>100</v>
      </c>
      <c r="P254" s="268">
        <f t="shared" si="150"/>
        <v>1400</v>
      </c>
      <c r="Q254" s="268">
        <v>10</v>
      </c>
      <c r="R254" s="268">
        <v>4</v>
      </c>
      <c r="S254" s="269">
        <f t="shared" si="146"/>
        <v>1400</v>
      </c>
      <c r="T254" s="359">
        <f t="shared" si="151"/>
        <v>3.4208918753817957E-2</v>
      </c>
      <c r="U254" s="359">
        <f t="shared" si="147"/>
        <v>1</v>
      </c>
      <c r="V254" s="357">
        <f t="shared" si="148"/>
        <v>1</v>
      </c>
      <c r="W254" s="357">
        <f t="shared" si="149"/>
        <v>3.4208918753817957E-2</v>
      </c>
      <c r="X254" s="357">
        <f t="shared" si="149"/>
        <v>3.4208918753817957E-2</v>
      </c>
      <c r="Y254" s="198">
        <f t="shared" si="113"/>
        <v>100</v>
      </c>
      <c r="Z254" s="435"/>
      <c r="AC254" s="267"/>
    </row>
    <row r="255" spans="8:29" x14ac:dyDescent="0.25">
      <c r="H255" s="268" t="s">
        <v>578</v>
      </c>
      <c r="I255" s="397" t="s">
        <v>579</v>
      </c>
      <c r="J255" s="372">
        <v>44847</v>
      </c>
      <c r="K255" s="372">
        <v>44881</v>
      </c>
      <c r="L255" s="268">
        <f t="shared" si="145"/>
        <v>35</v>
      </c>
      <c r="M255" s="268" t="s">
        <v>1186</v>
      </c>
      <c r="N255" s="268">
        <v>30</v>
      </c>
      <c r="O255" s="268">
        <v>30</v>
      </c>
      <c r="P255" s="268">
        <f t="shared" si="150"/>
        <v>2800</v>
      </c>
      <c r="Q255" s="268">
        <v>10</v>
      </c>
      <c r="R255" s="268">
        <v>8</v>
      </c>
      <c r="S255" s="269">
        <f t="shared" si="146"/>
        <v>2800</v>
      </c>
      <c r="T255" s="359">
        <f t="shared" si="151"/>
        <v>6.8417837507635915E-2</v>
      </c>
      <c r="U255" s="359">
        <f t="shared" si="147"/>
        <v>1</v>
      </c>
      <c r="V255" s="357">
        <f t="shared" si="148"/>
        <v>1</v>
      </c>
      <c r="W255" s="357">
        <f t="shared" si="149"/>
        <v>6.8417837507635915E-2</v>
      </c>
      <c r="X255" s="357">
        <f t="shared" si="149"/>
        <v>6.8417837507635915E-2</v>
      </c>
      <c r="Y255" s="198">
        <f t="shared" si="113"/>
        <v>30</v>
      </c>
      <c r="Z255" s="435"/>
      <c r="AC255" s="267"/>
    </row>
    <row r="256" spans="8:29" x14ac:dyDescent="0.25">
      <c r="H256" s="268" t="s">
        <v>580</v>
      </c>
      <c r="I256" s="397" t="s">
        <v>581</v>
      </c>
      <c r="J256" s="372">
        <v>44868</v>
      </c>
      <c r="K256" s="372">
        <v>44885</v>
      </c>
      <c r="L256" s="268">
        <f t="shared" si="145"/>
        <v>18</v>
      </c>
      <c r="M256" s="268" t="s">
        <v>1186</v>
      </c>
      <c r="N256" s="268">
        <v>436</v>
      </c>
      <c r="O256" s="268">
        <v>436</v>
      </c>
      <c r="P256" s="268">
        <f t="shared" si="150"/>
        <v>1080</v>
      </c>
      <c r="Q256" s="268">
        <v>10</v>
      </c>
      <c r="R256" s="268">
        <v>6</v>
      </c>
      <c r="S256" s="269">
        <f t="shared" si="146"/>
        <v>1080</v>
      </c>
      <c r="T256" s="359">
        <f t="shared" si="151"/>
        <v>2.6389737324373854E-2</v>
      </c>
      <c r="U256" s="359">
        <f t="shared" si="147"/>
        <v>1</v>
      </c>
      <c r="V256" s="357">
        <f t="shared" si="148"/>
        <v>1</v>
      </c>
      <c r="W256" s="357">
        <f t="shared" si="149"/>
        <v>2.6389737324373854E-2</v>
      </c>
      <c r="X256" s="357">
        <f t="shared" si="149"/>
        <v>2.6389737324373854E-2</v>
      </c>
      <c r="Y256" s="198">
        <f t="shared" si="113"/>
        <v>436</v>
      </c>
      <c r="Z256" s="435"/>
      <c r="AC256" s="267"/>
    </row>
    <row r="257" spans="8:29" x14ac:dyDescent="0.25">
      <c r="H257" s="522" t="s">
        <v>582</v>
      </c>
      <c r="I257" s="523"/>
      <c r="J257" s="378">
        <v>44846</v>
      </c>
      <c r="K257" s="378">
        <v>45305</v>
      </c>
      <c r="L257" s="377">
        <f t="shared" si="145"/>
        <v>460</v>
      </c>
      <c r="M257" s="377"/>
      <c r="N257" s="377"/>
      <c r="O257" s="377"/>
      <c r="P257" s="377">
        <f>P258+P259</f>
        <v>14000</v>
      </c>
      <c r="Q257" s="377"/>
      <c r="R257" s="377">
        <v>6</v>
      </c>
      <c r="S257" s="387">
        <f>S258+S259</f>
        <v>14000</v>
      </c>
      <c r="T257" s="379">
        <f>S257/S246</f>
        <v>0.25489303595812474</v>
      </c>
      <c r="U257" s="377"/>
      <c r="V257" s="379"/>
      <c r="W257" s="379">
        <f>W258+W259</f>
        <v>0.7</v>
      </c>
      <c r="X257" s="379">
        <f>X258+X259</f>
        <v>0.22500000000000001</v>
      </c>
      <c r="Y257" s="198">
        <f t="shared" si="113"/>
        <v>0</v>
      </c>
      <c r="Z257" s="435"/>
      <c r="AC257" s="267"/>
    </row>
    <row r="258" spans="8:29" x14ac:dyDescent="0.25">
      <c r="H258" s="268" t="s">
        <v>583</v>
      </c>
      <c r="I258" s="397" t="s">
        <v>584</v>
      </c>
      <c r="J258" s="372">
        <v>44846</v>
      </c>
      <c r="K258" s="372">
        <v>44915</v>
      </c>
      <c r="L258" s="268">
        <f t="shared" si="145"/>
        <v>70</v>
      </c>
      <c r="M258" s="268" t="s">
        <v>1186</v>
      </c>
      <c r="N258" s="268">
        <v>800</v>
      </c>
      <c r="O258" s="268">
        <v>450</v>
      </c>
      <c r="P258" s="268">
        <f t="shared" si="150"/>
        <v>5600</v>
      </c>
      <c r="Q258" s="268">
        <v>10</v>
      </c>
      <c r="R258" s="268">
        <v>8</v>
      </c>
      <c r="S258" s="269">
        <f>P258</f>
        <v>5600</v>
      </c>
      <c r="T258" s="359">
        <f>S258/S257</f>
        <v>0.4</v>
      </c>
      <c r="U258" s="359">
        <f t="shared" ref="U258:U259" si="152">IF($J258&gt;U$5,0,IF($K258&lt;U$5,1,IF(U$5=$K258,1,((U$5-$J258+1)/($K258-$J258+1)))))</f>
        <v>1</v>
      </c>
      <c r="V258" s="357">
        <f>IFERROR(O258/N258,0)</f>
        <v>0.5625</v>
      </c>
      <c r="W258" s="357">
        <f t="shared" ref="W258:X259" si="153">U258*$T258</f>
        <v>0.4</v>
      </c>
      <c r="X258" s="357">
        <f t="shared" si="153"/>
        <v>0.22500000000000001</v>
      </c>
      <c r="Y258" s="198">
        <f t="shared" si="113"/>
        <v>800</v>
      </c>
      <c r="Z258" s="435"/>
      <c r="AC258" s="267"/>
    </row>
    <row r="259" spans="8:29" x14ac:dyDescent="0.25">
      <c r="H259" s="268" t="s">
        <v>585</v>
      </c>
      <c r="I259" s="397" t="s">
        <v>586</v>
      </c>
      <c r="J259" s="372">
        <v>45264</v>
      </c>
      <c r="K259" s="372">
        <v>45305</v>
      </c>
      <c r="L259" s="268">
        <f t="shared" si="145"/>
        <v>42</v>
      </c>
      <c r="M259" s="268" t="s">
        <v>1186</v>
      </c>
      <c r="N259" s="268">
        <v>1200</v>
      </c>
      <c r="O259" s="268">
        <v>0</v>
      </c>
      <c r="P259" s="268">
        <f t="shared" si="150"/>
        <v>8400</v>
      </c>
      <c r="Q259" s="268">
        <v>10</v>
      </c>
      <c r="R259" s="268">
        <v>20</v>
      </c>
      <c r="S259" s="269">
        <f>P259</f>
        <v>8400</v>
      </c>
      <c r="T259" s="359">
        <f>S259/S257</f>
        <v>0.6</v>
      </c>
      <c r="U259" s="359">
        <f t="shared" si="152"/>
        <v>0.5</v>
      </c>
      <c r="V259" s="357">
        <f>IFERROR(O259/N259,0)</f>
        <v>0</v>
      </c>
      <c r="W259" s="357">
        <f t="shared" si="153"/>
        <v>0.3</v>
      </c>
      <c r="X259" s="357">
        <f t="shared" si="153"/>
        <v>0</v>
      </c>
      <c r="Y259" s="198">
        <f t="shared" si="113"/>
        <v>600</v>
      </c>
      <c r="Z259" s="435"/>
      <c r="AC259" s="267"/>
    </row>
    <row r="260" spans="8:29" x14ac:dyDescent="0.25">
      <c r="H260" s="518" t="s">
        <v>587</v>
      </c>
      <c r="I260" s="519"/>
      <c r="J260" s="370">
        <v>44655</v>
      </c>
      <c r="K260" s="370">
        <v>44914</v>
      </c>
      <c r="L260" s="369">
        <f t="shared" si="145"/>
        <v>260</v>
      </c>
      <c r="M260" s="369"/>
      <c r="N260" s="369"/>
      <c r="O260" s="369"/>
      <c r="P260" s="369">
        <f>P261+P266+P271+P274</f>
        <v>27240</v>
      </c>
      <c r="Q260" s="369"/>
      <c r="R260" s="369"/>
      <c r="S260" s="385">
        <f>S261+S266+S271+S274</f>
        <v>27240</v>
      </c>
      <c r="T260" s="363">
        <f>S260/S199</f>
        <v>0.11246856949393272</v>
      </c>
      <c r="U260" s="369"/>
      <c r="V260" s="363"/>
      <c r="W260" s="363">
        <f>(W261*T261)+(W266*T266)+(W271*T271)+(W274*T274)</f>
        <v>1</v>
      </c>
      <c r="X260" s="363">
        <f>(X261*T261)+(X266*T266)+(X271*T271)+(X274*T274)</f>
        <v>0.92745961820851686</v>
      </c>
      <c r="Y260" s="198">
        <f t="shared" si="113"/>
        <v>0</v>
      </c>
      <c r="Z260" s="435"/>
      <c r="AC260" s="267"/>
    </row>
    <row r="261" spans="8:29" x14ac:dyDescent="0.25">
      <c r="H261" s="520" t="s">
        <v>588</v>
      </c>
      <c r="I261" s="521"/>
      <c r="J261" s="375">
        <v>44655</v>
      </c>
      <c r="K261" s="375">
        <v>44753</v>
      </c>
      <c r="L261" s="374">
        <f t="shared" ref="L261" si="154">K261-J261+1</f>
        <v>99</v>
      </c>
      <c r="M261" s="374"/>
      <c r="N261" s="374"/>
      <c r="O261" s="374"/>
      <c r="P261" s="374">
        <f>P262+P263+P264+P265</f>
        <v>6052</v>
      </c>
      <c r="Q261" s="374"/>
      <c r="R261" s="374"/>
      <c r="S261" s="386">
        <f>S262+S263+S264+S265</f>
        <v>6052</v>
      </c>
      <c r="T261" s="376">
        <f>S261/S260</f>
        <v>0.22217327459618208</v>
      </c>
      <c r="U261" s="374"/>
      <c r="V261" s="376"/>
      <c r="W261" s="376">
        <f>W262+W263+W264+W265</f>
        <v>0.99999999999999989</v>
      </c>
      <c r="X261" s="376">
        <f>X262+X263+X264+X265</f>
        <v>0.99999999999999989</v>
      </c>
      <c r="Y261" s="198">
        <f t="shared" si="113"/>
        <v>0</v>
      </c>
      <c r="Z261" s="435"/>
      <c r="AC261" s="267"/>
    </row>
    <row r="262" spans="8:29" x14ac:dyDescent="0.25">
      <c r="H262" s="268" t="s">
        <v>589</v>
      </c>
      <c r="I262" s="397" t="s">
        <v>499</v>
      </c>
      <c r="J262" s="372">
        <v>44655</v>
      </c>
      <c r="K262" s="372">
        <v>44683</v>
      </c>
      <c r="L262" s="268">
        <f t="shared" ref="L262:L266" si="155">K262-J262+1</f>
        <v>29</v>
      </c>
      <c r="M262" s="268" t="s">
        <v>1186</v>
      </c>
      <c r="N262" s="268">
        <v>1041</v>
      </c>
      <c r="O262" s="268">
        <v>1041</v>
      </c>
      <c r="P262" s="268">
        <f t="shared" ref="P262:P265" si="156">L262*Q262*R262</f>
        <v>1392</v>
      </c>
      <c r="Q262" s="268">
        <v>24</v>
      </c>
      <c r="R262" s="268">
        <v>2</v>
      </c>
      <c r="S262" s="269">
        <f>P262</f>
        <v>1392</v>
      </c>
      <c r="T262" s="359">
        <f>S262/$S$261</f>
        <v>0.23000660938532716</v>
      </c>
      <c r="U262" s="359">
        <f t="shared" ref="U262:U265" si="157">IF($J262&gt;U$5,0,IF($K262&lt;U$5,1,IF(U$5=$K262,1,((U$5-$J262+1)/($K262-$J262+1)))))</f>
        <v>1</v>
      </c>
      <c r="V262" s="357">
        <f>IFERROR(O262/N262,0)</f>
        <v>1</v>
      </c>
      <c r="W262" s="357">
        <f t="shared" ref="W262:X265" si="158">U262*$T262</f>
        <v>0.23000660938532716</v>
      </c>
      <c r="X262" s="357">
        <f t="shared" si="158"/>
        <v>0.23000660938532716</v>
      </c>
      <c r="Y262" s="198">
        <f t="shared" si="113"/>
        <v>1041</v>
      </c>
      <c r="Z262" s="435"/>
      <c r="AC262" s="267"/>
    </row>
    <row r="263" spans="8:29" x14ac:dyDescent="0.25">
      <c r="H263" s="268" t="s">
        <v>590</v>
      </c>
      <c r="I263" s="397" t="s">
        <v>591</v>
      </c>
      <c r="J263" s="372">
        <v>44676</v>
      </c>
      <c r="K263" s="372">
        <v>44716</v>
      </c>
      <c r="L263" s="268">
        <f t="shared" si="155"/>
        <v>41</v>
      </c>
      <c r="M263" s="268" t="s">
        <v>1186</v>
      </c>
      <c r="N263" s="268">
        <v>250</v>
      </c>
      <c r="O263" s="268">
        <v>250</v>
      </c>
      <c r="P263" s="268">
        <f t="shared" si="156"/>
        <v>3280</v>
      </c>
      <c r="Q263" s="268">
        <v>10</v>
      </c>
      <c r="R263" s="268">
        <v>8</v>
      </c>
      <c r="S263" s="269">
        <f>P263</f>
        <v>3280</v>
      </c>
      <c r="T263" s="359">
        <f t="shared" ref="T263:T265" si="159">S263/$S$261</f>
        <v>0.54196959682749501</v>
      </c>
      <c r="U263" s="359">
        <f t="shared" si="157"/>
        <v>1</v>
      </c>
      <c r="V263" s="357">
        <f>IFERROR(O263/N263,0)</f>
        <v>1</v>
      </c>
      <c r="W263" s="357">
        <f t="shared" si="158"/>
        <v>0.54196959682749501</v>
      </c>
      <c r="X263" s="357">
        <f t="shared" si="158"/>
        <v>0.54196959682749501</v>
      </c>
      <c r="Y263" s="198">
        <f t="shared" si="113"/>
        <v>250</v>
      </c>
      <c r="Z263" s="435"/>
      <c r="AC263" s="267"/>
    </row>
    <row r="264" spans="8:29" x14ac:dyDescent="0.25">
      <c r="H264" s="268" t="s">
        <v>592</v>
      </c>
      <c r="I264" s="397" t="s">
        <v>593</v>
      </c>
      <c r="J264" s="372">
        <v>44717</v>
      </c>
      <c r="K264" s="372">
        <v>44727</v>
      </c>
      <c r="L264" s="268">
        <f t="shared" si="155"/>
        <v>11</v>
      </c>
      <c r="M264" s="268" t="s">
        <v>1183</v>
      </c>
      <c r="N264" s="268">
        <v>100</v>
      </c>
      <c r="O264" s="268">
        <v>100</v>
      </c>
      <c r="P264" s="268">
        <f t="shared" si="156"/>
        <v>220</v>
      </c>
      <c r="Q264" s="268">
        <v>10</v>
      </c>
      <c r="R264" s="268">
        <v>2</v>
      </c>
      <c r="S264" s="269">
        <f>P264</f>
        <v>220</v>
      </c>
      <c r="T264" s="359">
        <f t="shared" si="159"/>
        <v>3.6351619299405155E-2</v>
      </c>
      <c r="U264" s="359">
        <f t="shared" si="157"/>
        <v>1</v>
      </c>
      <c r="V264" s="357">
        <f>IFERROR(O264/N264,0)</f>
        <v>1</v>
      </c>
      <c r="W264" s="357">
        <f t="shared" si="158"/>
        <v>3.6351619299405155E-2</v>
      </c>
      <c r="X264" s="357">
        <f t="shared" si="158"/>
        <v>3.6351619299405155E-2</v>
      </c>
      <c r="Y264" s="198">
        <f t="shared" si="113"/>
        <v>100</v>
      </c>
      <c r="Z264" s="435"/>
      <c r="AC264" s="267"/>
    </row>
    <row r="265" spans="8:29" x14ac:dyDescent="0.25">
      <c r="H265" s="268" t="s">
        <v>594</v>
      </c>
      <c r="I265" s="397" t="s">
        <v>595</v>
      </c>
      <c r="J265" s="372">
        <v>44725</v>
      </c>
      <c r="K265" s="372">
        <v>44753</v>
      </c>
      <c r="L265" s="268">
        <f t="shared" si="155"/>
        <v>29</v>
      </c>
      <c r="M265" s="268" t="s">
        <v>1186</v>
      </c>
      <c r="N265" s="268">
        <v>450</v>
      </c>
      <c r="O265" s="268">
        <v>450</v>
      </c>
      <c r="P265" s="268">
        <f t="shared" si="156"/>
        <v>1160</v>
      </c>
      <c r="Q265" s="268">
        <v>10</v>
      </c>
      <c r="R265" s="268">
        <v>4</v>
      </c>
      <c r="S265" s="269">
        <f>P265</f>
        <v>1160</v>
      </c>
      <c r="T265" s="359">
        <f t="shared" si="159"/>
        <v>0.19167217448777263</v>
      </c>
      <c r="U265" s="359">
        <f t="shared" si="157"/>
        <v>1</v>
      </c>
      <c r="V265" s="357">
        <f>IFERROR(O265/N265,0)</f>
        <v>1</v>
      </c>
      <c r="W265" s="357">
        <f t="shared" si="158"/>
        <v>0.19167217448777263</v>
      </c>
      <c r="X265" s="357">
        <f t="shared" si="158"/>
        <v>0.19167217448777263</v>
      </c>
      <c r="Y265" s="198">
        <f t="shared" si="113"/>
        <v>450</v>
      </c>
      <c r="Z265" s="435"/>
      <c r="AC265" s="267"/>
    </row>
    <row r="266" spans="8:29" x14ac:dyDescent="0.25">
      <c r="H266" s="520" t="s">
        <v>596</v>
      </c>
      <c r="I266" s="521"/>
      <c r="J266" s="375">
        <v>44661</v>
      </c>
      <c r="K266" s="375">
        <v>44803</v>
      </c>
      <c r="L266" s="374">
        <f t="shared" si="155"/>
        <v>143</v>
      </c>
      <c r="M266" s="374"/>
      <c r="N266" s="374"/>
      <c r="O266" s="374"/>
      <c r="P266" s="374">
        <f>P267+P268+P269+P270</f>
        <v>11196</v>
      </c>
      <c r="Q266" s="374"/>
      <c r="R266" s="374"/>
      <c r="S266" s="386">
        <f>S267+S268+S269+S270</f>
        <v>11196</v>
      </c>
      <c r="T266" s="376">
        <f>S266/S260</f>
        <v>0.41101321585903083</v>
      </c>
      <c r="U266" s="374"/>
      <c r="V266" s="376"/>
      <c r="W266" s="376">
        <f>W267+W268+W269+W270</f>
        <v>1</v>
      </c>
      <c r="X266" s="376">
        <f>X267+X268+X269+X270</f>
        <v>1</v>
      </c>
      <c r="Y266" s="198">
        <f t="shared" ref="Y266:Y329" si="160">+U266*N266</f>
        <v>0</v>
      </c>
      <c r="Z266" s="435"/>
      <c r="AC266" s="267"/>
    </row>
    <row r="267" spans="8:29" x14ac:dyDescent="0.25">
      <c r="H267" s="268" t="s">
        <v>597</v>
      </c>
      <c r="I267" s="397" t="s">
        <v>499</v>
      </c>
      <c r="J267" s="372">
        <v>44661</v>
      </c>
      <c r="K267" s="372">
        <v>44712</v>
      </c>
      <c r="L267" s="268">
        <f t="shared" ref="L267:L271" si="161">K267-J267+1</f>
        <v>52</v>
      </c>
      <c r="M267" s="268" t="s">
        <v>1186</v>
      </c>
      <c r="N267" s="268">
        <v>1600</v>
      </c>
      <c r="O267" s="268">
        <v>1600</v>
      </c>
      <c r="P267" s="268">
        <f t="shared" ref="P267:P270" si="162">L267*Q267*R267</f>
        <v>2496</v>
      </c>
      <c r="Q267" s="268">
        <v>24</v>
      </c>
      <c r="R267" s="268">
        <v>2</v>
      </c>
      <c r="S267" s="269">
        <f>P267</f>
        <v>2496</v>
      </c>
      <c r="T267" s="359">
        <f>S267/$S$266</f>
        <v>0.22293676312968919</v>
      </c>
      <c r="U267" s="359">
        <f t="shared" ref="U267:U270" si="163">IF($J267&gt;U$5,0,IF($K267&lt;U$5,1,IF(U$5=$K267,1,((U$5-$J267+1)/($K267-$J267+1)))))</f>
        <v>1</v>
      </c>
      <c r="V267" s="357">
        <f>IFERROR(O267/N267,0)</f>
        <v>1</v>
      </c>
      <c r="W267" s="357">
        <f t="shared" ref="W267:X270" si="164">U267*$T267</f>
        <v>0.22293676312968919</v>
      </c>
      <c r="X267" s="357">
        <f t="shared" si="164"/>
        <v>0.22293676312968919</v>
      </c>
      <c r="Y267" s="198">
        <f t="shared" si="160"/>
        <v>1600</v>
      </c>
      <c r="Z267" s="435"/>
      <c r="AC267" s="267"/>
    </row>
    <row r="268" spans="8:29" x14ac:dyDescent="0.25">
      <c r="H268" s="268" t="s">
        <v>598</v>
      </c>
      <c r="I268" s="397" t="s">
        <v>599</v>
      </c>
      <c r="J268" s="372">
        <v>44690</v>
      </c>
      <c r="K268" s="372">
        <v>44759</v>
      </c>
      <c r="L268" s="268">
        <f t="shared" si="161"/>
        <v>70</v>
      </c>
      <c r="M268" s="268" t="s">
        <v>1186</v>
      </c>
      <c r="N268" s="268">
        <v>255</v>
      </c>
      <c r="O268" s="268">
        <v>255</v>
      </c>
      <c r="P268" s="268">
        <f t="shared" si="162"/>
        <v>7000</v>
      </c>
      <c r="Q268" s="268">
        <v>10</v>
      </c>
      <c r="R268" s="268">
        <v>10</v>
      </c>
      <c r="S268" s="269">
        <f>P268</f>
        <v>7000</v>
      </c>
      <c r="T268" s="359">
        <f t="shared" ref="T268:T270" si="165">S268/$S$266</f>
        <v>0.62522329403358345</v>
      </c>
      <c r="U268" s="359">
        <f t="shared" si="163"/>
        <v>1</v>
      </c>
      <c r="V268" s="357">
        <f>IFERROR(O268/N268,0)</f>
        <v>1</v>
      </c>
      <c r="W268" s="357">
        <f t="shared" si="164"/>
        <v>0.62522329403358345</v>
      </c>
      <c r="X268" s="357">
        <f t="shared" si="164"/>
        <v>0.62522329403358345</v>
      </c>
      <c r="Y268" s="198">
        <f t="shared" si="160"/>
        <v>255</v>
      </c>
      <c r="Z268" s="435"/>
      <c r="AC268" s="267"/>
    </row>
    <row r="269" spans="8:29" x14ac:dyDescent="0.25">
      <c r="H269" s="268" t="s">
        <v>600</v>
      </c>
      <c r="I269" s="397" t="s">
        <v>593</v>
      </c>
      <c r="J269" s="372">
        <v>44760</v>
      </c>
      <c r="K269" s="372">
        <v>44770</v>
      </c>
      <c r="L269" s="268">
        <f t="shared" si="161"/>
        <v>11</v>
      </c>
      <c r="M269" s="268" t="s">
        <v>1183</v>
      </c>
      <c r="N269" s="268">
        <v>100</v>
      </c>
      <c r="O269" s="268">
        <v>100</v>
      </c>
      <c r="P269" s="268">
        <f t="shared" si="162"/>
        <v>220</v>
      </c>
      <c r="Q269" s="268">
        <v>10</v>
      </c>
      <c r="R269" s="268">
        <v>2</v>
      </c>
      <c r="S269" s="269">
        <f>P269</f>
        <v>220</v>
      </c>
      <c r="T269" s="359">
        <f t="shared" si="165"/>
        <v>1.9649874955341193E-2</v>
      </c>
      <c r="U269" s="359">
        <f t="shared" si="163"/>
        <v>1</v>
      </c>
      <c r="V269" s="357">
        <f>IFERROR(O269/N269,0)</f>
        <v>1</v>
      </c>
      <c r="W269" s="357">
        <f t="shared" si="164"/>
        <v>1.9649874955341193E-2</v>
      </c>
      <c r="X269" s="357">
        <f t="shared" si="164"/>
        <v>1.9649874955341193E-2</v>
      </c>
      <c r="Y269" s="198">
        <f t="shared" si="160"/>
        <v>100</v>
      </c>
      <c r="Z269" s="435"/>
      <c r="AC269" s="267"/>
    </row>
    <row r="270" spans="8:29" x14ac:dyDescent="0.25">
      <c r="H270" s="268" t="s">
        <v>601</v>
      </c>
      <c r="I270" s="397" t="s">
        <v>595</v>
      </c>
      <c r="J270" s="372">
        <v>44767</v>
      </c>
      <c r="K270" s="372">
        <v>44803</v>
      </c>
      <c r="L270" s="268">
        <f t="shared" si="161"/>
        <v>37</v>
      </c>
      <c r="M270" s="268" t="s">
        <v>1186</v>
      </c>
      <c r="N270" s="268">
        <v>675</v>
      </c>
      <c r="O270" s="268">
        <v>675</v>
      </c>
      <c r="P270" s="268">
        <f t="shared" si="162"/>
        <v>1480</v>
      </c>
      <c r="Q270" s="268">
        <v>10</v>
      </c>
      <c r="R270" s="268">
        <v>4</v>
      </c>
      <c r="S270" s="269">
        <f>P270</f>
        <v>1480</v>
      </c>
      <c r="T270" s="359">
        <f t="shared" si="165"/>
        <v>0.13219006788138621</v>
      </c>
      <c r="U270" s="359">
        <f t="shared" si="163"/>
        <v>1</v>
      </c>
      <c r="V270" s="357">
        <f>IFERROR(O270/N270,0)</f>
        <v>1</v>
      </c>
      <c r="W270" s="357">
        <f t="shared" si="164"/>
        <v>0.13219006788138621</v>
      </c>
      <c r="X270" s="357">
        <f t="shared" si="164"/>
        <v>0.13219006788138621</v>
      </c>
      <c r="Y270" s="198">
        <f t="shared" si="160"/>
        <v>675</v>
      </c>
      <c r="Z270" s="435"/>
      <c r="AC270" s="267"/>
    </row>
    <row r="271" spans="8:29" x14ac:dyDescent="0.25">
      <c r="H271" s="520" t="s">
        <v>602</v>
      </c>
      <c r="I271" s="521"/>
      <c r="J271" s="375">
        <v>44789</v>
      </c>
      <c r="K271" s="375">
        <v>44878</v>
      </c>
      <c r="L271" s="374">
        <f t="shared" si="161"/>
        <v>90</v>
      </c>
      <c r="M271" s="374"/>
      <c r="N271" s="374"/>
      <c r="O271" s="374"/>
      <c r="P271" s="374">
        <f>P272+P273</f>
        <v>8016</v>
      </c>
      <c r="Q271" s="374"/>
      <c r="R271" s="374"/>
      <c r="S271" s="386">
        <f>S272+S273</f>
        <v>8016</v>
      </c>
      <c r="T271" s="376">
        <f>S271/S260</f>
        <v>0.29427312775330394</v>
      </c>
      <c r="U271" s="374"/>
      <c r="V271" s="376"/>
      <c r="W271" s="376">
        <f>W272+W273</f>
        <v>1</v>
      </c>
      <c r="X271" s="376">
        <f>X272+X273</f>
        <v>1</v>
      </c>
      <c r="Y271" s="198">
        <f t="shared" si="160"/>
        <v>0</v>
      </c>
      <c r="Z271" s="435"/>
      <c r="AC271" s="267"/>
    </row>
    <row r="272" spans="8:29" x14ac:dyDescent="0.25">
      <c r="H272" s="268" t="s">
        <v>603</v>
      </c>
      <c r="I272" s="397" t="s">
        <v>499</v>
      </c>
      <c r="J272" s="372">
        <v>44789</v>
      </c>
      <c r="K272" s="372">
        <v>44835</v>
      </c>
      <c r="L272" s="268">
        <f t="shared" ref="L272:L274" si="166">K272-J272+1</f>
        <v>47</v>
      </c>
      <c r="M272" s="268" t="s">
        <v>1186</v>
      </c>
      <c r="N272" s="268">
        <v>1437</v>
      </c>
      <c r="O272" s="268">
        <v>1437</v>
      </c>
      <c r="P272" s="268">
        <f t="shared" ref="P272:P273" si="167">L272*Q272*R272</f>
        <v>2256</v>
      </c>
      <c r="Q272" s="268">
        <v>24</v>
      </c>
      <c r="R272" s="268">
        <v>2</v>
      </c>
      <c r="S272" s="269">
        <f>P272</f>
        <v>2256</v>
      </c>
      <c r="T272" s="359">
        <f>S272/S271</f>
        <v>0.28143712574850299</v>
      </c>
      <c r="U272" s="359">
        <f t="shared" ref="U272:U273" si="168">IF($J272&gt;U$5,0,IF($K272&lt;U$5,1,IF(U$5=$K272,1,((U$5-$J272+1)/($K272-$J272+1)))))</f>
        <v>1</v>
      </c>
      <c r="V272" s="357">
        <f>IFERROR(O272/N272,0)</f>
        <v>1</v>
      </c>
      <c r="W272" s="357">
        <f t="shared" ref="W272:X276" si="169">U272*$T272</f>
        <v>0.28143712574850299</v>
      </c>
      <c r="X272" s="357">
        <f t="shared" si="169"/>
        <v>0.28143712574850299</v>
      </c>
      <c r="Y272" s="198">
        <f t="shared" si="160"/>
        <v>1437</v>
      </c>
      <c r="Z272" s="435"/>
      <c r="AC272" s="267"/>
    </row>
    <row r="273" spans="8:29" x14ac:dyDescent="0.25">
      <c r="H273" s="268" t="s">
        <v>604</v>
      </c>
      <c r="I273" s="397" t="s">
        <v>599</v>
      </c>
      <c r="J273" s="372">
        <v>44807</v>
      </c>
      <c r="K273" s="372">
        <v>44878</v>
      </c>
      <c r="L273" s="268">
        <f t="shared" si="166"/>
        <v>72</v>
      </c>
      <c r="M273" s="268" t="s">
        <v>1186</v>
      </c>
      <c r="N273" s="268">
        <v>567.36842105263008</v>
      </c>
      <c r="O273" s="268">
        <f>N273</f>
        <v>567.36842105263008</v>
      </c>
      <c r="P273" s="268">
        <f t="shared" si="167"/>
        <v>5760</v>
      </c>
      <c r="Q273" s="268">
        <v>10</v>
      </c>
      <c r="R273" s="268">
        <v>8</v>
      </c>
      <c r="S273" s="269">
        <f>P273</f>
        <v>5760</v>
      </c>
      <c r="T273" s="359">
        <f>S273/S271</f>
        <v>0.71856287425149701</v>
      </c>
      <c r="U273" s="359">
        <f t="shared" si="168"/>
        <v>1</v>
      </c>
      <c r="V273" s="357">
        <f>IFERROR(O273/N273,0)</f>
        <v>1</v>
      </c>
      <c r="W273" s="357">
        <f t="shared" si="169"/>
        <v>0.71856287425149701</v>
      </c>
      <c r="X273" s="357">
        <f t="shared" si="169"/>
        <v>0.71856287425149701</v>
      </c>
      <c r="Y273" s="198">
        <f t="shared" si="160"/>
        <v>567.36842105263008</v>
      </c>
      <c r="Z273" s="435"/>
      <c r="AC273" s="267"/>
    </row>
    <row r="274" spans="8:29" x14ac:dyDescent="0.25">
      <c r="H274" s="520" t="s">
        <v>605</v>
      </c>
      <c r="I274" s="521"/>
      <c r="J274" s="375">
        <v>44880</v>
      </c>
      <c r="K274" s="375">
        <v>44914</v>
      </c>
      <c r="L274" s="374">
        <f t="shared" si="166"/>
        <v>35</v>
      </c>
      <c r="M274" s="374"/>
      <c r="N274" s="374"/>
      <c r="O274" s="374"/>
      <c r="P274" s="374">
        <f>P275+P276</f>
        <v>1976</v>
      </c>
      <c r="Q274" s="374"/>
      <c r="R274" s="374"/>
      <c r="S274" s="386">
        <f>S275+S276</f>
        <v>1976</v>
      </c>
      <c r="T274" s="376">
        <f>S274/S260</f>
        <v>7.2540381791483116E-2</v>
      </c>
      <c r="U274" s="374"/>
      <c r="V274" s="376"/>
      <c r="W274" s="376">
        <f>W275+W276</f>
        <v>1</v>
      </c>
      <c r="X274" s="376">
        <f>X275+X276</f>
        <v>0</v>
      </c>
      <c r="Y274" s="198">
        <f t="shared" si="160"/>
        <v>0</v>
      </c>
      <c r="Z274" s="435"/>
      <c r="AC274" s="267"/>
    </row>
    <row r="275" spans="8:29" x14ac:dyDescent="0.25">
      <c r="H275" s="268" t="s">
        <v>606</v>
      </c>
      <c r="I275" s="397" t="s">
        <v>499</v>
      </c>
      <c r="J275" s="372">
        <v>44880</v>
      </c>
      <c r="K275" s="372">
        <v>44896</v>
      </c>
      <c r="L275" s="268">
        <f t="shared" ref="L275:L278" si="170">K275-J275+1</f>
        <v>17</v>
      </c>
      <c r="M275" s="268" t="s">
        <v>1186</v>
      </c>
      <c r="N275" s="268">
        <v>500</v>
      </c>
      <c r="O275" s="268"/>
      <c r="P275" s="268">
        <f t="shared" ref="P275:P276" si="171">L275*Q275*R275</f>
        <v>816</v>
      </c>
      <c r="Q275" s="268">
        <v>24</v>
      </c>
      <c r="R275" s="268">
        <v>2</v>
      </c>
      <c r="S275" s="269">
        <f>P275</f>
        <v>816</v>
      </c>
      <c r="T275" s="359">
        <f>S275/S274</f>
        <v>0.41295546558704455</v>
      </c>
      <c r="U275" s="359">
        <f t="shared" ref="U275:U276" si="172">IF($J275&gt;U$5,0,IF($K275&lt;U$5,1,IF(U$5=$K275,1,((U$5-$J275+1)/($K275-$J275+1)))))</f>
        <v>1</v>
      </c>
      <c r="V275" s="357">
        <f>IFERROR(O275/N275,0)</f>
        <v>0</v>
      </c>
      <c r="W275" s="357">
        <f t="shared" ref="W275:W276" si="173">U275*$T275</f>
        <v>0.41295546558704455</v>
      </c>
      <c r="X275" s="357">
        <f t="shared" si="169"/>
        <v>0</v>
      </c>
      <c r="Y275" s="198">
        <f t="shared" si="160"/>
        <v>500</v>
      </c>
      <c r="Z275" s="435"/>
      <c r="AC275" s="267"/>
    </row>
    <row r="276" spans="8:29" x14ac:dyDescent="0.25">
      <c r="H276" s="268" t="s">
        <v>607</v>
      </c>
      <c r="I276" s="397" t="s">
        <v>591</v>
      </c>
      <c r="J276" s="372">
        <v>44886</v>
      </c>
      <c r="K276" s="372">
        <v>44914</v>
      </c>
      <c r="L276" s="268">
        <f t="shared" si="170"/>
        <v>29</v>
      </c>
      <c r="M276" s="268" t="s">
        <v>1186</v>
      </c>
      <c r="N276" s="268">
        <v>116.842105263158</v>
      </c>
      <c r="O276" s="268"/>
      <c r="P276" s="268">
        <f t="shared" si="171"/>
        <v>1160</v>
      </c>
      <c r="Q276" s="268">
        <v>10</v>
      </c>
      <c r="R276" s="268">
        <v>4</v>
      </c>
      <c r="S276" s="269">
        <f>P276</f>
        <v>1160</v>
      </c>
      <c r="T276" s="359">
        <f>S276/S274</f>
        <v>0.58704453441295545</v>
      </c>
      <c r="U276" s="359">
        <f t="shared" si="172"/>
        <v>1</v>
      </c>
      <c r="V276" s="357">
        <f>IFERROR(O276/N276,0)</f>
        <v>0</v>
      </c>
      <c r="W276" s="357">
        <f t="shared" si="173"/>
        <v>0.58704453441295545</v>
      </c>
      <c r="X276" s="357">
        <f t="shared" si="169"/>
        <v>0</v>
      </c>
      <c r="Y276" s="198">
        <f t="shared" si="160"/>
        <v>116.842105263158</v>
      </c>
      <c r="Z276" s="435"/>
      <c r="AC276" s="267"/>
    </row>
    <row r="277" spans="8:29" x14ac:dyDescent="0.25">
      <c r="H277" s="411" t="s">
        <v>608</v>
      </c>
      <c r="I277" s="411"/>
      <c r="J277" s="370">
        <v>44927</v>
      </c>
      <c r="K277" s="370">
        <v>45046</v>
      </c>
      <c r="L277" s="369">
        <f t="shared" si="170"/>
        <v>120</v>
      </c>
      <c r="M277" s="369"/>
      <c r="N277" s="369"/>
      <c r="O277" s="369"/>
      <c r="P277" s="369">
        <f>P278+P281</f>
        <v>12400</v>
      </c>
      <c r="Q277" s="369"/>
      <c r="R277" s="369"/>
      <c r="S277" s="385">
        <f>S278+S281</f>
        <v>12400</v>
      </c>
      <c r="T277" s="363">
        <f>S277/S199</f>
        <v>5.1197146171981123E-2</v>
      </c>
      <c r="U277" s="369"/>
      <c r="V277" s="363"/>
      <c r="W277" s="363">
        <f>(W278*T278)+(W281*T281)</f>
        <v>1</v>
      </c>
      <c r="X277" s="363">
        <f>(X278*T278)+(X281*T281)</f>
        <v>0</v>
      </c>
      <c r="Y277" s="198">
        <f t="shared" si="160"/>
        <v>0</v>
      </c>
      <c r="Z277" s="435"/>
      <c r="AC277" s="267"/>
    </row>
    <row r="278" spans="8:29" x14ac:dyDescent="0.25">
      <c r="H278" s="398" t="s">
        <v>609</v>
      </c>
      <c r="I278" s="398"/>
      <c r="J278" s="375">
        <v>44927</v>
      </c>
      <c r="K278" s="375">
        <v>44990</v>
      </c>
      <c r="L278" s="374">
        <f t="shared" si="170"/>
        <v>64</v>
      </c>
      <c r="M278" s="374"/>
      <c r="N278" s="374"/>
      <c r="O278" s="374"/>
      <c r="P278" s="374">
        <f>P279+P280</f>
        <v>4944</v>
      </c>
      <c r="Q278" s="374"/>
      <c r="R278" s="374"/>
      <c r="S278" s="386">
        <f>S279+S280</f>
        <v>4944</v>
      </c>
      <c r="T278" s="376">
        <f>S278/S277</f>
        <v>0.39870967741935481</v>
      </c>
      <c r="U278" s="374"/>
      <c r="V278" s="376"/>
      <c r="W278" s="376">
        <f t="shared" ref="W278:X278" si="174">W279+W280</f>
        <v>1</v>
      </c>
      <c r="X278" s="376">
        <f t="shared" si="174"/>
        <v>0</v>
      </c>
      <c r="Y278" s="198">
        <f t="shared" si="160"/>
        <v>0</v>
      </c>
      <c r="Z278" s="435"/>
      <c r="AC278" s="267"/>
    </row>
    <row r="279" spans="8:29" x14ac:dyDescent="0.25">
      <c r="H279" s="268" t="s">
        <v>610</v>
      </c>
      <c r="I279" s="397" t="s">
        <v>499</v>
      </c>
      <c r="J279" s="372">
        <v>44927</v>
      </c>
      <c r="K279" s="372">
        <v>44949</v>
      </c>
      <c r="L279" s="268">
        <f t="shared" ref="L279:L281" si="175">K279-J279+1</f>
        <v>23</v>
      </c>
      <c r="M279" s="268" t="s">
        <v>1186</v>
      </c>
      <c r="N279" s="268">
        <v>4900</v>
      </c>
      <c r="O279" s="268"/>
      <c r="P279" s="268">
        <f t="shared" ref="P279:P280" si="176">L279*Q279*R279</f>
        <v>1104</v>
      </c>
      <c r="Q279" s="268">
        <v>24</v>
      </c>
      <c r="R279" s="268">
        <v>2</v>
      </c>
      <c r="S279" s="269">
        <f>P279</f>
        <v>1104</v>
      </c>
      <c r="T279" s="359">
        <f>S279/S278</f>
        <v>0.22330097087378642</v>
      </c>
      <c r="U279" s="361">
        <f t="shared" ref="U279:U280" si="177">IF($J279&gt;U$5,0,IF($K279&lt;U$5,1,IF(U$5=$K279,1,((U$5-$J279+1)/($K279-$J279+1)))))</f>
        <v>1</v>
      </c>
      <c r="V279" s="357">
        <f>IFERROR(O279/N279,0)</f>
        <v>0</v>
      </c>
      <c r="W279" s="357">
        <f t="shared" ref="W279:X280" si="178">U279*$T279</f>
        <v>0.22330097087378642</v>
      </c>
      <c r="X279" s="357">
        <f t="shared" si="178"/>
        <v>0</v>
      </c>
      <c r="Y279" s="198">
        <f t="shared" si="160"/>
        <v>4900</v>
      </c>
      <c r="Z279" s="435"/>
      <c r="AC279" s="267"/>
    </row>
    <row r="280" spans="8:29" x14ac:dyDescent="0.25">
      <c r="H280" s="268" t="s">
        <v>611</v>
      </c>
      <c r="I280" s="397" t="s">
        <v>591</v>
      </c>
      <c r="J280" s="372">
        <v>44943</v>
      </c>
      <c r="K280" s="372">
        <v>44990</v>
      </c>
      <c r="L280" s="268">
        <f t="shared" si="175"/>
        <v>48</v>
      </c>
      <c r="M280" s="268" t="s">
        <v>1186</v>
      </c>
      <c r="N280" s="268">
        <v>2264.0566037735798</v>
      </c>
      <c r="O280" s="268"/>
      <c r="P280" s="268">
        <f t="shared" si="176"/>
        <v>3840</v>
      </c>
      <c r="Q280" s="268">
        <v>10</v>
      </c>
      <c r="R280" s="268">
        <v>8</v>
      </c>
      <c r="S280" s="269">
        <f>P280</f>
        <v>3840</v>
      </c>
      <c r="T280" s="359">
        <f>S280/S278</f>
        <v>0.77669902912621358</v>
      </c>
      <c r="U280" s="361">
        <f t="shared" si="177"/>
        <v>1</v>
      </c>
      <c r="V280" s="357">
        <f>IFERROR(O280/N280,0)</f>
        <v>0</v>
      </c>
      <c r="W280" s="357">
        <f t="shared" si="178"/>
        <v>0.77669902912621358</v>
      </c>
      <c r="X280" s="357">
        <f t="shared" si="178"/>
        <v>0</v>
      </c>
      <c r="Y280" s="198">
        <f t="shared" si="160"/>
        <v>2264.0566037735798</v>
      </c>
      <c r="Z280" s="435"/>
      <c r="AC280" s="267"/>
    </row>
    <row r="281" spans="8:29" x14ac:dyDescent="0.25">
      <c r="H281" s="398" t="s">
        <v>612</v>
      </c>
      <c r="I281" s="398"/>
      <c r="J281" s="375">
        <v>44962</v>
      </c>
      <c r="K281" s="375">
        <v>45046</v>
      </c>
      <c r="L281" s="374">
        <f t="shared" si="175"/>
        <v>85</v>
      </c>
      <c r="M281" s="374"/>
      <c r="N281" s="374"/>
      <c r="O281" s="374"/>
      <c r="P281" s="374">
        <f>P282+P283</f>
        <v>7456</v>
      </c>
      <c r="Q281" s="374"/>
      <c r="R281" s="374"/>
      <c r="S281" s="386">
        <f>S282+S283</f>
        <v>7456</v>
      </c>
      <c r="T281" s="376">
        <f>S281/S277</f>
        <v>0.60129032258064519</v>
      </c>
      <c r="U281" s="380"/>
      <c r="V281" s="376"/>
      <c r="W281" s="376">
        <f>W282+W283</f>
        <v>1</v>
      </c>
      <c r="X281" s="376">
        <f>X282+X283</f>
        <v>0</v>
      </c>
      <c r="Y281" s="198">
        <f t="shared" si="160"/>
        <v>0</v>
      </c>
      <c r="Z281" s="435"/>
      <c r="AC281" s="267"/>
    </row>
    <row r="282" spans="8:29" x14ac:dyDescent="0.25">
      <c r="H282" s="268" t="s">
        <v>613</v>
      </c>
      <c r="I282" s="397" t="s">
        <v>499</v>
      </c>
      <c r="J282" s="372">
        <v>44962</v>
      </c>
      <c r="K282" s="372">
        <v>45008</v>
      </c>
      <c r="L282" s="268">
        <f t="shared" ref="L282:L285" si="179">K282-J282+1</f>
        <v>47</v>
      </c>
      <c r="M282" s="268" t="s">
        <v>1186</v>
      </c>
      <c r="N282" s="268">
        <v>2300</v>
      </c>
      <c r="O282" s="268"/>
      <c r="P282" s="268">
        <f t="shared" ref="P282:P283" si="180">L282*Q282*R282</f>
        <v>2256</v>
      </c>
      <c r="Q282" s="268">
        <v>24</v>
      </c>
      <c r="R282" s="268">
        <v>2</v>
      </c>
      <c r="S282" s="269">
        <f>P282</f>
        <v>2256</v>
      </c>
      <c r="T282" s="359">
        <f>S282/S281</f>
        <v>0.30257510729613735</v>
      </c>
      <c r="U282" s="361">
        <f t="shared" ref="U282:U283" si="181">IF($J282&gt;U$5,0,IF($K282&lt;U$5,1,IF(U$5=$K282,1,((U$5-$J282+1)/($K282-$J282+1)))))</f>
        <v>1</v>
      </c>
      <c r="V282" s="357">
        <f>IFERROR(O282/N282,0)</f>
        <v>0</v>
      </c>
      <c r="W282" s="357">
        <f t="shared" ref="W282:X283" si="182">U282*$T282</f>
        <v>0.30257510729613735</v>
      </c>
      <c r="X282" s="357">
        <f t="shared" si="182"/>
        <v>0</v>
      </c>
      <c r="Y282" s="198">
        <f t="shared" si="160"/>
        <v>2300</v>
      </c>
      <c r="Z282" s="435"/>
      <c r="AC282" s="267"/>
    </row>
    <row r="283" spans="8:29" x14ac:dyDescent="0.25">
      <c r="H283" s="268" t="s">
        <v>614</v>
      </c>
      <c r="I283" s="397" t="s">
        <v>591</v>
      </c>
      <c r="J283" s="372">
        <v>44982</v>
      </c>
      <c r="K283" s="372">
        <v>45046</v>
      </c>
      <c r="L283" s="268">
        <f t="shared" si="179"/>
        <v>65</v>
      </c>
      <c r="M283" s="268" t="s">
        <v>1186</v>
      </c>
      <c r="N283" s="268">
        <v>995.94339622641496</v>
      </c>
      <c r="O283" s="268"/>
      <c r="P283" s="268">
        <f t="shared" si="180"/>
        <v>5200</v>
      </c>
      <c r="Q283" s="268">
        <v>10</v>
      </c>
      <c r="R283" s="268">
        <v>8</v>
      </c>
      <c r="S283" s="269">
        <f>P283</f>
        <v>5200</v>
      </c>
      <c r="T283" s="359">
        <f>S283/S281</f>
        <v>0.69742489270386265</v>
      </c>
      <c r="U283" s="361">
        <f t="shared" si="181"/>
        <v>1</v>
      </c>
      <c r="V283" s="357">
        <f>IFERROR(O283/N283,0)</f>
        <v>0</v>
      </c>
      <c r="W283" s="357">
        <f t="shared" si="182"/>
        <v>0.69742489270386265</v>
      </c>
      <c r="X283" s="357">
        <f t="shared" si="182"/>
        <v>0</v>
      </c>
      <c r="Y283" s="198">
        <f t="shared" si="160"/>
        <v>995.94339622641496</v>
      </c>
      <c r="Z283" s="435"/>
      <c r="AC283" s="267"/>
    </row>
    <row r="284" spans="8:29" x14ac:dyDescent="0.25">
      <c r="H284" s="518" t="s">
        <v>615</v>
      </c>
      <c r="I284" s="519"/>
      <c r="J284" s="370">
        <v>44758</v>
      </c>
      <c r="K284" s="370">
        <v>44896</v>
      </c>
      <c r="L284" s="369">
        <f t="shared" si="179"/>
        <v>139</v>
      </c>
      <c r="M284" s="369"/>
      <c r="N284" s="369"/>
      <c r="O284" s="369"/>
      <c r="P284" s="369">
        <f>P285+P288</f>
        <v>17472</v>
      </c>
      <c r="Q284" s="369"/>
      <c r="R284" s="369"/>
      <c r="S284" s="385">
        <f>S285+S288</f>
        <v>17472</v>
      </c>
      <c r="T284" s="363">
        <f>S284/S199</f>
        <v>7.2138430477165658E-2</v>
      </c>
      <c r="U284" s="369"/>
      <c r="V284" s="363"/>
      <c r="W284" s="363">
        <f>(W285*T285)+(W288*T288)</f>
        <v>1</v>
      </c>
      <c r="X284" s="363">
        <f>(X285*T285)+(X288*T288)</f>
        <v>1</v>
      </c>
      <c r="Y284" s="198">
        <f t="shared" si="160"/>
        <v>0</v>
      </c>
      <c r="Z284" s="435"/>
      <c r="AC284" s="267"/>
    </row>
    <row r="285" spans="8:29" x14ac:dyDescent="0.25">
      <c r="H285" s="520" t="s">
        <v>616</v>
      </c>
      <c r="I285" s="521"/>
      <c r="J285" s="375">
        <v>44758</v>
      </c>
      <c r="K285" s="375">
        <v>44849</v>
      </c>
      <c r="L285" s="374">
        <f t="shared" si="179"/>
        <v>92</v>
      </c>
      <c r="M285" s="374"/>
      <c r="N285" s="374"/>
      <c r="O285" s="374"/>
      <c r="P285" s="374">
        <f>P286+P287</f>
        <v>8576</v>
      </c>
      <c r="Q285" s="374"/>
      <c r="R285" s="374"/>
      <c r="S285" s="386">
        <f>S286+S287</f>
        <v>8576</v>
      </c>
      <c r="T285" s="376">
        <f>S285/S284</f>
        <v>0.49084249084249082</v>
      </c>
      <c r="U285" s="380"/>
      <c r="V285" s="376"/>
      <c r="W285" s="376">
        <f>W286+W287</f>
        <v>1</v>
      </c>
      <c r="X285" s="376">
        <f>X286+X287</f>
        <v>1</v>
      </c>
      <c r="Y285" s="198">
        <f t="shared" si="160"/>
        <v>0</v>
      </c>
      <c r="Z285" s="435"/>
      <c r="AC285" s="267"/>
    </row>
    <row r="286" spans="8:29" x14ac:dyDescent="0.25">
      <c r="H286" s="268" t="s">
        <v>617</v>
      </c>
      <c r="I286" s="397" t="s">
        <v>499</v>
      </c>
      <c r="J286" s="372">
        <v>44758</v>
      </c>
      <c r="K286" s="372">
        <v>44809</v>
      </c>
      <c r="L286" s="268">
        <f t="shared" ref="L286:L288" si="183">K286-J286+1</f>
        <v>52</v>
      </c>
      <c r="M286" s="268" t="s">
        <v>1186</v>
      </c>
      <c r="N286" s="268">
        <v>1200</v>
      </c>
      <c r="O286" s="268">
        <v>1200</v>
      </c>
      <c r="P286" s="268">
        <f t="shared" ref="P286:P287" si="184">L286*Q286*R286</f>
        <v>2496</v>
      </c>
      <c r="Q286" s="268">
        <v>24</v>
      </c>
      <c r="R286" s="268">
        <v>2</v>
      </c>
      <c r="S286" s="269">
        <f>P286</f>
        <v>2496</v>
      </c>
      <c r="T286" s="357">
        <f>S286/S285</f>
        <v>0.29104477611940299</v>
      </c>
      <c r="U286" s="361">
        <f t="shared" ref="U286:U287" si="185">IF($J286&gt;U$5,0,IF($K286&lt;U$5,1,IF(U$5=$K286,1,((U$5-$J286+1)/($K286-$J286+1)))))</f>
        <v>1</v>
      </c>
      <c r="V286" s="357">
        <f>IFERROR(O286/N286,0)</f>
        <v>1</v>
      </c>
      <c r="W286" s="357">
        <f t="shared" ref="W286:X287" si="186">U286*$T286</f>
        <v>0.29104477611940299</v>
      </c>
      <c r="X286" s="357">
        <f t="shared" si="186"/>
        <v>0.29104477611940299</v>
      </c>
      <c r="Y286" s="198">
        <f t="shared" si="160"/>
        <v>1200</v>
      </c>
      <c r="Z286" s="435"/>
      <c r="AC286" s="267"/>
    </row>
    <row r="287" spans="8:29" x14ac:dyDescent="0.25">
      <c r="H287" s="268" t="s">
        <v>618</v>
      </c>
      <c r="I287" s="397" t="s">
        <v>591</v>
      </c>
      <c r="J287" s="372">
        <v>44774</v>
      </c>
      <c r="K287" s="372">
        <v>44849</v>
      </c>
      <c r="L287" s="268">
        <f t="shared" si="183"/>
        <v>76</v>
      </c>
      <c r="M287" s="268" t="s">
        <v>1186</v>
      </c>
      <c r="N287" s="268">
        <v>520</v>
      </c>
      <c r="O287" s="268">
        <f>N287</f>
        <v>520</v>
      </c>
      <c r="P287" s="268">
        <f t="shared" si="184"/>
        <v>6080</v>
      </c>
      <c r="Q287" s="268">
        <v>10</v>
      </c>
      <c r="R287" s="268">
        <v>8</v>
      </c>
      <c r="S287" s="269">
        <f>P287</f>
        <v>6080</v>
      </c>
      <c r="T287" s="357">
        <f>S287/S285</f>
        <v>0.70895522388059706</v>
      </c>
      <c r="U287" s="361">
        <f t="shared" si="185"/>
        <v>1</v>
      </c>
      <c r="V287" s="357">
        <f>IFERROR(O287/N287,0)</f>
        <v>1</v>
      </c>
      <c r="W287" s="357">
        <f t="shared" si="186"/>
        <v>0.70895522388059706</v>
      </c>
      <c r="X287" s="357">
        <f t="shared" si="186"/>
        <v>0.70895522388059706</v>
      </c>
      <c r="Y287" s="198">
        <f t="shared" si="160"/>
        <v>520</v>
      </c>
      <c r="Z287" s="435"/>
      <c r="AC287" s="267"/>
    </row>
    <row r="288" spans="8:29" x14ac:dyDescent="0.25">
      <c r="H288" s="520" t="s">
        <v>619</v>
      </c>
      <c r="I288" s="521"/>
      <c r="J288" s="375">
        <v>44810</v>
      </c>
      <c r="K288" s="375">
        <v>44896</v>
      </c>
      <c r="L288" s="374">
        <f t="shared" si="183"/>
        <v>87</v>
      </c>
      <c r="M288" s="374"/>
      <c r="N288" s="374"/>
      <c r="O288" s="374"/>
      <c r="P288" s="374">
        <f>P289+P290</f>
        <v>8896</v>
      </c>
      <c r="Q288" s="374"/>
      <c r="R288" s="374"/>
      <c r="S288" s="386">
        <f>S289+S290</f>
        <v>8896</v>
      </c>
      <c r="T288" s="376">
        <f>S288/S284</f>
        <v>0.50915750915750912</v>
      </c>
      <c r="U288" s="380"/>
      <c r="V288" s="376"/>
      <c r="W288" s="376">
        <f>W289+W290</f>
        <v>1</v>
      </c>
      <c r="X288" s="376">
        <f>X289+X290</f>
        <v>1</v>
      </c>
      <c r="Y288" s="198">
        <f t="shared" si="160"/>
        <v>0</v>
      </c>
      <c r="Z288" s="435"/>
      <c r="AC288" s="267"/>
    </row>
    <row r="289" spans="8:29" x14ac:dyDescent="0.25">
      <c r="H289" s="268" t="s">
        <v>620</v>
      </c>
      <c r="I289" s="397" t="s">
        <v>499</v>
      </c>
      <c r="J289" s="372">
        <v>44810</v>
      </c>
      <c r="K289" s="372">
        <v>44861</v>
      </c>
      <c r="L289" s="268">
        <f t="shared" ref="L289:L352" si="187">K289-J289+1</f>
        <v>52</v>
      </c>
      <c r="M289" s="268" t="s">
        <v>1186</v>
      </c>
      <c r="N289" s="268">
        <v>1200</v>
      </c>
      <c r="O289" s="268">
        <v>1200</v>
      </c>
      <c r="P289" s="268">
        <f>L289*Q289*R289</f>
        <v>2496</v>
      </c>
      <c r="Q289" s="268">
        <v>24</v>
      </c>
      <c r="R289" s="268">
        <v>2</v>
      </c>
      <c r="S289" s="269">
        <f>P289</f>
        <v>2496</v>
      </c>
      <c r="T289" s="357">
        <f>S289/S288</f>
        <v>0.2805755395683453</v>
      </c>
      <c r="U289" s="361">
        <f t="shared" ref="U289:U290" si="188">IF($J289&gt;U$5,0,IF($K289&lt;U$5,1,IF(U$5=$K289,1,((U$5-$J289+1)/($K289-$J289+1)))))</f>
        <v>1</v>
      </c>
      <c r="V289" s="357">
        <f>IFERROR(O289/N289,0)</f>
        <v>1</v>
      </c>
      <c r="W289" s="357">
        <f t="shared" ref="W289:X290" si="189">U289*$T289</f>
        <v>0.2805755395683453</v>
      </c>
      <c r="X289" s="357">
        <f t="shared" si="189"/>
        <v>0.2805755395683453</v>
      </c>
      <c r="Y289" s="198">
        <f t="shared" si="160"/>
        <v>1200</v>
      </c>
      <c r="Z289" s="435"/>
      <c r="AC289" s="267"/>
    </row>
    <row r="290" spans="8:29" x14ac:dyDescent="0.25">
      <c r="H290" s="268" t="s">
        <v>621</v>
      </c>
      <c r="I290" s="397" t="s">
        <v>591</v>
      </c>
      <c r="J290" s="372">
        <v>44816</v>
      </c>
      <c r="K290" s="372">
        <v>44895</v>
      </c>
      <c r="L290" s="268">
        <f t="shared" si="187"/>
        <v>80</v>
      </c>
      <c r="M290" s="268" t="s">
        <v>1186</v>
      </c>
      <c r="N290" s="268">
        <v>530</v>
      </c>
      <c r="O290" s="268">
        <v>530</v>
      </c>
      <c r="P290" s="268">
        <f>L290*Q290*R290</f>
        <v>6400</v>
      </c>
      <c r="Q290" s="268">
        <v>10</v>
      </c>
      <c r="R290" s="268">
        <v>8</v>
      </c>
      <c r="S290" s="269">
        <f>P290</f>
        <v>6400</v>
      </c>
      <c r="T290" s="357">
        <f>S290/S288</f>
        <v>0.71942446043165464</v>
      </c>
      <c r="U290" s="361">
        <f t="shared" si="188"/>
        <v>1</v>
      </c>
      <c r="V290" s="357">
        <f>IFERROR(O290/N290,0)</f>
        <v>1</v>
      </c>
      <c r="W290" s="357">
        <f t="shared" si="189"/>
        <v>0.71942446043165464</v>
      </c>
      <c r="X290" s="357">
        <f t="shared" si="189"/>
        <v>0.71942446043165464</v>
      </c>
      <c r="Y290" s="198">
        <f t="shared" si="160"/>
        <v>530</v>
      </c>
      <c r="Z290" s="435"/>
      <c r="AC290" s="267"/>
    </row>
    <row r="291" spans="8:29" x14ac:dyDescent="0.25">
      <c r="H291" s="510" t="s">
        <v>622</v>
      </c>
      <c r="I291" s="511"/>
      <c r="J291" s="392">
        <v>44745</v>
      </c>
      <c r="K291" s="392">
        <v>44958</v>
      </c>
      <c r="L291" s="368">
        <f t="shared" si="187"/>
        <v>214</v>
      </c>
      <c r="M291" s="368"/>
      <c r="N291" s="368"/>
      <c r="O291" s="368"/>
      <c r="P291" s="368">
        <f>P292+P298</f>
        <v>42360</v>
      </c>
      <c r="Q291" s="368"/>
      <c r="R291" s="368"/>
      <c r="S291" s="400">
        <f>S292+S298</f>
        <v>42360</v>
      </c>
      <c r="T291" s="356">
        <f>P291/$P$175</f>
        <v>6.8826904235389313E-2</v>
      </c>
      <c r="U291" s="368"/>
      <c r="V291" s="356"/>
      <c r="W291" s="356">
        <f>(W292*T292)+(W298*T298)</f>
        <v>1</v>
      </c>
      <c r="X291" s="356">
        <f>(X292*T292)+(X298*T298)</f>
        <v>0.91597087619899598</v>
      </c>
      <c r="Y291" s="198">
        <f t="shared" si="160"/>
        <v>0</v>
      </c>
      <c r="Z291" s="435"/>
      <c r="AC291" s="267"/>
    </row>
    <row r="292" spans="8:29" x14ac:dyDescent="0.25">
      <c r="H292" s="518" t="s">
        <v>623</v>
      </c>
      <c r="I292" s="519"/>
      <c r="J292" s="370">
        <v>44745</v>
      </c>
      <c r="K292" s="370">
        <v>44870</v>
      </c>
      <c r="L292" s="369">
        <f t="shared" si="187"/>
        <v>126</v>
      </c>
      <c r="M292" s="369"/>
      <c r="N292" s="369"/>
      <c r="O292" s="369"/>
      <c r="P292" s="369">
        <f>P293+P294+P295+P296+P297</f>
        <v>14570</v>
      </c>
      <c r="Q292" s="369"/>
      <c r="R292" s="369"/>
      <c r="S292" s="385">
        <f>S293+S294+S295+S296+S297</f>
        <v>14570</v>
      </c>
      <c r="T292" s="363">
        <f>S292/S291</f>
        <v>0.34395656279508968</v>
      </c>
      <c r="U292" s="369"/>
      <c r="V292" s="363"/>
      <c r="W292" s="363">
        <f>W293+W294+W295+W296+W297</f>
        <v>1</v>
      </c>
      <c r="X292" s="363">
        <f>X293+X294+X295+X296+X297</f>
        <v>0.94993317198280536</v>
      </c>
      <c r="Y292" s="198">
        <f t="shared" si="160"/>
        <v>0</v>
      </c>
      <c r="Z292" s="435"/>
      <c r="AC292" s="267"/>
    </row>
    <row r="293" spans="8:29" x14ac:dyDescent="0.25">
      <c r="H293" s="268" t="s">
        <v>624</v>
      </c>
      <c r="I293" s="397" t="s">
        <v>625</v>
      </c>
      <c r="J293" s="372">
        <v>44745</v>
      </c>
      <c r="K293" s="372">
        <v>44767</v>
      </c>
      <c r="L293" s="268">
        <f t="shared" si="187"/>
        <v>23</v>
      </c>
      <c r="M293" s="268" t="s">
        <v>1183</v>
      </c>
      <c r="N293" s="268">
        <v>100</v>
      </c>
      <c r="O293" s="268">
        <v>100</v>
      </c>
      <c r="P293" s="268">
        <f>L293*Q293*R293</f>
        <v>3450</v>
      </c>
      <c r="Q293" s="268">
        <v>10</v>
      </c>
      <c r="R293" s="268">
        <v>15</v>
      </c>
      <c r="S293" s="269">
        <f>P293</f>
        <v>3450</v>
      </c>
      <c r="T293" s="357">
        <f>S293/$S$292</f>
        <v>0.2367879203843514</v>
      </c>
      <c r="U293" s="361">
        <f t="shared" ref="U293:U297" si="190">IF($J293&gt;U$5,0,IF($K293&lt;U$5,1,IF(U$5=$K293,1,((U$5-$J293+1)/($K293-$J293+1)))))</f>
        <v>1</v>
      </c>
      <c r="V293" s="357">
        <f>IFERROR(O293/N293,0)</f>
        <v>1</v>
      </c>
      <c r="W293" s="357">
        <f t="shared" ref="W293:X297" si="191">U293*$T293</f>
        <v>0.2367879203843514</v>
      </c>
      <c r="X293" s="357">
        <f t="shared" si="191"/>
        <v>0.2367879203843514</v>
      </c>
      <c r="Y293" s="198">
        <f t="shared" si="160"/>
        <v>100</v>
      </c>
      <c r="Z293" s="435"/>
      <c r="AC293" s="267"/>
    </row>
    <row r="294" spans="8:29" x14ac:dyDescent="0.25">
      <c r="H294" s="268" t="s">
        <v>626</v>
      </c>
      <c r="I294" s="397" t="s">
        <v>627</v>
      </c>
      <c r="J294" s="372">
        <v>44762</v>
      </c>
      <c r="K294" s="372">
        <v>44814</v>
      </c>
      <c r="L294" s="268">
        <f t="shared" si="187"/>
        <v>53</v>
      </c>
      <c r="M294" s="268" t="s">
        <v>1186</v>
      </c>
      <c r="N294" s="268">
        <v>190</v>
      </c>
      <c r="O294" s="268">
        <v>190</v>
      </c>
      <c r="P294" s="268">
        <f>L294*Q294*R294</f>
        <v>5300</v>
      </c>
      <c r="Q294" s="268">
        <v>10</v>
      </c>
      <c r="R294" s="268">
        <v>10</v>
      </c>
      <c r="S294" s="269">
        <f>P294</f>
        <v>5300</v>
      </c>
      <c r="T294" s="357">
        <f t="shared" ref="T294:T297" si="192">S294/$S$292</f>
        <v>0.36376115305422102</v>
      </c>
      <c r="U294" s="361">
        <f t="shared" si="190"/>
        <v>1</v>
      </c>
      <c r="V294" s="357">
        <f>IFERROR(O294/N294,0)</f>
        <v>1</v>
      </c>
      <c r="W294" s="357">
        <f t="shared" si="191"/>
        <v>0.36376115305422102</v>
      </c>
      <c r="X294" s="357">
        <f t="shared" si="191"/>
        <v>0.36376115305422102</v>
      </c>
      <c r="Y294" s="198">
        <f t="shared" si="160"/>
        <v>190</v>
      </c>
      <c r="Z294" s="435"/>
      <c r="AC294" s="267"/>
    </row>
    <row r="295" spans="8:29" x14ac:dyDescent="0.25">
      <c r="H295" s="268" t="s">
        <v>628</v>
      </c>
      <c r="I295" s="397" t="s">
        <v>629</v>
      </c>
      <c r="J295" s="372">
        <v>44818</v>
      </c>
      <c r="K295" s="372">
        <v>44835</v>
      </c>
      <c r="L295" s="268">
        <f t="shared" si="187"/>
        <v>18</v>
      </c>
      <c r="M295" s="268" t="s">
        <v>1183</v>
      </c>
      <c r="N295" s="268">
        <v>100</v>
      </c>
      <c r="O295" s="268">
        <v>100</v>
      </c>
      <c r="P295" s="268">
        <f>L295*Q295*R295</f>
        <v>2160</v>
      </c>
      <c r="Q295" s="268">
        <v>10</v>
      </c>
      <c r="R295" s="268">
        <v>12</v>
      </c>
      <c r="S295" s="269">
        <f>P295</f>
        <v>2160</v>
      </c>
      <c r="T295" s="357">
        <f t="shared" si="192"/>
        <v>0.14824982841455045</v>
      </c>
      <c r="U295" s="361">
        <f t="shared" si="190"/>
        <v>1</v>
      </c>
      <c r="V295" s="357">
        <f>IFERROR(O295/N295,0)</f>
        <v>1</v>
      </c>
      <c r="W295" s="357">
        <f t="shared" si="191"/>
        <v>0.14824982841455045</v>
      </c>
      <c r="X295" s="357">
        <f t="shared" si="191"/>
        <v>0.14824982841455045</v>
      </c>
      <c r="Y295" s="198">
        <f t="shared" si="160"/>
        <v>100</v>
      </c>
      <c r="Z295" s="435"/>
      <c r="AC295" s="267"/>
    </row>
    <row r="296" spans="8:29" x14ac:dyDescent="0.25">
      <c r="H296" s="268" t="s">
        <v>630</v>
      </c>
      <c r="I296" s="397" t="s">
        <v>631</v>
      </c>
      <c r="J296" s="372">
        <v>44826</v>
      </c>
      <c r="K296" s="372">
        <v>44849</v>
      </c>
      <c r="L296" s="268">
        <f t="shared" si="187"/>
        <v>24</v>
      </c>
      <c r="M296" s="268" t="s">
        <v>1186</v>
      </c>
      <c r="N296" s="268">
        <v>190</v>
      </c>
      <c r="O296" s="268">
        <v>190</v>
      </c>
      <c r="P296" s="268">
        <f>L296*Q296*R296</f>
        <v>2400</v>
      </c>
      <c r="Q296" s="268">
        <v>10</v>
      </c>
      <c r="R296" s="268">
        <v>10</v>
      </c>
      <c r="S296" s="269">
        <f>P296</f>
        <v>2400</v>
      </c>
      <c r="T296" s="357">
        <f t="shared" si="192"/>
        <v>0.16472203157172272</v>
      </c>
      <c r="U296" s="361">
        <f t="shared" si="190"/>
        <v>1</v>
      </c>
      <c r="V296" s="357">
        <f>IFERROR(O296/N296,0)</f>
        <v>1</v>
      </c>
      <c r="W296" s="357">
        <f t="shared" si="191"/>
        <v>0.16472203157172272</v>
      </c>
      <c r="X296" s="357">
        <f t="shared" si="191"/>
        <v>0.16472203157172272</v>
      </c>
      <c r="Y296" s="198">
        <f t="shared" si="160"/>
        <v>190</v>
      </c>
      <c r="Z296" s="435"/>
      <c r="AC296" s="267"/>
    </row>
    <row r="297" spans="8:29" x14ac:dyDescent="0.25">
      <c r="H297" s="268" t="s">
        <v>632</v>
      </c>
      <c r="I297" s="397" t="s">
        <v>633</v>
      </c>
      <c r="J297" s="372">
        <v>44853</v>
      </c>
      <c r="K297" s="372">
        <v>44870</v>
      </c>
      <c r="L297" s="268">
        <f t="shared" si="187"/>
        <v>18</v>
      </c>
      <c r="M297" s="268" t="s">
        <v>1186</v>
      </c>
      <c r="N297" s="268">
        <v>19</v>
      </c>
      <c r="O297" s="268">
        <v>8</v>
      </c>
      <c r="P297" s="268">
        <f>L297*Q297*R297</f>
        <v>1260</v>
      </c>
      <c r="Q297" s="268">
        <v>10</v>
      </c>
      <c r="R297" s="268">
        <v>7</v>
      </c>
      <c r="S297" s="269">
        <f>P297</f>
        <v>1260</v>
      </c>
      <c r="T297" s="357">
        <f t="shared" si="192"/>
        <v>8.6479066575154431E-2</v>
      </c>
      <c r="U297" s="361">
        <f t="shared" si="190"/>
        <v>1</v>
      </c>
      <c r="V297" s="357">
        <f>IFERROR(O297/N297,0)</f>
        <v>0.42105263157894735</v>
      </c>
      <c r="W297" s="357">
        <f t="shared" si="191"/>
        <v>8.6479066575154431E-2</v>
      </c>
      <c r="X297" s="357">
        <f t="shared" si="191"/>
        <v>3.6412238557959761E-2</v>
      </c>
      <c r="Y297" s="198">
        <f t="shared" si="160"/>
        <v>19</v>
      </c>
      <c r="Z297" s="435"/>
      <c r="AC297" s="267"/>
    </row>
    <row r="298" spans="8:29" x14ac:dyDescent="0.25">
      <c r="H298" s="518" t="s">
        <v>634</v>
      </c>
      <c r="I298" s="519"/>
      <c r="J298" s="370">
        <v>44791</v>
      </c>
      <c r="K298" s="370">
        <v>44958</v>
      </c>
      <c r="L298" s="369">
        <f t="shared" si="187"/>
        <v>168</v>
      </c>
      <c r="M298" s="369"/>
      <c r="N298" s="369"/>
      <c r="O298" s="369"/>
      <c r="P298" s="369">
        <f>P299+P304</f>
        <v>27790</v>
      </c>
      <c r="Q298" s="369"/>
      <c r="R298" s="369"/>
      <c r="S298" s="385">
        <f>S299+S304</f>
        <v>27790</v>
      </c>
      <c r="T298" s="363">
        <f>S298/$S$291</f>
        <v>0.65604343720491032</v>
      </c>
      <c r="U298" s="369"/>
      <c r="V298" s="363"/>
      <c r="W298" s="363">
        <f>(W299*T299)+(W304*T304)</f>
        <v>1</v>
      </c>
      <c r="X298" s="363">
        <f>(X299*T299)+(X304*T304)</f>
        <v>0.89816480748470662</v>
      </c>
      <c r="Y298" s="198">
        <f t="shared" si="160"/>
        <v>0</v>
      </c>
      <c r="Z298" s="435"/>
      <c r="AC298" s="267"/>
    </row>
    <row r="299" spans="8:29" x14ac:dyDescent="0.25">
      <c r="H299" s="520" t="s">
        <v>635</v>
      </c>
      <c r="I299" s="521"/>
      <c r="J299" s="375">
        <v>44791</v>
      </c>
      <c r="K299" s="375">
        <v>44865</v>
      </c>
      <c r="L299" s="374">
        <f t="shared" si="187"/>
        <v>75</v>
      </c>
      <c r="M299" s="374"/>
      <c r="N299" s="374"/>
      <c r="O299" s="374"/>
      <c r="P299" s="374">
        <f>P300+P301+P302+P303</f>
        <v>12930</v>
      </c>
      <c r="Q299" s="374"/>
      <c r="R299" s="374"/>
      <c r="S299" s="386">
        <f>S300+S301+S302+S303</f>
        <v>12930</v>
      </c>
      <c r="T299" s="376">
        <f>S299/S298</f>
        <v>0.46527527887729397</v>
      </c>
      <c r="U299" s="380"/>
      <c r="V299" s="376"/>
      <c r="W299" s="376">
        <f>W300+W301+W302+W303</f>
        <v>1</v>
      </c>
      <c r="X299" s="376">
        <f>(X300+X301)+(X302+X303)</f>
        <v>1</v>
      </c>
      <c r="Y299" s="198">
        <f t="shared" si="160"/>
        <v>0</v>
      </c>
      <c r="Z299" s="435"/>
      <c r="AC299" s="267"/>
    </row>
    <row r="300" spans="8:29" x14ac:dyDescent="0.25">
      <c r="H300" s="268" t="s">
        <v>636</v>
      </c>
      <c r="I300" s="397" t="s">
        <v>637</v>
      </c>
      <c r="J300" s="372">
        <v>44791</v>
      </c>
      <c r="K300" s="372">
        <v>44814</v>
      </c>
      <c r="L300" s="268">
        <f t="shared" si="187"/>
        <v>24</v>
      </c>
      <c r="M300" s="268" t="s">
        <v>1183</v>
      </c>
      <c r="N300" s="268">
        <v>100</v>
      </c>
      <c r="O300" s="268">
        <v>100</v>
      </c>
      <c r="P300" s="268">
        <f>L300*Q300*R300</f>
        <v>2880</v>
      </c>
      <c r="Q300" s="268">
        <v>10</v>
      </c>
      <c r="R300" s="268">
        <v>12</v>
      </c>
      <c r="S300" s="269">
        <f>P300</f>
        <v>2880</v>
      </c>
      <c r="T300" s="357">
        <f>S300/$S$299</f>
        <v>0.22273781902552203</v>
      </c>
      <c r="U300" s="361">
        <f t="shared" ref="U300:U303" si="193">IF($J300&gt;U$5,0,IF($K300&lt;U$5,1,IF(U$5=$K300,1,((U$5-$J300+1)/($K300-$J300+1)))))</f>
        <v>1</v>
      </c>
      <c r="V300" s="357">
        <f>IFERROR(O300/N300,0)</f>
        <v>1</v>
      </c>
      <c r="W300" s="357">
        <f t="shared" ref="W300:X303" si="194">U300*$T300</f>
        <v>0.22273781902552203</v>
      </c>
      <c r="X300" s="357">
        <f t="shared" si="194"/>
        <v>0.22273781902552203</v>
      </c>
      <c r="Y300" s="198">
        <f t="shared" si="160"/>
        <v>100</v>
      </c>
      <c r="Z300" s="435"/>
      <c r="AC300" s="267"/>
    </row>
    <row r="301" spans="8:29" x14ac:dyDescent="0.25">
      <c r="H301" s="268" t="s">
        <v>638</v>
      </c>
      <c r="I301" s="397" t="s">
        <v>639</v>
      </c>
      <c r="J301" s="372">
        <v>44803</v>
      </c>
      <c r="K301" s="372">
        <v>44837</v>
      </c>
      <c r="L301" s="268">
        <f t="shared" si="187"/>
        <v>35</v>
      </c>
      <c r="M301" s="268" t="s">
        <v>1186</v>
      </c>
      <c r="N301" s="268">
        <v>108.24561403508781</v>
      </c>
      <c r="O301" s="268">
        <v>108.24561403508781</v>
      </c>
      <c r="P301" s="268">
        <f>L301*Q301*R301</f>
        <v>5250</v>
      </c>
      <c r="Q301" s="268">
        <v>10</v>
      </c>
      <c r="R301" s="268">
        <v>15</v>
      </c>
      <c r="S301" s="269">
        <f>P301</f>
        <v>5250</v>
      </c>
      <c r="T301" s="357">
        <f t="shared" ref="T301:T303" si="195">S301/$S$299</f>
        <v>0.40603248259860791</v>
      </c>
      <c r="U301" s="361">
        <f t="shared" si="193"/>
        <v>1</v>
      </c>
      <c r="V301" s="357">
        <f>IFERROR(O301/N301,0)</f>
        <v>1</v>
      </c>
      <c r="W301" s="357">
        <f t="shared" si="194"/>
        <v>0.40603248259860791</v>
      </c>
      <c r="X301" s="357">
        <f t="shared" si="194"/>
        <v>0.40603248259860791</v>
      </c>
      <c r="Y301" s="198">
        <f t="shared" si="160"/>
        <v>108.24561403508781</v>
      </c>
      <c r="Z301" s="435"/>
      <c r="AC301" s="267"/>
    </row>
    <row r="302" spans="8:29" x14ac:dyDescent="0.25">
      <c r="H302" s="268" t="s">
        <v>640</v>
      </c>
      <c r="I302" s="397" t="s">
        <v>641</v>
      </c>
      <c r="J302" s="372">
        <v>44824</v>
      </c>
      <c r="K302" s="372">
        <v>44840</v>
      </c>
      <c r="L302" s="268">
        <f t="shared" si="187"/>
        <v>17</v>
      </c>
      <c r="M302" s="268" t="s">
        <v>1183</v>
      </c>
      <c r="N302" s="268">
        <v>24</v>
      </c>
      <c r="O302" s="268">
        <v>24</v>
      </c>
      <c r="P302" s="268">
        <f>L302*Q302*R302</f>
        <v>2040</v>
      </c>
      <c r="Q302" s="268">
        <v>10</v>
      </c>
      <c r="R302" s="268">
        <v>12</v>
      </c>
      <c r="S302" s="269">
        <f>P302</f>
        <v>2040</v>
      </c>
      <c r="T302" s="357">
        <f t="shared" si="195"/>
        <v>0.15777262180974477</v>
      </c>
      <c r="U302" s="361">
        <f t="shared" si="193"/>
        <v>1</v>
      </c>
      <c r="V302" s="357">
        <f>IFERROR(O302/N302,0)</f>
        <v>1</v>
      </c>
      <c r="W302" s="357">
        <f t="shared" si="194"/>
        <v>0.15777262180974477</v>
      </c>
      <c r="X302" s="357">
        <f t="shared" si="194"/>
        <v>0.15777262180974477</v>
      </c>
      <c r="Y302" s="198">
        <f t="shared" si="160"/>
        <v>24</v>
      </c>
      <c r="Z302" s="435"/>
      <c r="AC302" s="267"/>
    </row>
    <row r="303" spans="8:29" x14ac:dyDescent="0.25">
      <c r="H303" s="268" t="s">
        <v>642</v>
      </c>
      <c r="I303" s="397" t="s">
        <v>643</v>
      </c>
      <c r="J303" s="372">
        <v>44843</v>
      </c>
      <c r="K303" s="372">
        <v>44865</v>
      </c>
      <c r="L303" s="268">
        <f t="shared" si="187"/>
        <v>23</v>
      </c>
      <c r="M303" s="268" t="s">
        <v>1186</v>
      </c>
      <c r="N303" s="268">
        <v>120</v>
      </c>
      <c r="O303" s="268">
        <v>120</v>
      </c>
      <c r="P303" s="268">
        <f>L303*Q303*R303</f>
        <v>2760</v>
      </c>
      <c r="Q303" s="268">
        <v>10</v>
      </c>
      <c r="R303" s="268">
        <v>12</v>
      </c>
      <c r="S303" s="269">
        <f>P303</f>
        <v>2760</v>
      </c>
      <c r="T303" s="357">
        <f t="shared" si="195"/>
        <v>0.21345707656612528</v>
      </c>
      <c r="U303" s="361">
        <f t="shared" si="193"/>
        <v>1</v>
      </c>
      <c r="V303" s="357">
        <f>IFERROR(O303/N303,0)</f>
        <v>1</v>
      </c>
      <c r="W303" s="357">
        <f t="shared" si="194"/>
        <v>0.21345707656612528</v>
      </c>
      <c r="X303" s="357">
        <f t="shared" si="194"/>
        <v>0.21345707656612528</v>
      </c>
      <c r="Y303" s="198">
        <f t="shared" si="160"/>
        <v>120</v>
      </c>
      <c r="Z303" s="435"/>
      <c r="AC303" s="267"/>
    </row>
    <row r="304" spans="8:29" x14ac:dyDescent="0.25">
      <c r="H304" s="520" t="s">
        <v>644</v>
      </c>
      <c r="I304" s="521"/>
      <c r="J304" s="375">
        <v>44870</v>
      </c>
      <c r="K304" s="375">
        <v>44958</v>
      </c>
      <c r="L304" s="374">
        <f t="shared" si="187"/>
        <v>89</v>
      </c>
      <c r="M304" s="374"/>
      <c r="N304" s="374"/>
      <c r="O304" s="374"/>
      <c r="P304" s="374">
        <f>P305+P306+P307+P308+P309</f>
        <v>14860</v>
      </c>
      <c r="Q304" s="374"/>
      <c r="R304" s="374"/>
      <c r="S304" s="386">
        <f>S305+S306+S307+S308+S309</f>
        <v>14860</v>
      </c>
      <c r="T304" s="376">
        <f>S304/S298</f>
        <v>0.53472472112270597</v>
      </c>
      <c r="U304" s="380"/>
      <c r="V304" s="376"/>
      <c r="W304" s="376">
        <f>W305+W306+W307+W308+W309</f>
        <v>1</v>
      </c>
      <c r="X304" s="376">
        <f>X305+X306+X307+X308+X309</f>
        <v>0.80955585464333779</v>
      </c>
      <c r="Y304" s="198">
        <f t="shared" si="160"/>
        <v>0</v>
      </c>
      <c r="Z304" s="435"/>
      <c r="AC304" s="267"/>
    </row>
    <row r="305" spans="8:29" x14ac:dyDescent="0.25">
      <c r="H305" s="268" t="s">
        <v>645</v>
      </c>
      <c r="I305" s="397" t="s">
        <v>646</v>
      </c>
      <c r="J305" s="372">
        <v>44870</v>
      </c>
      <c r="K305" s="372">
        <v>44892</v>
      </c>
      <c r="L305" s="268">
        <f t="shared" si="187"/>
        <v>23</v>
      </c>
      <c r="M305" s="268" t="s">
        <v>1183</v>
      </c>
      <c r="N305" s="268">
        <v>100</v>
      </c>
      <c r="O305" s="268">
        <v>100</v>
      </c>
      <c r="P305" s="268">
        <f>L305*Q305*R305</f>
        <v>2760</v>
      </c>
      <c r="Q305" s="268">
        <v>10</v>
      </c>
      <c r="R305" s="268">
        <v>12</v>
      </c>
      <c r="S305" s="269">
        <f>P305</f>
        <v>2760</v>
      </c>
      <c r="T305" s="381">
        <f>S305/$S$304</f>
        <v>0.1857335127860027</v>
      </c>
      <c r="U305" s="361">
        <f t="shared" ref="U305:U309" si="196">IF($J305&gt;U$5,0,IF($K305&lt;U$5,1,IF(U$5=$K305,1,((U$5-$J305+1)/($K305-$J305+1)))))</f>
        <v>1</v>
      </c>
      <c r="V305" s="357">
        <f>IFERROR(O305/N305,0)</f>
        <v>1</v>
      </c>
      <c r="W305" s="357">
        <f t="shared" ref="W305:X309" si="197">U305*$T305</f>
        <v>0.1857335127860027</v>
      </c>
      <c r="X305" s="357">
        <f t="shared" si="197"/>
        <v>0.1857335127860027</v>
      </c>
      <c r="Y305" s="198">
        <f t="shared" si="160"/>
        <v>100</v>
      </c>
      <c r="Z305" s="435"/>
      <c r="AC305" s="267"/>
    </row>
    <row r="306" spans="8:29" x14ac:dyDescent="0.25">
      <c r="H306" s="268" t="s">
        <v>647</v>
      </c>
      <c r="I306" s="397" t="s">
        <v>648</v>
      </c>
      <c r="J306" s="372">
        <v>44879</v>
      </c>
      <c r="K306" s="372">
        <v>44913</v>
      </c>
      <c r="L306" s="268">
        <f t="shared" si="187"/>
        <v>35</v>
      </c>
      <c r="M306" s="268" t="s">
        <v>1186</v>
      </c>
      <c r="N306" s="268">
        <v>24</v>
      </c>
      <c r="O306" s="268">
        <v>24</v>
      </c>
      <c r="P306" s="268">
        <f>L306*Q306*R306</f>
        <v>5250</v>
      </c>
      <c r="Q306" s="268">
        <v>10</v>
      </c>
      <c r="R306" s="268">
        <v>15</v>
      </c>
      <c r="S306" s="269">
        <f>P306</f>
        <v>5250</v>
      </c>
      <c r="T306" s="381">
        <f t="shared" ref="T306:T309" si="198">S306/$S$304</f>
        <v>0.35329744279946163</v>
      </c>
      <c r="U306" s="361">
        <f t="shared" si="196"/>
        <v>1</v>
      </c>
      <c r="V306" s="357">
        <f>IFERROR(O306/N306,0)</f>
        <v>1</v>
      </c>
      <c r="W306" s="357">
        <f t="shared" si="197"/>
        <v>0.35329744279946163</v>
      </c>
      <c r="X306" s="357">
        <f t="shared" si="197"/>
        <v>0.35329744279946163</v>
      </c>
      <c r="Y306" s="198">
        <f t="shared" si="160"/>
        <v>24</v>
      </c>
      <c r="Z306" s="435"/>
      <c r="AC306" s="267"/>
    </row>
    <row r="307" spans="8:29" x14ac:dyDescent="0.25">
      <c r="H307" s="268" t="s">
        <v>649</v>
      </c>
      <c r="I307" s="397" t="s">
        <v>650</v>
      </c>
      <c r="J307" s="372">
        <v>44898</v>
      </c>
      <c r="K307" s="372">
        <v>44914</v>
      </c>
      <c r="L307" s="268">
        <f t="shared" si="187"/>
        <v>17</v>
      </c>
      <c r="M307" s="268" t="s">
        <v>1183</v>
      </c>
      <c r="N307" s="268">
        <v>100</v>
      </c>
      <c r="O307" s="268">
        <v>100</v>
      </c>
      <c r="P307" s="268">
        <f>L307*Q307*R307</f>
        <v>2040</v>
      </c>
      <c r="Q307" s="268">
        <v>10</v>
      </c>
      <c r="R307" s="268">
        <v>12</v>
      </c>
      <c r="S307" s="269">
        <f>P307</f>
        <v>2040</v>
      </c>
      <c r="T307" s="381">
        <f t="shared" si="198"/>
        <v>0.13728129205921938</v>
      </c>
      <c r="U307" s="361">
        <f t="shared" si="196"/>
        <v>1</v>
      </c>
      <c r="V307" s="357">
        <f>IFERROR(O307/N307,0)</f>
        <v>1</v>
      </c>
      <c r="W307" s="357">
        <f t="shared" si="197"/>
        <v>0.13728129205921938</v>
      </c>
      <c r="X307" s="357">
        <f t="shared" si="197"/>
        <v>0.13728129205921938</v>
      </c>
      <c r="Y307" s="198">
        <f t="shared" si="160"/>
        <v>100</v>
      </c>
      <c r="Z307" s="435"/>
      <c r="AC307" s="267"/>
    </row>
    <row r="308" spans="8:29" x14ac:dyDescent="0.25">
      <c r="H308" s="268" t="s">
        <v>651</v>
      </c>
      <c r="I308" s="397" t="s">
        <v>652</v>
      </c>
      <c r="J308" s="372">
        <v>44909</v>
      </c>
      <c r="K308" s="372">
        <v>44941</v>
      </c>
      <c r="L308" s="268">
        <f t="shared" si="187"/>
        <v>33</v>
      </c>
      <c r="M308" s="268" t="s">
        <v>1186</v>
      </c>
      <c r="N308" s="268">
        <v>120</v>
      </c>
      <c r="O308" s="268">
        <v>60</v>
      </c>
      <c r="P308" s="268">
        <f>L308*Q308*R308</f>
        <v>3960</v>
      </c>
      <c r="Q308" s="268">
        <v>10</v>
      </c>
      <c r="R308" s="268">
        <v>12</v>
      </c>
      <c r="S308" s="269">
        <f>P308</f>
        <v>3960</v>
      </c>
      <c r="T308" s="381">
        <f t="shared" si="198"/>
        <v>0.26648721399730824</v>
      </c>
      <c r="U308" s="361">
        <f t="shared" si="196"/>
        <v>1</v>
      </c>
      <c r="V308" s="357">
        <f>IFERROR(O308/N308,0)</f>
        <v>0.5</v>
      </c>
      <c r="W308" s="357">
        <f t="shared" si="197"/>
        <v>0.26648721399730824</v>
      </c>
      <c r="X308" s="357">
        <f t="shared" si="197"/>
        <v>0.13324360699865412</v>
      </c>
      <c r="Y308" s="198">
        <f t="shared" si="160"/>
        <v>120</v>
      </c>
      <c r="Z308" s="435"/>
      <c r="AC308" s="267"/>
    </row>
    <row r="309" spans="8:29" x14ac:dyDescent="0.25">
      <c r="H309" s="268" t="s">
        <v>653</v>
      </c>
      <c r="I309" s="397" t="s">
        <v>654</v>
      </c>
      <c r="J309" s="372">
        <v>44942</v>
      </c>
      <c r="K309" s="372">
        <v>44958</v>
      </c>
      <c r="L309" s="268">
        <f t="shared" si="187"/>
        <v>17</v>
      </c>
      <c r="M309" s="268" t="s">
        <v>1186</v>
      </c>
      <c r="N309" s="268">
        <v>12</v>
      </c>
      <c r="O309" s="268"/>
      <c r="P309" s="268">
        <f>L309*Q309*R309</f>
        <v>850</v>
      </c>
      <c r="Q309" s="268">
        <v>10</v>
      </c>
      <c r="R309" s="268">
        <v>5</v>
      </c>
      <c r="S309" s="269">
        <f>P309</f>
        <v>850</v>
      </c>
      <c r="T309" s="381">
        <f t="shared" si="198"/>
        <v>5.7200538358008077E-2</v>
      </c>
      <c r="U309" s="361">
        <f t="shared" si="196"/>
        <v>1</v>
      </c>
      <c r="V309" s="357">
        <f>IFERROR(O309/N309,0)</f>
        <v>0</v>
      </c>
      <c r="W309" s="357">
        <f t="shared" si="197"/>
        <v>5.7200538358008077E-2</v>
      </c>
      <c r="X309" s="357">
        <f t="shared" si="197"/>
        <v>0</v>
      </c>
      <c r="Y309" s="198">
        <f t="shared" si="160"/>
        <v>12</v>
      </c>
      <c r="Z309" s="435"/>
      <c r="AC309" s="267"/>
    </row>
    <row r="310" spans="8:29" x14ac:dyDescent="0.25">
      <c r="H310" s="510" t="s">
        <v>655</v>
      </c>
      <c r="I310" s="511"/>
      <c r="J310" s="392">
        <v>44885</v>
      </c>
      <c r="K310" s="392">
        <v>45104</v>
      </c>
      <c r="L310" s="368">
        <f t="shared" si="187"/>
        <v>220</v>
      </c>
      <c r="M310" s="368"/>
      <c r="N310" s="368"/>
      <c r="O310" s="368"/>
      <c r="P310" s="368">
        <f>P311+P327</f>
        <v>55510</v>
      </c>
      <c r="Q310" s="368"/>
      <c r="R310" s="368"/>
      <c r="S310" s="400">
        <f>S311+S327</f>
        <v>55510</v>
      </c>
      <c r="T310" s="356">
        <f>P310/$P$175</f>
        <v>9.0193141031786134E-2</v>
      </c>
      <c r="U310" s="368"/>
      <c r="V310" s="356"/>
      <c r="W310" s="356">
        <f>W311*T311+W327*T327</f>
        <v>1</v>
      </c>
      <c r="X310" s="356">
        <f>X311*T311+X327*T327</f>
        <v>0.16959042551439896</v>
      </c>
      <c r="Y310" s="198">
        <f t="shared" si="160"/>
        <v>0</v>
      </c>
      <c r="Z310" s="435"/>
      <c r="AC310" s="267"/>
    </row>
    <row r="311" spans="8:29" x14ac:dyDescent="0.25">
      <c r="H311" s="518" t="s">
        <v>656</v>
      </c>
      <c r="I311" s="519"/>
      <c r="J311" s="370">
        <v>44885</v>
      </c>
      <c r="K311" s="370">
        <v>45071</v>
      </c>
      <c r="L311" s="369">
        <f t="shared" si="187"/>
        <v>187</v>
      </c>
      <c r="M311" s="369"/>
      <c r="N311" s="369"/>
      <c r="O311" s="369"/>
      <c r="P311" s="369">
        <f>P312+P321</f>
        <v>20640</v>
      </c>
      <c r="Q311" s="369"/>
      <c r="R311" s="369"/>
      <c r="S311" s="385">
        <f>S312+S321</f>
        <v>20640</v>
      </c>
      <c r="T311" s="363">
        <f>S311/S310</f>
        <v>0.37182489641506034</v>
      </c>
      <c r="U311" s="369"/>
      <c r="V311" s="363"/>
      <c r="W311" s="363">
        <f>(W312*T312)+(W321*T321)</f>
        <v>1</v>
      </c>
      <c r="X311" s="363">
        <f>(X312*T312)+(X321*T321)</f>
        <v>0.14679154513791992</v>
      </c>
      <c r="Y311" s="198">
        <f t="shared" si="160"/>
        <v>0</v>
      </c>
      <c r="Z311" s="435"/>
      <c r="AC311" s="267"/>
    </row>
    <row r="312" spans="8:29" x14ac:dyDescent="0.25">
      <c r="H312" s="520" t="s">
        <v>657</v>
      </c>
      <c r="I312" s="521"/>
      <c r="J312" s="375">
        <v>44885</v>
      </c>
      <c r="K312" s="375">
        <v>45071</v>
      </c>
      <c r="L312" s="374">
        <f t="shared" si="187"/>
        <v>187</v>
      </c>
      <c r="M312" s="374"/>
      <c r="N312" s="374"/>
      <c r="O312" s="374"/>
      <c r="P312" s="374">
        <f>P313+P314+P315+P316+P317+P318+P319+P320</f>
        <v>14150</v>
      </c>
      <c r="Q312" s="374"/>
      <c r="R312" s="374"/>
      <c r="S312" s="386">
        <f>S313+S314+S315+S316+S317+S318+S319+S320</f>
        <v>14150</v>
      </c>
      <c r="T312" s="376">
        <f>S312/S311</f>
        <v>0.68556201550387597</v>
      </c>
      <c r="U312" s="380"/>
      <c r="V312" s="376"/>
      <c r="W312" s="376">
        <f>W313+W314+W315+W316+W317+W318+W319+W320</f>
        <v>1</v>
      </c>
      <c r="X312" s="376">
        <f>X313+X314+X315+X316+X317+X318+X319+X320</f>
        <v>0.15662378231041491</v>
      </c>
      <c r="Y312" s="198">
        <f t="shared" si="160"/>
        <v>0</v>
      </c>
      <c r="Z312" s="435"/>
      <c r="AC312" s="267"/>
    </row>
    <row r="313" spans="8:29" x14ac:dyDescent="0.25">
      <c r="H313" s="268" t="s">
        <v>658</v>
      </c>
      <c r="I313" s="397" t="s">
        <v>659</v>
      </c>
      <c r="J313" s="372">
        <v>44885</v>
      </c>
      <c r="K313" s="372">
        <v>44930</v>
      </c>
      <c r="L313" s="268">
        <f t="shared" si="187"/>
        <v>46</v>
      </c>
      <c r="M313" s="268" t="s">
        <v>1187</v>
      </c>
      <c r="N313" s="268">
        <v>979.49099999999999</v>
      </c>
      <c r="O313" s="268">
        <v>350</v>
      </c>
      <c r="P313" s="268">
        <f t="shared" ref="P313:P320" si="199">L313*Q313*R313</f>
        <v>2760</v>
      </c>
      <c r="Q313" s="268">
        <v>10</v>
      </c>
      <c r="R313" s="268">
        <v>6</v>
      </c>
      <c r="S313" s="269">
        <f t="shared" ref="S313:S320" si="200">P313</f>
        <v>2760</v>
      </c>
      <c r="T313" s="357">
        <f>S313/$S$312</f>
        <v>0.19505300353356891</v>
      </c>
      <c r="U313" s="361">
        <f t="shared" ref="U313:U320" si="201">IF($J313&gt;U$5,0,IF($K313&lt;U$5,1,IF(U$5=$K313,1,((U$5-$J313+1)/($K313-$J313+1)))))</f>
        <v>1</v>
      </c>
      <c r="V313" s="357">
        <f t="shared" ref="V313:V320" si="202">IFERROR(O313/N313,0)</f>
        <v>0.3573284491639025</v>
      </c>
      <c r="W313" s="357">
        <f t="shared" ref="W313:X320" si="203">U313*$T313</f>
        <v>0.19505300353356891</v>
      </c>
      <c r="X313" s="357">
        <f t="shared" si="203"/>
        <v>6.9697987257411373E-2</v>
      </c>
      <c r="Y313" s="198">
        <f t="shared" si="160"/>
        <v>979.49099999999999</v>
      </c>
      <c r="Z313" s="435"/>
      <c r="AC313" s="267"/>
    </row>
    <row r="314" spans="8:29" x14ac:dyDescent="0.25">
      <c r="H314" s="268" t="s">
        <v>660</v>
      </c>
      <c r="I314" s="397" t="s">
        <v>661</v>
      </c>
      <c r="J314" s="372">
        <v>44896</v>
      </c>
      <c r="K314" s="372">
        <v>44936</v>
      </c>
      <c r="L314" s="268">
        <f t="shared" si="187"/>
        <v>41</v>
      </c>
      <c r="M314" s="268" t="s">
        <v>1183</v>
      </c>
      <c r="N314" s="268">
        <v>100</v>
      </c>
      <c r="O314" s="268">
        <v>60</v>
      </c>
      <c r="P314" s="268">
        <f t="shared" si="199"/>
        <v>2050</v>
      </c>
      <c r="Q314" s="268">
        <v>10</v>
      </c>
      <c r="R314" s="268">
        <v>5</v>
      </c>
      <c r="S314" s="269">
        <f t="shared" si="200"/>
        <v>2050</v>
      </c>
      <c r="T314" s="357">
        <f t="shared" ref="T314:T320" si="204">S314/$S$312</f>
        <v>0.14487632508833923</v>
      </c>
      <c r="U314" s="361">
        <f t="shared" si="201"/>
        <v>1</v>
      </c>
      <c r="V314" s="357">
        <f t="shared" si="202"/>
        <v>0.6</v>
      </c>
      <c r="W314" s="357">
        <f t="shared" si="203"/>
        <v>0.14487632508833923</v>
      </c>
      <c r="X314" s="357">
        <f t="shared" si="203"/>
        <v>8.6925795053003532E-2</v>
      </c>
      <c r="Y314" s="198">
        <f t="shared" si="160"/>
        <v>100</v>
      </c>
      <c r="Z314" s="435"/>
      <c r="AC314" s="267"/>
    </row>
    <row r="315" spans="8:29" x14ac:dyDescent="0.25">
      <c r="H315" s="268" t="s">
        <v>662</v>
      </c>
      <c r="I315" s="397" t="s">
        <v>663</v>
      </c>
      <c r="J315" s="372">
        <v>44908</v>
      </c>
      <c r="K315" s="372">
        <v>44954</v>
      </c>
      <c r="L315" s="268">
        <f t="shared" si="187"/>
        <v>47</v>
      </c>
      <c r="M315" s="268" t="s">
        <v>1187</v>
      </c>
      <c r="N315" s="268">
        <v>1689.2850000000001</v>
      </c>
      <c r="O315" s="268"/>
      <c r="P315" s="268">
        <f t="shared" si="199"/>
        <v>2820</v>
      </c>
      <c r="Q315" s="268">
        <v>10</v>
      </c>
      <c r="R315" s="268">
        <v>6</v>
      </c>
      <c r="S315" s="269">
        <f t="shared" si="200"/>
        <v>2820</v>
      </c>
      <c r="T315" s="357">
        <f t="shared" si="204"/>
        <v>0.19929328621908127</v>
      </c>
      <c r="U315" s="361">
        <f t="shared" si="201"/>
        <v>1</v>
      </c>
      <c r="V315" s="357">
        <f t="shared" si="202"/>
        <v>0</v>
      </c>
      <c r="W315" s="357">
        <f t="shared" si="203"/>
        <v>0.19929328621908127</v>
      </c>
      <c r="X315" s="357">
        <f t="shared" si="203"/>
        <v>0</v>
      </c>
      <c r="Y315" s="198">
        <f t="shared" si="160"/>
        <v>1689.2850000000001</v>
      </c>
      <c r="Z315" s="435"/>
      <c r="AC315" s="267"/>
    </row>
    <row r="316" spans="8:29" x14ac:dyDescent="0.25">
      <c r="H316" s="268" t="s">
        <v>664</v>
      </c>
      <c r="I316" s="397" t="s">
        <v>665</v>
      </c>
      <c r="J316" s="372">
        <v>44937</v>
      </c>
      <c r="K316" s="372">
        <v>44959</v>
      </c>
      <c r="L316" s="268">
        <f t="shared" si="187"/>
        <v>23</v>
      </c>
      <c r="M316" s="268" t="s">
        <v>1187</v>
      </c>
      <c r="N316" s="268">
        <v>1689.2850000000001</v>
      </c>
      <c r="O316" s="268"/>
      <c r="P316" s="268">
        <f t="shared" si="199"/>
        <v>1380</v>
      </c>
      <c r="Q316" s="268">
        <v>10</v>
      </c>
      <c r="R316" s="268">
        <v>6</v>
      </c>
      <c r="S316" s="269">
        <f t="shared" si="200"/>
        <v>1380</v>
      </c>
      <c r="T316" s="357">
        <f t="shared" si="204"/>
        <v>9.7526501766784457E-2</v>
      </c>
      <c r="U316" s="361">
        <f t="shared" si="201"/>
        <v>1</v>
      </c>
      <c r="V316" s="357">
        <f t="shared" si="202"/>
        <v>0</v>
      </c>
      <c r="W316" s="357">
        <f t="shared" si="203"/>
        <v>9.7526501766784457E-2</v>
      </c>
      <c r="X316" s="357">
        <f t="shared" si="203"/>
        <v>0</v>
      </c>
      <c r="Y316" s="198">
        <f t="shared" si="160"/>
        <v>1689.2850000000001</v>
      </c>
      <c r="Z316" s="435"/>
      <c r="AC316" s="267"/>
    </row>
    <row r="317" spans="8:29" x14ac:dyDescent="0.25">
      <c r="H317" s="268" t="s">
        <v>666</v>
      </c>
      <c r="I317" s="397" t="s">
        <v>667</v>
      </c>
      <c r="J317" s="372">
        <v>44962</v>
      </c>
      <c r="K317" s="372">
        <v>44969</v>
      </c>
      <c r="L317" s="268">
        <f t="shared" si="187"/>
        <v>8</v>
      </c>
      <c r="M317" s="268" t="s">
        <v>1183</v>
      </c>
      <c r="N317" s="268">
        <v>100</v>
      </c>
      <c r="O317" s="268"/>
      <c r="P317" s="268">
        <f t="shared" si="199"/>
        <v>400</v>
      </c>
      <c r="Q317" s="268">
        <v>10</v>
      </c>
      <c r="R317" s="268">
        <v>5</v>
      </c>
      <c r="S317" s="269">
        <f t="shared" si="200"/>
        <v>400</v>
      </c>
      <c r="T317" s="357">
        <f t="shared" si="204"/>
        <v>2.8268551236749116E-2</v>
      </c>
      <c r="U317" s="361">
        <f t="shared" si="201"/>
        <v>1</v>
      </c>
      <c r="V317" s="357">
        <f t="shared" si="202"/>
        <v>0</v>
      </c>
      <c r="W317" s="357">
        <f t="shared" si="203"/>
        <v>2.8268551236749116E-2</v>
      </c>
      <c r="X317" s="357">
        <f t="shared" si="203"/>
        <v>0</v>
      </c>
      <c r="Y317" s="198">
        <f t="shared" si="160"/>
        <v>100</v>
      </c>
      <c r="Z317" s="435"/>
      <c r="AC317" s="267"/>
    </row>
    <row r="318" spans="8:29" x14ac:dyDescent="0.25">
      <c r="H318" s="268" t="s">
        <v>668</v>
      </c>
      <c r="I318" s="397" t="s">
        <v>669</v>
      </c>
      <c r="J318" s="372">
        <v>44970</v>
      </c>
      <c r="K318" s="372">
        <v>44985</v>
      </c>
      <c r="L318" s="268">
        <f t="shared" si="187"/>
        <v>16</v>
      </c>
      <c r="M318" s="268" t="s">
        <v>1187</v>
      </c>
      <c r="N318" s="268">
        <v>1004.019</v>
      </c>
      <c r="O318" s="268"/>
      <c r="P318" s="268">
        <f t="shared" si="199"/>
        <v>640</v>
      </c>
      <c r="Q318" s="268">
        <v>10</v>
      </c>
      <c r="R318" s="268">
        <v>4</v>
      </c>
      <c r="S318" s="269">
        <f t="shared" si="200"/>
        <v>640</v>
      </c>
      <c r="T318" s="357">
        <f t="shared" si="204"/>
        <v>4.5229681978798585E-2</v>
      </c>
      <c r="U318" s="361">
        <f t="shared" si="201"/>
        <v>1</v>
      </c>
      <c r="V318" s="357">
        <f t="shared" si="202"/>
        <v>0</v>
      </c>
      <c r="W318" s="357">
        <f t="shared" si="203"/>
        <v>4.5229681978798585E-2</v>
      </c>
      <c r="X318" s="357">
        <f t="shared" si="203"/>
        <v>0</v>
      </c>
      <c r="Y318" s="198">
        <f t="shared" si="160"/>
        <v>1004.019</v>
      </c>
      <c r="Z318" s="435"/>
      <c r="AC318" s="267"/>
    </row>
    <row r="319" spans="8:29" x14ac:dyDescent="0.25">
      <c r="H319" s="268" t="s">
        <v>670</v>
      </c>
      <c r="I319" s="397" t="s">
        <v>671</v>
      </c>
      <c r="J319" s="372">
        <v>45028</v>
      </c>
      <c r="K319" s="372">
        <v>45052</v>
      </c>
      <c r="L319" s="268">
        <f t="shared" si="187"/>
        <v>25</v>
      </c>
      <c r="M319" s="268" t="s">
        <v>1187</v>
      </c>
      <c r="N319" s="268">
        <v>379.79999999999995</v>
      </c>
      <c r="O319" s="268"/>
      <c r="P319" s="268">
        <f t="shared" si="199"/>
        <v>2500</v>
      </c>
      <c r="Q319" s="268">
        <v>10</v>
      </c>
      <c r="R319" s="268">
        <v>10</v>
      </c>
      <c r="S319" s="269">
        <f t="shared" si="200"/>
        <v>2500</v>
      </c>
      <c r="T319" s="357">
        <f t="shared" si="204"/>
        <v>0.17667844522968199</v>
      </c>
      <c r="U319" s="361">
        <f t="shared" si="201"/>
        <v>1</v>
      </c>
      <c r="V319" s="357">
        <f t="shared" si="202"/>
        <v>0</v>
      </c>
      <c r="W319" s="357">
        <f t="shared" si="203"/>
        <v>0.17667844522968199</v>
      </c>
      <c r="X319" s="357">
        <f t="shared" si="203"/>
        <v>0</v>
      </c>
      <c r="Y319" s="198">
        <f t="shared" si="160"/>
        <v>379.79999999999995</v>
      </c>
      <c r="Z319" s="435"/>
      <c r="AC319" s="267"/>
    </row>
    <row r="320" spans="8:29" x14ac:dyDescent="0.25">
      <c r="H320" s="268" t="s">
        <v>672</v>
      </c>
      <c r="I320" s="397" t="s">
        <v>673</v>
      </c>
      <c r="J320" s="372">
        <v>45040</v>
      </c>
      <c r="K320" s="372">
        <v>45071</v>
      </c>
      <c r="L320" s="268">
        <f t="shared" si="187"/>
        <v>32</v>
      </c>
      <c r="M320" s="268" t="s">
        <v>1187</v>
      </c>
      <c r="N320" s="268">
        <v>478.5</v>
      </c>
      <c r="O320" s="268"/>
      <c r="P320" s="268">
        <f t="shared" si="199"/>
        <v>1600</v>
      </c>
      <c r="Q320" s="268">
        <v>10</v>
      </c>
      <c r="R320" s="268">
        <v>5</v>
      </c>
      <c r="S320" s="269">
        <f t="shared" si="200"/>
        <v>1600</v>
      </c>
      <c r="T320" s="357">
        <f t="shared" si="204"/>
        <v>0.11307420494699646</v>
      </c>
      <c r="U320" s="361">
        <f t="shared" si="201"/>
        <v>1</v>
      </c>
      <c r="V320" s="357">
        <f t="shared" si="202"/>
        <v>0</v>
      </c>
      <c r="W320" s="357">
        <f t="shared" si="203"/>
        <v>0.11307420494699646</v>
      </c>
      <c r="X320" s="357">
        <f t="shared" si="203"/>
        <v>0</v>
      </c>
      <c r="Y320" s="198">
        <f t="shared" si="160"/>
        <v>478.5</v>
      </c>
      <c r="Z320" s="435"/>
      <c r="AC320" s="267"/>
    </row>
    <row r="321" spans="8:29" x14ac:dyDescent="0.25">
      <c r="H321" s="520" t="s">
        <v>674</v>
      </c>
      <c r="I321" s="521"/>
      <c r="J321" s="375">
        <v>44961</v>
      </c>
      <c r="K321" s="375">
        <v>45071</v>
      </c>
      <c r="L321" s="374">
        <f t="shared" si="187"/>
        <v>111</v>
      </c>
      <c r="M321" s="374"/>
      <c r="N321" s="374"/>
      <c r="O321" s="374"/>
      <c r="P321" s="374">
        <f>P322+P323+P324+P325+P326</f>
        <v>6490</v>
      </c>
      <c r="Q321" s="374"/>
      <c r="R321" s="374"/>
      <c r="S321" s="386">
        <f>S322+S323+S324+S325+S326</f>
        <v>6490</v>
      </c>
      <c r="T321" s="376">
        <f>S321/S311</f>
        <v>0.31443798449612403</v>
      </c>
      <c r="U321" s="380"/>
      <c r="V321" s="376"/>
      <c r="W321" s="376">
        <f>W322+W323+W324+W325+W326</f>
        <v>1</v>
      </c>
      <c r="X321" s="376">
        <f>X322+X323+X324+X325+X326</f>
        <v>0.12535454113317349</v>
      </c>
      <c r="Y321" s="198">
        <f t="shared" si="160"/>
        <v>0</v>
      </c>
      <c r="Z321" s="435"/>
      <c r="AC321" s="267"/>
    </row>
    <row r="322" spans="8:29" x14ac:dyDescent="0.25">
      <c r="H322" s="268" t="s">
        <v>675</v>
      </c>
      <c r="I322" s="397" t="s">
        <v>676</v>
      </c>
      <c r="J322" s="372">
        <v>44961</v>
      </c>
      <c r="K322" s="372">
        <v>44977</v>
      </c>
      <c r="L322" s="268">
        <f t="shared" si="187"/>
        <v>17</v>
      </c>
      <c r="M322" s="268" t="s">
        <v>1183</v>
      </c>
      <c r="N322" s="268">
        <v>100</v>
      </c>
      <c r="O322" s="268">
        <v>50</v>
      </c>
      <c r="P322" s="268">
        <f>L322*Q322*R322</f>
        <v>1360</v>
      </c>
      <c r="Q322" s="268">
        <v>10</v>
      </c>
      <c r="R322" s="268">
        <v>8</v>
      </c>
      <c r="S322" s="269">
        <f>P322</f>
        <v>1360</v>
      </c>
      <c r="T322" s="381">
        <f>S322/$S$321</f>
        <v>0.20955315870570107</v>
      </c>
      <c r="U322" s="361">
        <f t="shared" ref="U322:U326" si="205">IF($J322&gt;U$5,0,IF($K322&lt;U$5,1,IF(U$5=$K322,1,((U$5-$J322+1)/($K322-$J322+1)))))</f>
        <v>1</v>
      </c>
      <c r="V322" s="357">
        <f>IFERROR(O322/N322,0)</f>
        <v>0.5</v>
      </c>
      <c r="W322" s="357">
        <f t="shared" ref="W322:X326" si="206">U322*$T322</f>
        <v>0.20955315870570107</v>
      </c>
      <c r="X322" s="357">
        <f t="shared" si="206"/>
        <v>0.10477657935285054</v>
      </c>
      <c r="Y322" s="198">
        <f t="shared" si="160"/>
        <v>100</v>
      </c>
      <c r="Z322" s="435"/>
      <c r="AC322" s="267"/>
    </row>
    <row r="323" spans="8:29" x14ac:dyDescent="0.25">
      <c r="H323" s="268" t="s">
        <v>677</v>
      </c>
      <c r="I323" s="397" t="s">
        <v>678</v>
      </c>
      <c r="J323" s="372">
        <v>44966</v>
      </c>
      <c r="K323" s="372">
        <v>45019</v>
      </c>
      <c r="L323" s="268">
        <f t="shared" si="187"/>
        <v>54</v>
      </c>
      <c r="M323" s="268" t="s">
        <v>1187</v>
      </c>
      <c r="N323" s="268">
        <v>1010.8499999999999</v>
      </c>
      <c r="O323" s="268">
        <v>50</v>
      </c>
      <c r="P323" s="268">
        <f>L323*Q323*R323</f>
        <v>2700</v>
      </c>
      <c r="Q323" s="268">
        <v>10</v>
      </c>
      <c r="R323" s="268">
        <v>5</v>
      </c>
      <c r="S323" s="269">
        <f>P323</f>
        <v>2700</v>
      </c>
      <c r="T323" s="381">
        <f t="shared" ref="T323:T326" si="207">S323/$S$321</f>
        <v>0.41602465331278893</v>
      </c>
      <c r="U323" s="361">
        <f t="shared" si="205"/>
        <v>1</v>
      </c>
      <c r="V323" s="357">
        <f>IFERROR(O323/N323,0)</f>
        <v>4.9463322946035518E-2</v>
      </c>
      <c r="W323" s="357">
        <f t="shared" si="206"/>
        <v>0.41602465331278893</v>
      </c>
      <c r="X323" s="357">
        <f t="shared" si="206"/>
        <v>2.0577961780322944E-2</v>
      </c>
      <c r="Y323" s="198">
        <f t="shared" si="160"/>
        <v>1010.8499999999999</v>
      </c>
      <c r="Z323" s="435"/>
      <c r="AC323" s="267"/>
    </row>
    <row r="324" spans="8:29" x14ac:dyDescent="0.25">
      <c r="H324" s="268" t="s">
        <v>679</v>
      </c>
      <c r="I324" s="397" t="s">
        <v>680</v>
      </c>
      <c r="J324" s="372">
        <v>44990</v>
      </c>
      <c r="K324" s="372">
        <v>45028</v>
      </c>
      <c r="L324" s="268">
        <f t="shared" si="187"/>
        <v>39</v>
      </c>
      <c r="M324" s="268" t="s">
        <v>1187</v>
      </c>
      <c r="N324" s="268">
        <v>1010.8499999999999</v>
      </c>
      <c r="O324" s="268"/>
      <c r="P324" s="268">
        <f>L324*Q324*R324</f>
        <v>1950</v>
      </c>
      <c r="Q324" s="268">
        <v>10</v>
      </c>
      <c r="R324" s="268">
        <v>5</v>
      </c>
      <c r="S324" s="269">
        <f>P324</f>
        <v>1950</v>
      </c>
      <c r="T324" s="381">
        <f t="shared" si="207"/>
        <v>0.30046224961479201</v>
      </c>
      <c r="U324" s="361">
        <f t="shared" si="205"/>
        <v>1</v>
      </c>
      <c r="V324" s="357">
        <f>IFERROR(O324/N324,0)</f>
        <v>0</v>
      </c>
      <c r="W324" s="357">
        <f t="shared" si="206"/>
        <v>0.30046224961479201</v>
      </c>
      <c r="X324" s="357">
        <f t="shared" si="206"/>
        <v>0</v>
      </c>
      <c r="Y324" s="198">
        <f t="shared" si="160"/>
        <v>1010.8499999999999</v>
      </c>
      <c r="Z324" s="435"/>
      <c r="AC324" s="267"/>
    </row>
    <row r="325" spans="8:29" x14ac:dyDescent="0.25">
      <c r="H325" s="268" t="s">
        <v>681</v>
      </c>
      <c r="I325" s="397" t="s">
        <v>682</v>
      </c>
      <c r="J325" s="372">
        <v>45031</v>
      </c>
      <c r="K325" s="372">
        <v>45042</v>
      </c>
      <c r="L325" s="268">
        <f t="shared" si="187"/>
        <v>12</v>
      </c>
      <c r="M325" s="268" t="s">
        <v>1187</v>
      </c>
      <c r="N325" s="268">
        <v>1200</v>
      </c>
      <c r="O325" s="268"/>
      <c r="P325" s="268">
        <f>L325*Q325*R325</f>
        <v>360</v>
      </c>
      <c r="Q325" s="268">
        <v>10</v>
      </c>
      <c r="R325" s="268">
        <v>3</v>
      </c>
      <c r="S325" s="269">
        <f>P325</f>
        <v>360</v>
      </c>
      <c r="T325" s="381">
        <f t="shared" si="207"/>
        <v>5.5469953775038522E-2</v>
      </c>
      <c r="U325" s="361">
        <f t="shared" si="205"/>
        <v>1</v>
      </c>
      <c r="V325" s="357">
        <f>IFERROR(O325/N325,0)</f>
        <v>0</v>
      </c>
      <c r="W325" s="357">
        <f t="shared" si="206"/>
        <v>5.5469953775038522E-2</v>
      </c>
      <c r="X325" s="357">
        <f t="shared" si="206"/>
        <v>0</v>
      </c>
      <c r="Y325" s="198">
        <f t="shared" si="160"/>
        <v>1200</v>
      </c>
      <c r="Z325" s="435"/>
      <c r="AC325" s="267"/>
    </row>
    <row r="326" spans="8:29" x14ac:dyDescent="0.25">
      <c r="H326" s="268" t="s">
        <v>683</v>
      </c>
      <c r="I326" s="397" t="s">
        <v>684</v>
      </c>
      <c r="J326" s="372">
        <v>45066</v>
      </c>
      <c r="K326" s="372">
        <v>45071</v>
      </c>
      <c r="L326" s="268">
        <f t="shared" si="187"/>
        <v>6</v>
      </c>
      <c r="M326" s="268" t="s">
        <v>1184</v>
      </c>
      <c r="N326" s="268">
        <v>7</v>
      </c>
      <c r="O326" s="268"/>
      <c r="P326" s="268">
        <f>L326*Q326*R326</f>
        <v>120</v>
      </c>
      <c r="Q326" s="268">
        <v>10</v>
      </c>
      <c r="R326" s="268">
        <v>2</v>
      </c>
      <c r="S326" s="269">
        <f>P326</f>
        <v>120</v>
      </c>
      <c r="T326" s="381">
        <f t="shared" si="207"/>
        <v>1.8489984591679508E-2</v>
      </c>
      <c r="U326" s="361">
        <f t="shared" si="205"/>
        <v>1</v>
      </c>
      <c r="V326" s="357">
        <f>IFERROR(O326/N326,0)</f>
        <v>0</v>
      </c>
      <c r="W326" s="357">
        <f t="shared" si="206"/>
        <v>1.8489984591679508E-2</v>
      </c>
      <c r="X326" s="357">
        <f t="shared" si="206"/>
        <v>0</v>
      </c>
      <c r="Y326" s="198">
        <f t="shared" si="160"/>
        <v>7</v>
      </c>
      <c r="Z326" s="435"/>
      <c r="AC326" s="267"/>
    </row>
    <row r="327" spans="8:29" x14ac:dyDescent="0.25">
      <c r="H327" s="518" t="s">
        <v>685</v>
      </c>
      <c r="I327" s="519"/>
      <c r="J327" s="370">
        <v>44885</v>
      </c>
      <c r="K327" s="370">
        <v>45104</v>
      </c>
      <c r="L327" s="369">
        <f t="shared" si="187"/>
        <v>220</v>
      </c>
      <c r="M327" s="369"/>
      <c r="N327" s="369"/>
      <c r="O327" s="369"/>
      <c r="P327" s="369">
        <f>P328+P340</f>
        <v>34870</v>
      </c>
      <c r="Q327" s="369"/>
      <c r="R327" s="369"/>
      <c r="S327" s="385">
        <f>S328+S340</f>
        <v>34870</v>
      </c>
      <c r="T327" s="363">
        <f>S327/S310</f>
        <v>0.62817510358493966</v>
      </c>
      <c r="U327" s="369"/>
      <c r="V327" s="363"/>
      <c r="W327" s="363">
        <f>(W328*T328)+(W340*T340)</f>
        <v>1</v>
      </c>
      <c r="X327" s="363">
        <f>(X328*T328)+(X340*T340)</f>
        <v>0.18308537506904554</v>
      </c>
      <c r="Y327" s="198">
        <f t="shared" si="160"/>
        <v>0</v>
      </c>
      <c r="Z327" s="435"/>
      <c r="AC327" s="267"/>
    </row>
    <row r="328" spans="8:29" x14ac:dyDescent="0.25">
      <c r="H328" s="520" t="s">
        <v>686</v>
      </c>
      <c r="I328" s="521"/>
      <c r="J328" s="375">
        <v>44885</v>
      </c>
      <c r="K328" s="375">
        <v>45054</v>
      </c>
      <c r="L328" s="374">
        <f t="shared" si="187"/>
        <v>170</v>
      </c>
      <c r="M328" s="374"/>
      <c r="N328" s="374"/>
      <c r="O328" s="374"/>
      <c r="P328" s="374">
        <f>P329+P334</f>
        <v>24740</v>
      </c>
      <c r="Q328" s="374"/>
      <c r="R328" s="374"/>
      <c r="S328" s="386">
        <f>S329+S334</f>
        <v>24740</v>
      </c>
      <c r="T328" s="376">
        <f>S328/S327</f>
        <v>0.70949240034413541</v>
      </c>
      <c r="U328" s="380"/>
      <c r="V328" s="376"/>
      <c r="W328" s="376">
        <f>W329*T329+W334*T334</f>
        <v>0.99999999999999989</v>
      </c>
      <c r="X328" s="376">
        <f>X329*T329+X334*T334</f>
        <v>0.25029050237096273</v>
      </c>
      <c r="Y328" s="198">
        <f t="shared" si="160"/>
        <v>0</v>
      </c>
      <c r="Z328" s="435"/>
      <c r="AC328" s="267"/>
    </row>
    <row r="329" spans="8:29" x14ac:dyDescent="0.25">
      <c r="H329" s="522" t="s">
        <v>687</v>
      </c>
      <c r="I329" s="523"/>
      <c r="J329" s="378">
        <v>44885</v>
      </c>
      <c r="K329" s="378">
        <v>44972</v>
      </c>
      <c r="L329" s="377">
        <f t="shared" si="187"/>
        <v>88</v>
      </c>
      <c r="M329" s="377"/>
      <c r="N329" s="377"/>
      <c r="O329" s="377"/>
      <c r="P329" s="377">
        <f>P330+P331+P332+P333</f>
        <v>11210</v>
      </c>
      <c r="Q329" s="377"/>
      <c r="R329" s="377"/>
      <c r="S329" s="387">
        <f>S330+S331+S332+S333</f>
        <v>11210</v>
      </c>
      <c r="T329" s="379">
        <f>S329/S328</f>
        <v>0.45311236863379145</v>
      </c>
      <c r="U329" s="382"/>
      <c r="V329" s="379"/>
      <c r="W329" s="379">
        <f>W330+W331+W332+W333</f>
        <v>1</v>
      </c>
      <c r="X329" s="379">
        <f>X330+X331+X332+X333</f>
        <v>0.55238064484010863</v>
      </c>
      <c r="Y329" s="198">
        <f t="shared" si="160"/>
        <v>0</v>
      </c>
      <c r="Z329" s="435"/>
      <c r="AC329" s="267"/>
    </row>
    <row r="330" spans="8:29" x14ac:dyDescent="0.25">
      <c r="H330" s="268" t="s">
        <v>688</v>
      </c>
      <c r="I330" s="397" t="s">
        <v>689</v>
      </c>
      <c r="J330" s="372">
        <v>44885</v>
      </c>
      <c r="K330" s="372">
        <v>44919</v>
      </c>
      <c r="L330" s="268">
        <f t="shared" si="187"/>
        <v>35</v>
      </c>
      <c r="M330" s="268" t="s">
        <v>1183</v>
      </c>
      <c r="N330" s="268">
        <v>100</v>
      </c>
      <c r="O330" s="268">
        <v>100</v>
      </c>
      <c r="P330" s="268">
        <f>L330*Q330*R330</f>
        <v>3500</v>
      </c>
      <c r="Q330" s="268">
        <v>10</v>
      </c>
      <c r="R330" s="268">
        <v>10</v>
      </c>
      <c r="S330" s="269">
        <f>P330</f>
        <v>3500</v>
      </c>
      <c r="T330" s="357">
        <f>S330/$S$329</f>
        <v>0.31222123104371097</v>
      </c>
      <c r="U330" s="361">
        <f t="shared" ref="U330:U333" si="208">IF($J330&gt;U$5,0,IF($K330&lt;U$5,1,IF(U$5=$K330,1,((U$5-$J330+1)/($K330-$J330+1)))))</f>
        <v>1</v>
      </c>
      <c r="V330" s="357">
        <f>IFERROR(O330/N330,0)</f>
        <v>1</v>
      </c>
      <c r="W330" s="357">
        <f t="shared" ref="W330:X333" si="209">U330*$T330</f>
        <v>0.31222123104371097</v>
      </c>
      <c r="X330" s="357">
        <f t="shared" si="209"/>
        <v>0.31222123104371097</v>
      </c>
      <c r="Y330" s="198">
        <f t="shared" ref="Y330:Y393" si="210">+U330*N330</f>
        <v>100</v>
      </c>
      <c r="Z330" s="435"/>
      <c r="AC330" s="267"/>
    </row>
    <row r="331" spans="8:29" x14ac:dyDescent="0.25">
      <c r="H331" s="268" t="s">
        <v>690</v>
      </c>
      <c r="I331" s="397" t="s">
        <v>691</v>
      </c>
      <c r="J331" s="372">
        <v>44891</v>
      </c>
      <c r="K331" s="372">
        <v>44924</v>
      </c>
      <c r="L331" s="268">
        <f t="shared" si="187"/>
        <v>34</v>
      </c>
      <c r="M331" s="268" t="s">
        <v>1187</v>
      </c>
      <c r="N331" s="268">
        <v>612.33000000000004</v>
      </c>
      <c r="O331" s="268">
        <f>N331</f>
        <v>612.33000000000004</v>
      </c>
      <c r="P331" s="268">
        <f>L331*Q331*R331</f>
        <v>2040</v>
      </c>
      <c r="Q331" s="268">
        <v>10</v>
      </c>
      <c r="R331" s="268">
        <v>6</v>
      </c>
      <c r="S331" s="269">
        <f>P331</f>
        <v>2040</v>
      </c>
      <c r="T331" s="357">
        <f t="shared" ref="T331:T333" si="211">S331/$S$329</f>
        <v>0.18198037466547726</v>
      </c>
      <c r="U331" s="361">
        <f t="shared" si="208"/>
        <v>1</v>
      </c>
      <c r="V331" s="357">
        <f>IFERROR(O331/N331,0)</f>
        <v>1</v>
      </c>
      <c r="W331" s="357">
        <f t="shared" si="209"/>
        <v>0.18198037466547726</v>
      </c>
      <c r="X331" s="357">
        <f t="shared" si="209"/>
        <v>0.18198037466547726</v>
      </c>
      <c r="Y331" s="198">
        <f t="shared" si="210"/>
        <v>612.33000000000004</v>
      </c>
      <c r="Z331" s="435"/>
      <c r="AC331" s="267"/>
    </row>
    <row r="332" spans="8:29" x14ac:dyDescent="0.25">
      <c r="H332" s="268" t="s">
        <v>692</v>
      </c>
      <c r="I332" s="397" t="s">
        <v>663</v>
      </c>
      <c r="J332" s="372">
        <v>44914</v>
      </c>
      <c r="K332" s="372">
        <v>44959</v>
      </c>
      <c r="L332" s="268">
        <f t="shared" si="187"/>
        <v>46</v>
      </c>
      <c r="M332" s="268" t="s">
        <v>1187</v>
      </c>
      <c r="N332" s="268">
        <v>2320.5</v>
      </c>
      <c r="O332" s="268">
        <v>470</v>
      </c>
      <c r="P332" s="268">
        <f>L332*Q332*R332</f>
        <v>3220</v>
      </c>
      <c r="Q332" s="268">
        <v>10</v>
      </c>
      <c r="R332" s="268">
        <v>7</v>
      </c>
      <c r="S332" s="269">
        <f>P332</f>
        <v>3220</v>
      </c>
      <c r="T332" s="357">
        <f t="shared" si="211"/>
        <v>0.28724353256021412</v>
      </c>
      <c r="U332" s="361">
        <f t="shared" si="208"/>
        <v>1</v>
      </c>
      <c r="V332" s="357">
        <f>IFERROR(O332/N332,0)</f>
        <v>0.20254255548373196</v>
      </c>
      <c r="W332" s="357">
        <f t="shared" si="209"/>
        <v>0.28724353256021412</v>
      </c>
      <c r="X332" s="357">
        <f t="shared" si="209"/>
        <v>5.8179039130920332E-2</v>
      </c>
      <c r="Y332" s="198">
        <f t="shared" si="210"/>
        <v>2320.5</v>
      </c>
      <c r="Z332" s="435"/>
      <c r="AC332" s="267"/>
    </row>
    <row r="333" spans="8:29" x14ac:dyDescent="0.25">
      <c r="H333" s="268" t="s">
        <v>693</v>
      </c>
      <c r="I333" s="397" t="s">
        <v>665</v>
      </c>
      <c r="J333" s="372">
        <v>44938</v>
      </c>
      <c r="K333" s="372">
        <v>44972</v>
      </c>
      <c r="L333" s="268">
        <f t="shared" si="187"/>
        <v>35</v>
      </c>
      <c r="M333" s="268" t="s">
        <v>1187</v>
      </c>
      <c r="N333" s="268">
        <v>2320.5</v>
      </c>
      <c r="O333" s="268"/>
      <c r="P333" s="268">
        <f>L333*Q333*R333</f>
        <v>2450</v>
      </c>
      <c r="Q333" s="268">
        <v>10</v>
      </c>
      <c r="R333" s="268">
        <v>7</v>
      </c>
      <c r="S333" s="269">
        <f>P333</f>
        <v>2450</v>
      </c>
      <c r="T333" s="357">
        <f t="shared" si="211"/>
        <v>0.21855486173059768</v>
      </c>
      <c r="U333" s="361">
        <f t="shared" si="208"/>
        <v>1</v>
      </c>
      <c r="V333" s="357">
        <f>IFERROR(O333/N333,0)</f>
        <v>0</v>
      </c>
      <c r="W333" s="357">
        <f t="shared" si="209"/>
        <v>0.21855486173059768</v>
      </c>
      <c r="X333" s="357">
        <f t="shared" si="209"/>
        <v>0</v>
      </c>
      <c r="Y333" s="198">
        <f t="shared" si="210"/>
        <v>2320.5</v>
      </c>
      <c r="Z333" s="435"/>
      <c r="AC333" s="267"/>
    </row>
    <row r="334" spans="8:29" x14ac:dyDescent="0.25">
      <c r="H334" s="522" t="s">
        <v>694</v>
      </c>
      <c r="I334" s="523"/>
      <c r="J334" s="378">
        <v>44962</v>
      </c>
      <c r="K334" s="378">
        <v>45054</v>
      </c>
      <c r="L334" s="377">
        <f t="shared" si="187"/>
        <v>93</v>
      </c>
      <c r="M334" s="377"/>
      <c r="N334" s="377"/>
      <c r="O334" s="377"/>
      <c r="P334" s="377">
        <f>P335+P336+P337+P338+P339</f>
        <v>13530</v>
      </c>
      <c r="Q334" s="377"/>
      <c r="R334" s="377"/>
      <c r="S334" s="387">
        <f>S335+S336+S337+S338+S339</f>
        <v>13530</v>
      </c>
      <c r="T334" s="379">
        <f>S334/S328</f>
        <v>0.54688763136620855</v>
      </c>
      <c r="U334" s="382"/>
      <c r="V334" s="379"/>
      <c r="W334" s="379">
        <f>W335+W336+W337+W338+W339</f>
        <v>0.99999999999999989</v>
      </c>
      <c r="X334" s="379">
        <f>X335+X336+X337+X338+X339</f>
        <v>0</v>
      </c>
      <c r="Y334" s="198">
        <f t="shared" si="210"/>
        <v>0</v>
      </c>
      <c r="Z334" s="435"/>
      <c r="AC334" s="267"/>
    </row>
    <row r="335" spans="8:29" x14ac:dyDescent="0.25">
      <c r="H335" s="268" t="s">
        <v>695</v>
      </c>
      <c r="I335" s="397" t="s">
        <v>689</v>
      </c>
      <c r="J335" s="372">
        <v>44962</v>
      </c>
      <c r="K335" s="372">
        <v>45003</v>
      </c>
      <c r="L335" s="268">
        <f t="shared" si="187"/>
        <v>42</v>
      </c>
      <c r="M335" s="268" t="s">
        <v>1183</v>
      </c>
      <c r="N335" s="268">
        <v>100</v>
      </c>
      <c r="O335" s="268"/>
      <c r="P335" s="268">
        <f>L335*Q335*R335</f>
        <v>4200</v>
      </c>
      <c r="Q335" s="268">
        <v>10</v>
      </c>
      <c r="R335" s="268">
        <v>10</v>
      </c>
      <c r="S335" s="269">
        <f>P335</f>
        <v>4200</v>
      </c>
      <c r="T335" s="357">
        <f>S335/$S$334</f>
        <v>0.31042128603104213</v>
      </c>
      <c r="U335" s="361">
        <f t="shared" ref="U335:U339" si="212">IF($J335&gt;U$5,0,IF($K335&lt;U$5,1,IF(U$5=$K335,1,((U$5-$J335+1)/($K335-$J335+1)))))</f>
        <v>1</v>
      </c>
      <c r="V335" s="357">
        <f>IFERROR(O335/N335,0)</f>
        <v>0</v>
      </c>
      <c r="W335" s="357">
        <f t="shared" ref="W335:X339" si="213">U335*$T335</f>
        <v>0.31042128603104213</v>
      </c>
      <c r="X335" s="357">
        <f t="shared" si="213"/>
        <v>0</v>
      </c>
      <c r="Y335" s="198">
        <f t="shared" si="210"/>
        <v>100</v>
      </c>
      <c r="Z335" s="435"/>
      <c r="AC335" s="267"/>
    </row>
    <row r="336" spans="8:29" x14ac:dyDescent="0.25">
      <c r="H336" s="268" t="s">
        <v>696</v>
      </c>
      <c r="I336" s="397" t="s">
        <v>691</v>
      </c>
      <c r="J336" s="372">
        <v>44963</v>
      </c>
      <c r="K336" s="372">
        <v>45015</v>
      </c>
      <c r="L336" s="268">
        <f t="shared" si="187"/>
        <v>53</v>
      </c>
      <c r="M336" s="268" t="s">
        <v>1187</v>
      </c>
      <c r="N336" s="268">
        <v>612.33000000000004</v>
      </c>
      <c r="O336" s="268"/>
      <c r="P336" s="268">
        <f>L336*Q336*R336</f>
        <v>3180</v>
      </c>
      <c r="Q336" s="268">
        <v>10</v>
      </c>
      <c r="R336" s="268">
        <v>6</v>
      </c>
      <c r="S336" s="269">
        <f>P336</f>
        <v>3180</v>
      </c>
      <c r="T336" s="357">
        <f t="shared" ref="T336:T339" si="214">S336/$S$334</f>
        <v>0.23503325942350334</v>
      </c>
      <c r="U336" s="361">
        <f t="shared" si="212"/>
        <v>1</v>
      </c>
      <c r="V336" s="357">
        <f>IFERROR(O336/N336,0)</f>
        <v>0</v>
      </c>
      <c r="W336" s="357">
        <f t="shared" si="213"/>
        <v>0.23503325942350334</v>
      </c>
      <c r="X336" s="357">
        <f t="shared" si="213"/>
        <v>0</v>
      </c>
      <c r="Y336" s="198">
        <f t="shared" si="210"/>
        <v>612.33000000000004</v>
      </c>
      <c r="Z336" s="435"/>
      <c r="AC336" s="267"/>
    </row>
    <row r="337" spans="8:29" x14ac:dyDescent="0.25">
      <c r="H337" s="268" t="s">
        <v>697</v>
      </c>
      <c r="I337" s="397" t="s">
        <v>663</v>
      </c>
      <c r="J337" s="372">
        <v>44986</v>
      </c>
      <c r="K337" s="372">
        <v>45033</v>
      </c>
      <c r="L337" s="268">
        <f t="shared" si="187"/>
        <v>48</v>
      </c>
      <c r="M337" s="268" t="s">
        <v>1187</v>
      </c>
      <c r="N337" s="268">
        <v>2320.5</v>
      </c>
      <c r="O337" s="268"/>
      <c r="P337" s="268">
        <f>L337*Q337*R337</f>
        <v>3360</v>
      </c>
      <c r="Q337" s="268">
        <v>10</v>
      </c>
      <c r="R337" s="268">
        <v>7</v>
      </c>
      <c r="S337" s="269">
        <f>P337</f>
        <v>3360</v>
      </c>
      <c r="T337" s="357">
        <f t="shared" si="214"/>
        <v>0.24833702882483372</v>
      </c>
      <c r="U337" s="361">
        <f t="shared" si="212"/>
        <v>1</v>
      </c>
      <c r="V337" s="357">
        <f>IFERROR(O337/N337,0)</f>
        <v>0</v>
      </c>
      <c r="W337" s="357">
        <f t="shared" si="213"/>
        <v>0.24833702882483372</v>
      </c>
      <c r="X337" s="357">
        <f t="shared" si="213"/>
        <v>0</v>
      </c>
      <c r="Y337" s="198">
        <f t="shared" si="210"/>
        <v>2320.5</v>
      </c>
      <c r="Z337" s="435"/>
      <c r="AC337" s="267"/>
    </row>
    <row r="338" spans="8:29" x14ac:dyDescent="0.25">
      <c r="H338" s="268" t="s">
        <v>698</v>
      </c>
      <c r="I338" s="397" t="s">
        <v>665</v>
      </c>
      <c r="J338" s="372">
        <v>45010</v>
      </c>
      <c r="K338" s="372">
        <v>45045</v>
      </c>
      <c r="L338" s="268">
        <f t="shared" si="187"/>
        <v>36</v>
      </c>
      <c r="M338" s="268" t="s">
        <v>1187</v>
      </c>
      <c r="N338" s="268">
        <v>2320.5</v>
      </c>
      <c r="O338" s="268"/>
      <c r="P338" s="268">
        <f>L338*Q338*R338</f>
        <v>2520</v>
      </c>
      <c r="Q338" s="268">
        <v>10</v>
      </c>
      <c r="R338" s="268">
        <v>7</v>
      </c>
      <c r="S338" s="269">
        <f>P338</f>
        <v>2520</v>
      </c>
      <c r="T338" s="357">
        <f t="shared" si="214"/>
        <v>0.18625277161862527</v>
      </c>
      <c r="U338" s="361">
        <f t="shared" si="212"/>
        <v>1</v>
      </c>
      <c r="V338" s="357">
        <f>IFERROR(O338/N338,0)</f>
        <v>0</v>
      </c>
      <c r="W338" s="357">
        <f t="shared" si="213"/>
        <v>0.18625277161862527</v>
      </c>
      <c r="X338" s="357">
        <f t="shared" si="213"/>
        <v>0</v>
      </c>
      <c r="Y338" s="198">
        <f t="shared" si="210"/>
        <v>2320.5</v>
      </c>
      <c r="Z338" s="435"/>
      <c r="AC338" s="267"/>
    </row>
    <row r="339" spans="8:29" x14ac:dyDescent="0.25">
      <c r="H339" s="268" t="s">
        <v>699</v>
      </c>
      <c r="I339" s="397" t="s">
        <v>669</v>
      </c>
      <c r="J339" s="372">
        <v>45046</v>
      </c>
      <c r="K339" s="372">
        <v>45054</v>
      </c>
      <c r="L339" s="268">
        <f t="shared" si="187"/>
        <v>9</v>
      </c>
      <c r="M339" s="268" t="s">
        <v>1187</v>
      </c>
      <c r="N339" s="268">
        <v>1776</v>
      </c>
      <c r="O339" s="268"/>
      <c r="P339" s="268">
        <f>L339*Q339*R339</f>
        <v>270</v>
      </c>
      <c r="Q339" s="268">
        <v>10</v>
      </c>
      <c r="R339" s="268">
        <v>3</v>
      </c>
      <c r="S339" s="269">
        <f>P339</f>
        <v>270</v>
      </c>
      <c r="T339" s="357">
        <f t="shared" si="214"/>
        <v>1.9955654101995565E-2</v>
      </c>
      <c r="U339" s="361">
        <f t="shared" si="212"/>
        <v>1</v>
      </c>
      <c r="V339" s="357">
        <f>IFERROR(O339/N339,0)</f>
        <v>0</v>
      </c>
      <c r="W339" s="357">
        <f t="shared" si="213"/>
        <v>1.9955654101995565E-2</v>
      </c>
      <c r="X339" s="357">
        <f t="shared" si="213"/>
        <v>0</v>
      </c>
      <c r="Y339" s="198">
        <f t="shared" si="210"/>
        <v>1776</v>
      </c>
      <c r="Z339" s="435"/>
      <c r="AC339" s="267"/>
    </row>
    <row r="340" spans="8:29" x14ac:dyDescent="0.25">
      <c r="H340" s="520" t="s">
        <v>700</v>
      </c>
      <c r="I340" s="521"/>
      <c r="J340" s="375">
        <v>44998</v>
      </c>
      <c r="K340" s="375">
        <v>45104</v>
      </c>
      <c r="L340" s="374">
        <f t="shared" si="187"/>
        <v>107</v>
      </c>
      <c r="M340" s="374"/>
      <c r="N340" s="374"/>
      <c r="O340" s="374"/>
      <c r="P340" s="374">
        <f>P341+P342+P343+P344+P345</f>
        <v>10130</v>
      </c>
      <c r="Q340" s="374"/>
      <c r="R340" s="374"/>
      <c r="S340" s="386">
        <f>S341+S342+S343+S344+S345</f>
        <v>10130</v>
      </c>
      <c r="T340" s="376">
        <f>S340/S327</f>
        <v>0.29050759965586465</v>
      </c>
      <c r="U340" s="380"/>
      <c r="V340" s="376"/>
      <c r="W340" s="376">
        <f>W341+W342+W343+W344+W345</f>
        <v>1</v>
      </c>
      <c r="X340" s="376">
        <f>X341+X342+X343+X344+X345</f>
        <v>1.8953603158933862E-2</v>
      </c>
      <c r="Y340" s="198">
        <f t="shared" si="210"/>
        <v>0</v>
      </c>
      <c r="Z340" s="435"/>
      <c r="AC340" s="267"/>
    </row>
    <row r="341" spans="8:29" x14ac:dyDescent="0.25">
      <c r="H341" s="268" t="s">
        <v>701</v>
      </c>
      <c r="I341" s="397" t="s">
        <v>702</v>
      </c>
      <c r="J341" s="372">
        <v>44998</v>
      </c>
      <c r="K341" s="372">
        <v>45021</v>
      </c>
      <c r="L341" s="268">
        <f t="shared" si="187"/>
        <v>24</v>
      </c>
      <c r="M341" s="268" t="s">
        <v>1183</v>
      </c>
      <c r="N341" s="268">
        <v>100</v>
      </c>
      <c r="O341" s="268">
        <v>10</v>
      </c>
      <c r="P341" s="268">
        <f>L341*Q341*R341</f>
        <v>1920</v>
      </c>
      <c r="Q341" s="268">
        <v>10</v>
      </c>
      <c r="R341" s="268">
        <v>8</v>
      </c>
      <c r="S341" s="269">
        <f>P341</f>
        <v>1920</v>
      </c>
      <c r="T341" s="357">
        <f>S341/$S$340</f>
        <v>0.1895360315893386</v>
      </c>
      <c r="U341" s="361">
        <f t="shared" ref="U341:U345" si="215">IF($J341&gt;U$5,0,IF($K341&lt;U$5,1,IF(U$5=$K341,1,((U$5-$J341+1)/($K341-$J341+1)))))</f>
        <v>1</v>
      </c>
      <c r="V341" s="357">
        <f>IFERROR(O341/N341,0)</f>
        <v>0.1</v>
      </c>
      <c r="W341" s="357">
        <f t="shared" ref="W341:X345" si="216">U341*$T341</f>
        <v>0.1895360315893386</v>
      </c>
      <c r="X341" s="357">
        <f t="shared" si="216"/>
        <v>1.8953603158933862E-2</v>
      </c>
      <c r="Y341" s="198">
        <f t="shared" si="210"/>
        <v>100</v>
      </c>
      <c r="Z341" s="435"/>
      <c r="AC341" s="267"/>
    </row>
    <row r="342" spans="8:29" x14ac:dyDescent="0.25">
      <c r="H342" s="268" t="s">
        <v>703</v>
      </c>
      <c r="I342" s="397" t="s">
        <v>678</v>
      </c>
      <c r="J342" s="372">
        <v>45021</v>
      </c>
      <c r="K342" s="372">
        <v>45085</v>
      </c>
      <c r="L342" s="268">
        <f t="shared" si="187"/>
        <v>65</v>
      </c>
      <c r="M342" s="268" t="s">
        <v>1187</v>
      </c>
      <c r="N342" s="268">
        <v>3634.5</v>
      </c>
      <c r="O342" s="268"/>
      <c r="P342" s="268">
        <f>L342*Q342*R342</f>
        <v>4550</v>
      </c>
      <c r="Q342" s="268">
        <v>10</v>
      </c>
      <c r="R342" s="268">
        <v>7</v>
      </c>
      <c r="S342" s="269">
        <f>P342</f>
        <v>4550</v>
      </c>
      <c r="T342" s="357">
        <f t="shared" ref="T342:T345" si="217">S342/$S$340</f>
        <v>0.4491609081934847</v>
      </c>
      <c r="U342" s="361">
        <f t="shared" si="215"/>
        <v>1</v>
      </c>
      <c r="V342" s="357">
        <f>IFERROR(O342/N342,0)</f>
        <v>0</v>
      </c>
      <c r="W342" s="357">
        <f t="shared" si="216"/>
        <v>0.4491609081934847</v>
      </c>
      <c r="X342" s="357">
        <f t="shared" si="216"/>
        <v>0</v>
      </c>
      <c r="Y342" s="198">
        <f t="shared" si="210"/>
        <v>3634.5</v>
      </c>
      <c r="Z342" s="435"/>
      <c r="AC342" s="267"/>
    </row>
    <row r="343" spans="8:29" x14ac:dyDescent="0.25">
      <c r="H343" s="268" t="s">
        <v>704</v>
      </c>
      <c r="I343" s="397" t="s">
        <v>680</v>
      </c>
      <c r="J343" s="372">
        <v>45056</v>
      </c>
      <c r="K343" s="372">
        <v>45097</v>
      </c>
      <c r="L343" s="268">
        <f t="shared" si="187"/>
        <v>42</v>
      </c>
      <c r="M343" s="268" t="s">
        <v>1187</v>
      </c>
      <c r="N343" s="268">
        <v>3634.5</v>
      </c>
      <c r="O343" s="268"/>
      <c r="P343" s="268">
        <f>L343*Q343*R343</f>
        <v>2940</v>
      </c>
      <c r="Q343" s="268">
        <v>10</v>
      </c>
      <c r="R343" s="268">
        <v>7</v>
      </c>
      <c r="S343" s="269">
        <f>P343</f>
        <v>2940</v>
      </c>
      <c r="T343" s="357">
        <f t="shared" si="217"/>
        <v>0.29022704837117475</v>
      </c>
      <c r="U343" s="361">
        <f t="shared" si="215"/>
        <v>1</v>
      </c>
      <c r="V343" s="357">
        <f>IFERROR(O343/N343,0)</f>
        <v>0</v>
      </c>
      <c r="W343" s="357">
        <f t="shared" si="216"/>
        <v>0.29022704837117475</v>
      </c>
      <c r="X343" s="357">
        <f t="shared" si="216"/>
        <v>0</v>
      </c>
      <c r="Y343" s="198">
        <f t="shared" si="210"/>
        <v>3634.5</v>
      </c>
      <c r="Z343" s="435"/>
      <c r="AC343" s="267"/>
    </row>
    <row r="344" spans="8:29" x14ac:dyDescent="0.25">
      <c r="H344" s="268" t="s">
        <v>705</v>
      </c>
      <c r="I344" s="397" t="s">
        <v>682</v>
      </c>
      <c r="J344" s="372">
        <v>45087</v>
      </c>
      <c r="K344" s="372">
        <v>45104</v>
      </c>
      <c r="L344" s="268">
        <f t="shared" si="187"/>
        <v>18</v>
      </c>
      <c r="M344" s="268" t="s">
        <v>1187</v>
      </c>
      <c r="N344" s="268">
        <v>2049</v>
      </c>
      <c r="O344" s="268"/>
      <c r="P344" s="268">
        <f>L344*Q344*R344</f>
        <v>540</v>
      </c>
      <c r="Q344" s="268">
        <v>10</v>
      </c>
      <c r="R344" s="268">
        <v>3</v>
      </c>
      <c r="S344" s="269">
        <f>P344</f>
        <v>540</v>
      </c>
      <c r="T344" s="357">
        <f t="shared" si="217"/>
        <v>5.3307008884501482E-2</v>
      </c>
      <c r="U344" s="361">
        <f t="shared" si="215"/>
        <v>1</v>
      </c>
      <c r="V344" s="357">
        <f>IFERROR(O344/N344,0)</f>
        <v>0</v>
      </c>
      <c r="W344" s="357">
        <f t="shared" si="216"/>
        <v>5.3307008884501482E-2</v>
      </c>
      <c r="X344" s="357">
        <f t="shared" si="216"/>
        <v>0</v>
      </c>
      <c r="Y344" s="198">
        <f t="shared" si="210"/>
        <v>2049</v>
      </c>
      <c r="Z344" s="435"/>
      <c r="AC344" s="267"/>
    </row>
    <row r="345" spans="8:29" x14ac:dyDescent="0.25">
      <c r="H345" s="268" t="s">
        <v>706</v>
      </c>
      <c r="I345" s="397" t="s">
        <v>684</v>
      </c>
      <c r="J345" s="372">
        <v>45096</v>
      </c>
      <c r="K345" s="372">
        <v>45104</v>
      </c>
      <c r="L345" s="268">
        <f t="shared" si="187"/>
        <v>9</v>
      </c>
      <c r="M345" s="268" t="s">
        <v>1184</v>
      </c>
      <c r="N345" s="268">
        <v>10</v>
      </c>
      <c r="O345" s="268"/>
      <c r="P345" s="268">
        <f>L345*Q345*R345</f>
        <v>180</v>
      </c>
      <c r="Q345" s="268">
        <v>10</v>
      </c>
      <c r="R345" s="268">
        <v>2</v>
      </c>
      <c r="S345" s="269">
        <f>P345</f>
        <v>180</v>
      </c>
      <c r="T345" s="357">
        <f t="shared" si="217"/>
        <v>1.7769002961500493E-2</v>
      </c>
      <c r="U345" s="361">
        <f t="shared" si="215"/>
        <v>1</v>
      </c>
      <c r="V345" s="357">
        <f>IFERROR(O345/N345,0)</f>
        <v>0</v>
      </c>
      <c r="W345" s="357">
        <f t="shared" si="216"/>
        <v>1.7769002961500493E-2</v>
      </c>
      <c r="X345" s="357">
        <f t="shared" si="216"/>
        <v>0</v>
      </c>
      <c r="Y345" s="198">
        <f t="shared" si="210"/>
        <v>10</v>
      </c>
      <c r="Z345" s="435"/>
      <c r="AC345" s="267"/>
    </row>
    <row r="346" spans="8:29" x14ac:dyDescent="0.25">
      <c r="H346" s="510" t="s">
        <v>707</v>
      </c>
      <c r="I346" s="511"/>
      <c r="J346" s="392">
        <v>44927</v>
      </c>
      <c r="K346" s="392">
        <v>45224</v>
      </c>
      <c r="L346" s="368">
        <f t="shared" si="187"/>
        <v>298</v>
      </c>
      <c r="M346" s="368"/>
      <c r="N346" s="368"/>
      <c r="O346" s="368"/>
      <c r="P346" s="368">
        <f>P347</f>
        <v>29800</v>
      </c>
      <c r="Q346" s="368"/>
      <c r="R346" s="368"/>
      <c r="S346" s="400">
        <f>S347</f>
        <v>29800</v>
      </c>
      <c r="T346" s="356">
        <f>P346/$P$175</f>
        <v>4.8419304679287102E-2</v>
      </c>
      <c r="U346" s="368"/>
      <c r="V346" s="356"/>
      <c r="W346" s="356">
        <f>W347</f>
        <v>1</v>
      </c>
      <c r="X346" s="356">
        <f>X347</f>
        <v>0</v>
      </c>
      <c r="Y346" s="198">
        <f t="shared" si="210"/>
        <v>0</v>
      </c>
      <c r="Z346" s="435"/>
      <c r="AC346" s="267"/>
    </row>
    <row r="347" spans="8:29" x14ac:dyDescent="0.25">
      <c r="H347" s="268" t="s">
        <v>708</v>
      </c>
      <c r="I347" s="397" t="s">
        <v>709</v>
      </c>
      <c r="J347" s="372">
        <v>44927</v>
      </c>
      <c r="K347" s="372">
        <v>45224</v>
      </c>
      <c r="L347" s="268">
        <f t="shared" si="187"/>
        <v>298</v>
      </c>
      <c r="M347" s="268" t="s">
        <v>1183</v>
      </c>
      <c r="N347" s="268">
        <v>100</v>
      </c>
      <c r="O347" s="268"/>
      <c r="P347" s="268">
        <f>L347*Q347*R347</f>
        <v>29800</v>
      </c>
      <c r="Q347" s="268">
        <v>10</v>
      </c>
      <c r="R347" s="268">
        <v>10</v>
      </c>
      <c r="S347" s="269">
        <f>P347</f>
        <v>29800</v>
      </c>
      <c r="T347" s="381">
        <f>S347/S346</f>
        <v>1</v>
      </c>
      <c r="U347" s="361">
        <f t="shared" ref="U347" si="218">IF($J347&gt;U$5,0,IF($K347&lt;U$5,1,IF(U$5=$K347,1,((U$5-$J347+1)/($K347-$J347+1)))))</f>
        <v>1</v>
      </c>
      <c r="V347" s="357">
        <f>IFERROR(O347/N347,0)</f>
        <v>0</v>
      </c>
      <c r="W347" s="357">
        <f t="shared" ref="W347:X349" si="219">U347*$T347</f>
        <v>1</v>
      </c>
      <c r="X347" s="357">
        <f t="shared" si="219"/>
        <v>0</v>
      </c>
      <c r="Y347" s="198">
        <f t="shared" si="210"/>
        <v>100</v>
      </c>
      <c r="Z347" s="435"/>
      <c r="AC347" s="267"/>
    </row>
    <row r="348" spans="8:29" x14ac:dyDescent="0.25">
      <c r="H348" s="510" t="s">
        <v>710</v>
      </c>
      <c r="I348" s="511"/>
      <c r="J348" s="392">
        <v>45046</v>
      </c>
      <c r="K348" s="392">
        <v>45319</v>
      </c>
      <c r="L348" s="368">
        <f t="shared" si="187"/>
        <v>274</v>
      </c>
      <c r="M348" s="368"/>
      <c r="N348" s="368"/>
      <c r="O348" s="368"/>
      <c r="P348" s="400">
        <f>P349</f>
        <v>41100</v>
      </c>
      <c r="Q348" s="400"/>
      <c r="R348" s="400"/>
      <c r="S348" s="400">
        <f>S349</f>
        <v>41100</v>
      </c>
      <c r="T348" s="356">
        <f>P348/$P$175</f>
        <v>6.677964504425167E-2</v>
      </c>
      <c r="U348" s="368"/>
      <c r="V348" s="356"/>
      <c r="W348" s="356">
        <f>W349</f>
        <v>0.87226277372262773</v>
      </c>
      <c r="X348" s="356">
        <f>X349</f>
        <v>0</v>
      </c>
      <c r="Y348" s="198">
        <f t="shared" si="210"/>
        <v>0</v>
      </c>
      <c r="Z348" s="435"/>
      <c r="AC348" s="267"/>
    </row>
    <row r="349" spans="8:29" x14ac:dyDescent="0.25">
      <c r="H349" s="268" t="s">
        <v>711</v>
      </c>
      <c r="I349" s="397" t="s">
        <v>712</v>
      </c>
      <c r="J349" s="372">
        <v>45046</v>
      </c>
      <c r="K349" s="372">
        <v>45319</v>
      </c>
      <c r="L349" s="268">
        <f t="shared" si="187"/>
        <v>274</v>
      </c>
      <c r="M349" s="268" t="s">
        <v>1187</v>
      </c>
      <c r="N349" s="268">
        <v>16250</v>
      </c>
      <c r="O349" s="268"/>
      <c r="P349" s="269">
        <f>L349*Q349*R349</f>
        <v>41100</v>
      </c>
      <c r="Q349" s="269">
        <v>10</v>
      </c>
      <c r="R349" s="269">
        <v>15</v>
      </c>
      <c r="S349" s="269">
        <f>P349</f>
        <v>41100</v>
      </c>
      <c r="T349" s="357">
        <f>S349/S348</f>
        <v>1</v>
      </c>
      <c r="U349" s="361">
        <f t="shared" ref="U349" si="220">IF($J349&gt;U$5,0,IF($K349&lt;U$5,1,IF(U$5=$K349,1,((U$5-$J349+1)/($K349-$J349+1)))))</f>
        <v>0.87226277372262773</v>
      </c>
      <c r="V349" s="357">
        <f>IFERROR(O349/N349,0)</f>
        <v>0</v>
      </c>
      <c r="W349" s="357">
        <f t="shared" ref="W349" si="221">U349*$T349</f>
        <v>0.87226277372262773</v>
      </c>
      <c r="X349" s="357">
        <f t="shared" si="219"/>
        <v>0</v>
      </c>
      <c r="Y349" s="198">
        <f t="shared" si="210"/>
        <v>14174.2700729927</v>
      </c>
      <c r="Z349" s="435"/>
      <c r="AC349" s="267"/>
    </row>
    <row r="350" spans="8:29" x14ac:dyDescent="0.25">
      <c r="H350" s="512" t="s">
        <v>713</v>
      </c>
      <c r="I350" s="513"/>
      <c r="J350" s="367">
        <v>44706</v>
      </c>
      <c r="K350" s="367">
        <v>45291</v>
      </c>
      <c r="L350" s="366">
        <f t="shared" si="187"/>
        <v>586</v>
      </c>
      <c r="M350" s="366"/>
      <c r="N350" s="366"/>
      <c r="O350" s="366"/>
      <c r="P350" s="403">
        <f>P351+P388+P415+P550+P415</f>
        <v>1467508.2035421887</v>
      </c>
      <c r="Q350" s="403"/>
      <c r="R350" s="403"/>
      <c r="S350" s="403">
        <f>S351+S388+S415+S550</f>
        <v>1286720.0435421888</v>
      </c>
      <c r="T350" s="405">
        <f>S350/S82</f>
        <v>0.5957667445256144</v>
      </c>
      <c r="U350" s="405"/>
      <c r="V350" s="405"/>
      <c r="W350" s="405">
        <f>W351*T351+W388*T388+W415*T415+W550*T550</f>
        <v>0.99989759644567322</v>
      </c>
      <c r="X350" s="405">
        <f>X351*T351+X388*T388+X415*T415+X550*T550</f>
        <v>8.9923308165955236E-3</v>
      </c>
      <c r="Y350" s="198">
        <f t="shared" si="210"/>
        <v>0</v>
      </c>
      <c r="Z350" s="435"/>
      <c r="AC350" s="267"/>
    </row>
    <row r="351" spans="8:29" x14ac:dyDescent="0.25">
      <c r="H351" s="510" t="s">
        <v>714</v>
      </c>
      <c r="I351" s="511"/>
      <c r="J351" s="392">
        <v>44772</v>
      </c>
      <c r="K351" s="392">
        <v>45187</v>
      </c>
      <c r="L351" s="368">
        <f t="shared" si="187"/>
        <v>416</v>
      </c>
      <c r="M351" s="368"/>
      <c r="N351" s="368"/>
      <c r="O351" s="368"/>
      <c r="P351" s="400">
        <f>P352+P356+P368</f>
        <v>250763.80000000002</v>
      </c>
      <c r="Q351" s="400"/>
      <c r="R351" s="400"/>
      <c r="S351" s="400">
        <f>S352+S356+S368</f>
        <v>250763.80000000002</v>
      </c>
      <c r="T351" s="356">
        <f>S351/S350</f>
        <v>0.19488606030390013</v>
      </c>
      <c r="U351" s="368"/>
      <c r="V351" s="356"/>
      <c r="W351" s="356">
        <f>W352*T352+W356*T356+W368*T368</f>
        <v>0.99999999999999978</v>
      </c>
      <c r="X351" s="401">
        <f>X352*T352+X356*T356+X368*T368</f>
        <v>1.164412207773036E-2</v>
      </c>
      <c r="Y351" s="198">
        <f t="shared" si="210"/>
        <v>0</v>
      </c>
      <c r="Z351" s="435"/>
      <c r="AC351" s="267"/>
    </row>
    <row r="352" spans="8:29" x14ac:dyDescent="0.25">
      <c r="H352" s="518" t="s">
        <v>715</v>
      </c>
      <c r="I352" s="519"/>
      <c r="J352" s="370">
        <v>44772</v>
      </c>
      <c r="K352" s="370">
        <v>44986</v>
      </c>
      <c r="L352" s="369">
        <f t="shared" si="187"/>
        <v>215</v>
      </c>
      <c r="M352" s="369"/>
      <c r="N352" s="369">
        <f>N353+N354+N355</f>
        <v>4259.1000000000004</v>
      </c>
      <c r="O352" s="369">
        <f>O353+O354+O355</f>
        <v>2975.2</v>
      </c>
      <c r="P352" s="385">
        <f>P353+P354+P355</f>
        <v>1720</v>
      </c>
      <c r="Q352" s="385"/>
      <c r="R352" s="385"/>
      <c r="S352" s="385">
        <f>S353+S354+S355</f>
        <v>1720</v>
      </c>
      <c r="T352" s="412">
        <f>S352/S351</f>
        <v>6.859044248013469E-3</v>
      </c>
      <c r="U352" s="363"/>
      <c r="V352" s="363">
        <f>IFERROR(O352/N352,0)</f>
        <v>0.69855133713695372</v>
      </c>
      <c r="W352" s="363">
        <f>W353+W354+W355</f>
        <v>1</v>
      </c>
      <c r="X352" s="363">
        <f>X353+X354+X355</f>
        <v>0.69855133713695372</v>
      </c>
      <c r="Y352" s="198">
        <f t="shared" si="210"/>
        <v>0</v>
      </c>
      <c r="Z352" s="435"/>
      <c r="AC352" s="267"/>
    </row>
    <row r="353" spans="8:29" x14ac:dyDescent="0.25">
      <c r="H353" s="268" t="s">
        <v>716</v>
      </c>
      <c r="I353" s="397" t="s">
        <v>717</v>
      </c>
      <c r="J353" s="372">
        <v>44772</v>
      </c>
      <c r="K353" s="372">
        <v>44835</v>
      </c>
      <c r="L353" s="268">
        <f t="shared" ref="L353:L416" si="222">K353-J353+1</f>
        <v>64</v>
      </c>
      <c r="M353" s="268" t="s">
        <v>1182</v>
      </c>
      <c r="N353" s="268">
        <f>N356*30/100</f>
        <v>1277.7300000000002</v>
      </c>
      <c r="O353" s="268">
        <v>1277.73</v>
      </c>
      <c r="P353" s="269">
        <f t="shared" ref="P353:P355" si="223">L353*Q353*R353</f>
        <v>512</v>
      </c>
      <c r="Q353" s="269">
        <v>8</v>
      </c>
      <c r="R353" s="269">
        <v>1</v>
      </c>
      <c r="S353" s="269">
        <f>P353</f>
        <v>512</v>
      </c>
      <c r="T353" s="357">
        <f>N353/N352</f>
        <v>0.30000000000000004</v>
      </c>
      <c r="U353" s="361">
        <f t="shared" ref="U353:U355" si="224">IF($J353&gt;U$5,0,IF($K353&lt;U$5,1,IF(U$5=$K353,1,((U$5-$J353+1)/($K353-$J353+1)))))</f>
        <v>1</v>
      </c>
      <c r="V353" s="357">
        <f>IFERROR(O353/N353,0)</f>
        <v>0.99999999999999978</v>
      </c>
      <c r="W353" s="357">
        <f t="shared" ref="W353:X355" si="225">U353*$T353</f>
        <v>0.30000000000000004</v>
      </c>
      <c r="X353" s="357">
        <f t="shared" si="225"/>
        <v>0.3</v>
      </c>
      <c r="Y353" s="198">
        <f t="shared" si="210"/>
        <v>1277.7300000000002</v>
      </c>
      <c r="Z353" s="435"/>
      <c r="AA353" s="437" t="s">
        <v>1248</v>
      </c>
      <c r="AB353" s="437" t="s">
        <v>1177</v>
      </c>
      <c r="AC353" s="267"/>
    </row>
    <row r="354" spans="8:29" x14ac:dyDescent="0.25">
      <c r="H354" s="268" t="s">
        <v>718</v>
      </c>
      <c r="I354" s="397" t="s">
        <v>719</v>
      </c>
      <c r="J354" s="372">
        <v>44836</v>
      </c>
      <c r="K354" s="372">
        <v>44899</v>
      </c>
      <c r="L354" s="268">
        <f t="shared" si="222"/>
        <v>64</v>
      </c>
      <c r="M354" s="268" t="s">
        <v>1182</v>
      </c>
      <c r="N354" s="268">
        <f>N356*50/100</f>
        <v>2129.5500000000002</v>
      </c>
      <c r="O354" s="268">
        <v>1697.4699999999998</v>
      </c>
      <c r="P354" s="269">
        <f t="shared" si="223"/>
        <v>512</v>
      </c>
      <c r="Q354" s="269">
        <v>8</v>
      </c>
      <c r="R354" s="269">
        <v>1</v>
      </c>
      <c r="S354" s="269">
        <f>P354</f>
        <v>512</v>
      </c>
      <c r="T354" s="357">
        <f>N354/N352</f>
        <v>0.5</v>
      </c>
      <c r="U354" s="361">
        <f t="shared" si="224"/>
        <v>1</v>
      </c>
      <c r="V354" s="357">
        <f>IFERROR(O354/N354,0)</f>
        <v>0.79710267427390746</v>
      </c>
      <c r="W354" s="357">
        <f t="shared" si="225"/>
        <v>0.5</v>
      </c>
      <c r="X354" s="357">
        <f t="shared" si="225"/>
        <v>0.39855133713695373</v>
      </c>
      <c r="Y354" s="198">
        <f t="shared" si="210"/>
        <v>2129.5500000000002</v>
      </c>
      <c r="Z354" s="435"/>
      <c r="AC354" s="267"/>
    </row>
    <row r="355" spans="8:29" x14ac:dyDescent="0.25">
      <c r="H355" s="268" t="s">
        <v>720</v>
      </c>
      <c r="I355" s="397" t="s">
        <v>721</v>
      </c>
      <c r="J355" s="372">
        <v>44900</v>
      </c>
      <c r="K355" s="372">
        <v>44986</v>
      </c>
      <c r="L355" s="268">
        <f t="shared" si="222"/>
        <v>87</v>
      </c>
      <c r="M355" s="268" t="s">
        <v>1182</v>
      </c>
      <c r="N355" s="268">
        <f>N356*20/100</f>
        <v>851.82</v>
      </c>
      <c r="O355" s="268"/>
      <c r="P355" s="269">
        <f t="shared" si="223"/>
        <v>696</v>
      </c>
      <c r="Q355" s="269">
        <v>8</v>
      </c>
      <c r="R355" s="269">
        <v>1</v>
      </c>
      <c r="S355" s="269">
        <f>P355</f>
        <v>696</v>
      </c>
      <c r="T355" s="357">
        <f>N355/N352</f>
        <v>0.19999999999999998</v>
      </c>
      <c r="U355" s="361">
        <f t="shared" si="224"/>
        <v>1</v>
      </c>
      <c r="V355" s="357"/>
      <c r="W355" s="357">
        <f t="shared" si="225"/>
        <v>0.19999999999999998</v>
      </c>
      <c r="X355" s="357">
        <f t="shared" si="225"/>
        <v>0</v>
      </c>
      <c r="Y355" s="198">
        <f t="shared" si="210"/>
        <v>851.82</v>
      </c>
      <c r="Z355" s="435"/>
      <c r="AC355" s="267"/>
    </row>
    <row r="356" spans="8:29" x14ac:dyDescent="0.25">
      <c r="H356" s="518" t="s">
        <v>722</v>
      </c>
      <c r="I356" s="519"/>
      <c r="J356" s="370">
        <v>44818</v>
      </c>
      <c r="K356" s="370">
        <v>45041</v>
      </c>
      <c r="L356" s="369">
        <f t="shared" si="222"/>
        <v>224</v>
      </c>
      <c r="M356" s="369"/>
      <c r="N356" s="369">
        <f>N357+N358+N359+N360+N361+N362+N363+N364+N365+N366+N367</f>
        <v>4259.1000000000004</v>
      </c>
      <c r="O356" s="369">
        <f>O357+O358+O359+O360+O361+O362+O363+O364+O365+O366+O367</f>
        <v>107.401</v>
      </c>
      <c r="P356" s="385">
        <f>P357+P358+P359+P360+P361+P362+P363+P364+P365+P366+P367</f>
        <v>70161.600000000006</v>
      </c>
      <c r="Q356" s="385"/>
      <c r="R356" s="385"/>
      <c r="S356" s="385">
        <f>S357+S358+S359+S360+S361+S362+S363+S364+S365+S366+S367</f>
        <v>70161.600000000006</v>
      </c>
      <c r="T356" s="363">
        <f>S356/S351</f>
        <v>0.27979158076245453</v>
      </c>
      <c r="U356" s="369"/>
      <c r="V356" s="363"/>
      <c r="W356" s="363">
        <f>W357+W358+W359+W360+W361+W362+W363+W364+W365+W366+W367</f>
        <v>0.99999999999999989</v>
      </c>
      <c r="X356" s="363">
        <f>X357+X358+X359+X360+X361+X362+X363+X364+X365+X366+X367</f>
        <v>2.4492257873252606E-2</v>
      </c>
      <c r="Y356" s="198">
        <f t="shared" si="210"/>
        <v>0</v>
      </c>
      <c r="Z356" s="435"/>
      <c r="AC356" s="267"/>
    </row>
    <row r="357" spans="8:29" x14ac:dyDescent="0.25">
      <c r="H357" s="268" t="s">
        <v>723</v>
      </c>
      <c r="I357" s="397" t="s">
        <v>724</v>
      </c>
      <c r="J357" s="372">
        <v>44818</v>
      </c>
      <c r="K357" s="372">
        <v>44915</v>
      </c>
      <c r="L357" s="268">
        <f t="shared" si="222"/>
        <v>98</v>
      </c>
      <c r="M357" s="268" t="s">
        <v>1182</v>
      </c>
      <c r="N357" s="268">
        <v>166.3</v>
      </c>
      <c r="O357" s="268">
        <v>36.874000000000002</v>
      </c>
      <c r="P357" s="269">
        <f t="shared" ref="P357:P367" si="226">L357*Q357*R357</f>
        <v>2660.8</v>
      </c>
      <c r="Q357" s="269">
        <v>8</v>
      </c>
      <c r="R357" s="269">
        <f>((N357/L357)/2.5)*(2+2+0.5+0.5)</f>
        <v>3.3938775510204082</v>
      </c>
      <c r="S357" s="269">
        <f t="shared" ref="S357:S383" si="227">P357</f>
        <v>2660.8</v>
      </c>
      <c r="T357" s="357">
        <f>S357/$S$356</f>
        <v>3.7923878588857721E-2</v>
      </c>
      <c r="U357" s="361">
        <f t="shared" ref="U357:U367" si="228">IF($J357&gt;U$5,0,IF($K357&lt;U$5,1,IF(U$5=$K357,1,((U$5-$J357+1)/($K357-$J357+1)))))</f>
        <v>1</v>
      </c>
      <c r="V357" s="357">
        <f t="shared" ref="V357:V367" si="229">IFERROR(O357/N357,0)</f>
        <v>0.22173180998196032</v>
      </c>
      <c r="W357" s="357">
        <f t="shared" ref="W357:X367" si="230">U357*$T357</f>
        <v>3.7923878588857721E-2</v>
      </c>
      <c r="X357" s="357">
        <f t="shared" si="230"/>
        <v>8.4089302410435343E-3</v>
      </c>
      <c r="Y357" s="198">
        <f t="shared" si="210"/>
        <v>166.3</v>
      </c>
      <c r="Z357" s="435"/>
      <c r="AC357" s="267"/>
    </row>
    <row r="358" spans="8:29" x14ac:dyDescent="0.25">
      <c r="H358" s="268" t="s">
        <v>725</v>
      </c>
      <c r="I358" s="397" t="s">
        <v>726</v>
      </c>
      <c r="J358" s="372">
        <v>44875</v>
      </c>
      <c r="K358" s="372">
        <v>44915</v>
      </c>
      <c r="L358" s="268">
        <f t="shared" si="222"/>
        <v>41</v>
      </c>
      <c r="M358" s="268" t="s">
        <v>1182</v>
      </c>
      <c r="N358" s="268">
        <v>90</v>
      </c>
      <c r="O358" s="268">
        <v>5.88</v>
      </c>
      <c r="P358" s="269">
        <f t="shared" si="226"/>
        <v>1440</v>
      </c>
      <c r="Q358" s="269">
        <v>8</v>
      </c>
      <c r="R358" s="269">
        <f t="shared" ref="R358:R367" si="231">((N358/L358)/2.5)*(2+2+0.5+0.5)</f>
        <v>4.3902439024390247</v>
      </c>
      <c r="S358" s="269">
        <f t="shared" si="227"/>
        <v>1440</v>
      </c>
      <c r="T358" s="357">
        <f t="shared" ref="T358:T367" si="232">S358/$S$356</f>
        <v>2.0524047342135868E-2</v>
      </c>
      <c r="U358" s="361">
        <f t="shared" si="228"/>
        <v>1</v>
      </c>
      <c r="V358" s="357">
        <f t="shared" si="229"/>
        <v>6.5333333333333327E-2</v>
      </c>
      <c r="W358" s="357">
        <f t="shared" si="230"/>
        <v>2.0524047342135868E-2</v>
      </c>
      <c r="X358" s="357">
        <f t="shared" si="230"/>
        <v>1.3409044263528766E-3</v>
      </c>
      <c r="Y358" s="198">
        <f t="shared" si="210"/>
        <v>90</v>
      </c>
      <c r="Z358" s="435"/>
      <c r="AC358" s="267"/>
    </row>
    <row r="359" spans="8:29" x14ac:dyDescent="0.25">
      <c r="H359" s="268" t="s">
        <v>727</v>
      </c>
      <c r="I359" s="397" t="s">
        <v>728</v>
      </c>
      <c r="J359" s="372">
        <v>44868</v>
      </c>
      <c r="K359" s="372">
        <v>44926</v>
      </c>
      <c r="L359" s="268">
        <f t="shared" si="222"/>
        <v>59</v>
      </c>
      <c r="M359" s="268" t="s">
        <v>1182</v>
      </c>
      <c r="N359" s="268">
        <v>341</v>
      </c>
      <c r="O359" s="268">
        <v>15.302</v>
      </c>
      <c r="P359" s="269">
        <f t="shared" si="226"/>
        <v>5456</v>
      </c>
      <c r="Q359" s="269">
        <v>8</v>
      </c>
      <c r="R359" s="269">
        <f t="shared" si="231"/>
        <v>11.559322033898304</v>
      </c>
      <c r="S359" s="269">
        <f t="shared" si="227"/>
        <v>5456</v>
      </c>
      <c r="T359" s="357">
        <f t="shared" si="232"/>
        <v>7.7763334929648126E-2</v>
      </c>
      <c r="U359" s="361">
        <f t="shared" si="228"/>
        <v>1</v>
      </c>
      <c r="V359" s="357">
        <f t="shared" si="229"/>
        <v>4.487390029325513E-2</v>
      </c>
      <c r="W359" s="357">
        <f t="shared" si="230"/>
        <v>7.7763334929648126E-2</v>
      </c>
      <c r="X359" s="357">
        <f t="shared" si="230"/>
        <v>3.4895441381040341E-3</v>
      </c>
      <c r="Y359" s="198">
        <f t="shared" si="210"/>
        <v>341</v>
      </c>
      <c r="Z359" s="435"/>
      <c r="AC359" s="267"/>
    </row>
    <row r="360" spans="8:29" x14ac:dyDescent="0.25">
      <c r="H360" s="268" t="s">
        <v>729</v>
      </c>
      <c r="I360" s="397" t="s">
        <v>730</v>
      </c>
      <c r="J360" s="372">
        <v>44867</v>
      </c>
      <c r="K360" s="372">
        <v>44936</v>
      </c>
      <c r="L360" s="268">
        <f t="shared" si="222"/>
        <v>70</v>
      </c>
      <c r="M360" s="268" t="s">
        <v>1182</v>
      </c>
      <c r="N360" s="268">
        <v>490</v>
      </c>
      <c r="O360" s="268">
        <v>47.295000000000002</v>
      </c>
      <c r="P360" s="269">
        <f t="shared" si="226"/>
        <v>7840</v>
      </c>
      <c r="Q360" s="269">
        <v>8</v>
      </c>
      <c r="R360" s="269">
        <f t="shared" si="231"/>
        <v>14</v>
      </c>
      <c r="S360" s="269">
        <f t="shared" si="227"/>
        <v>7840</v>
      </c>
      <c r="T360" s="357">
        <f t="shared" si="232"/>
        <v>0.11174203552940638</v>
      </c>
      <c r="U360" s="361">
        <f t="shared" si="228"/>
        <v>1</v>
      </c>
      <c r="V360" s="357">
        <f t="shared" si="229"/>
        <v>9.6520408163265306E-2</v>
      </c>
      <c r="W360" s="357">
        <f t="shared" si="230"/>
        <v>0.11174203552940638</v>
      </c>
      <c r="X360" s="357">
        <f t="shared" si="230"/>
        <v>1.0785386878292398E-2</v>
      </c>
      <c r="Y360" s="198">
        <f t="shared" si="210"/>
        <v>490</v>
      </c>
      <c r="Z360" s="435"/>
      <c r="AC360" s="267"/>
    </row>
    <row r="361" spans="8:29" x14ac:dyDescent="0.25">
      <c r="H361" s="268" t="s">
        <v>731</v>
      </c>
      <c r="I361" s="397" t="s">
        <v>732</v>
      </c>
      <c r="J361" s="372">
        <v>44871</v>
      </c>
      <c r="K361" s="372">
        <v>44951</v>
      </c>
      <c r="L361" s="268">
        <f t="shared" si="222"/>
        <v>81</v>
      </c>
      <c r="M361" s="268" t="s">
        <v>1182</v>
      </c>
      <c r="N361" s="268">
        <v>234.8</v>
      </c>
      <c r="O361" s="268">
        <v>2.0499999999999998</v>
      </c>
      <c r="P361" s="269">
        <f t="shared" si="226"/>
        <v>3756.8</v>
      </c>
      <c r="Q361" s="269">
        <v>8</v>
      </c>
      <c r="R361" s="269">
        <f t="shared" si="231"/>
        <v>5.7975308641975314</v>
      </c>
      <c r="S361" s="269">
        <f t="shared" si="227"/>
        <v>3756.8</v>
      </c>
      <c r="T361" s="357">
        <f t="shared" si="232"/>
        <v>5.3544959065927801E-2</v>
      </c>
      <c r="U361" s="361">
        <f t="shared" si="228"/>
        <v>1</v>
      </c>
      <c r="V361" s="357">
        <f t="shared" si="229"/>
        <v>8.7308347529812588E-3</v>
      </c>
      <c r="W361" s="357">
        <f t="shared" si="230"/>
        <v>5.3544959065927801E-2</v>
      </c>
      <c r="X361" s="357">
        <f t="shared" si="230"/>
        <v>4.6749218945976137E-4</v>
      </c>
      <c r="Y361" s="198">
        <f t="shared" si="210"/>
        <v>234.8</v>
      </c>
      <c r="Z361" s="435"/>
      <c r="AC361" s="267"/>
    </row>
    <row r="362" spans="8:29" x14ac:dyDescent="0.25">
      <c r="H362" s="268" t="s">
        <v>733</v>
      </c>
      <c r="I362" s="397" t="s">
        <v>734</v>
      </c>
      <c r="J362" s="372">
        <v>44916</v>
      </c>
      <c r="K362" s="372">
        <v>44968</v>
      </c>
      <c r="L362" s="268">
        <f t="shared" si="222"/>
        <v>53</v>
      </c>
      <c r="M362" s="268" t="s">
        <v>1182</v>
      </c>
      <c r="N362" s="268">
        <v>277</v>
      </c>
      <c r="O362" s="268"/>
      <c r="P362" s="269">
        <f t="shared" si="226"/>
        <v>4432</v>
      </c>
      <c r="Q362" s="269">
        <v>8</v>
      </c>
      <c r="R362" s="269">
        <f t="shared" si="231"/>
        <v>10.452830188679245</v>
      </c>
      <c r="S362" s="269">
        <f t="shared" si="227"/>
        <v>4432</v>
      </c>
      <c r="T362" s="357">
        <f t="shared" si="232"/>
        <v>6.3168456819684832E-2</v>
      </c>
      <c r="U362" s="361">
        <f t="shared" si="228"/>
        <v>1</v>
      </c>
      <c r="V362" s="357">
        <f t="shared" si="229"/>
        <v>0</v>
      </c>
      <c r="W362" s="357">
        <f t="shared" si="230"/>
        <v>6.3168456819684832E-2</v>
      </c>
      <c r="X362" s="357">
        <f t="shared" si="230"/>
        <v>0</v>
      </c>
      <c r="Y362" s="198">
        <f t="shared" si="210"/>
        <v>277</v>
      </c>
      <c r="Z362" s="435"/>
      <c r="AC362" s="267"/>
    </row>
    <row r="363" spans="8:29" x14ac:dyDescent="0.25">
      <c r="H363" s="268" t="s">
        <v>735</v>
      </c>
      <c r="I363" s="397" t="s">
        <v>736</v>
      </c>
      <c r="J363" s="372">
        <v>44969</v>
      </c>
      <c r="K363" s="372">
        <v>45018</v>
      </c>
      <c r="L363" s="268">
        <f t="shared" si="222"/>
        <v>50</v>
      </c>
      <c r="M363" s="268" t="s">
        <v>1182</v>
      </c>
      <c r="N363" s="268">
        <v>162</v>
      </c>
      <c r="O363" s="268"/>
      <c r="P363" s="269">
        <f t="shared" si="226"/>
        <v>2592</v>
      </c>
      <c r="Q363" s="269">
        <v>8</v>
      </c>
      <c r="R363" s="269">
        <f t="shared" si="231"/>
        <v>6.48</v>
      </c>
      <c r="S363" s="269">
        <f t="shared" si="227"/>
        <v>2592</v>
      </c>
      <c r="T363" s="357">
        <f t="shared" si="232"/>
        <v>3.6943285215844564E-2</v>
      </c>
      <c r="U363" s="361">
        <f t="shared" si="228"/>
        <v>1</v>
      </c>
      <c r="V363" s="357">
        <f t="shared" si="229"/>
        <v>0</v>
      </c>
      <c r="W363" s="357">
        <f t="shared" si="230"/>
        <v>3.6943285215844564E-2</v>
      </c>
      <c r="X363" s="357">
        <f t="shared" si="230"/>
        <v>0</v>
      </c>
      <c r="Y363" s="198">
        <f t="shared" si="210"/>
        <v>162</v>
      </c>
      <c r="Z363" s="435"/>
      <c r="AC363" s="267"/>
    </row>
    <row r="364" spans="8:29" x14ac:dyDescent="0.25">
      <c r="H364" s="268" t="s">
        <v>737</v>
      </c>
      <c r="I364" s="397" t="s">
        <v>738</v>
      </c>
      <c r="J364" s="372">
        <v>44916</v>
      </c>
      <c r="K364" s="372">
        <v>45041</v>
      </c>
      <c r="L364" s="268">
        <f t="shared" si="222"/>
        <v>126</v>
      </c>
      <c r="M364" s="268" t="s">
        <v>1182</v>
      </c>
      <c r="N364" s="268">
        <v>1560</v>
      </c>
      <c r="O364" s="268"/>
      <c r="P364" s="269">
        <f t="shared" si="226"/>
        <v>26976</v>
      </c>
      <c r="Q364" s="269">
        <v>8</v>
      </c>
      <c r="R364" s="269">
        <f>(((N364/L364)/2.5)*(2+2+0.5+0.5))+2</f>
        <v>26.761904761904763</v>
      </c>
      <c r="S364" s="269">
        <f t="shared" si="227"/>
        <v>26976</v>
      </c>
      <c r="T364" s="357">
        <f t="shared" si="232"/>
        <v>0.38448382020934524</v>
      </c>
      <c r="U364" s="361">
        <f t="shared" si="228"/>
        <v>1</v>
      </c>
      <c r="V364" s="357">
        <f t="shared" si="229"/>
        <v>0</v>
      </c>
      <c r="W364" s="357">
        <f t="shared" si="230"/>
        <v>0.38448382020934524</v>
      </c>
      <c r="X364" s="357">
        <f t="shared" si="230"/>
        <v>0</v>
      </c>
      <c r="Y364" s="198">
        <f t="shared" si="210"/>
        <v>1560</v>
      </c>
      <c r="Z364" s="435"/>
      <c r="AC364" s="267"/>
    </row>
    <row r="365" spans="8:29" x14ac:dyDescent="0.25">
      <c r="H365" s="268" t="s">
        <v>739</v>
      </c>
      <c r="I365" s="397" t="s">
        <v>740</v>
      </c>
      <c r="J365" s="372">
        <v>44958</v>
      </c>
      <c r="K365" s="372">
        <v>45041</v>
      </c>
      <c r="L365" s="268">
        <f t="shared" si="222"/>
        <v>84</v>
      </c>
      <c r="M365" s="268" t="s">
        <v>1182</v>
      </c>
      <c r="N365" s="268">
        <v>715</v>
      </c>
      <c r="O365" s="268"/>
      <c r="P365" s="269">
        <f t="shared" si="226"/>
        <v>11440.000000000002</v>
      </c>
      <c r="Q365" s="269">
        <v>8</v>
      </c>
      <c r="R365" s="269">
        <f t="shared" si="231"/>
        <v>17.023809523809526</v>
      </c>
      <c r="S365" s="269">
        <f t="shared" si="227"/>
        <v>11440.000000000002</v>
      </c>
      <c r="T365" s="357">
        <f t="shared" si="232"/>
        <v>0.16305215388474609</v>
      </c>
      <c r="U365" s="361">
        <f t="shared" si="228"/>
        <v>1</v>
      </c>
      <c r="V365" s="357">
        <f t="shared" si="229"/>
        <v>0</v>
      </c>
      <c r="W365" s="357">
        <f t="shared" si="230"/>
        <v>0.16305215388474609</v>
      </c>
      <c r="X365" s="357">
        <f t="shared" si="230"/>
        <v>0</v>
      </c>
      <c r="Y365" s="198">
        <f t="shared" si="210"/>
        <v>715</v>
      </c>
      <c r="Z365" s="435"/>
      <c r="AC365" s="267"/>
    </row>
    <row r="366" spans="8:29" x14ac:dyDescent="0.25">
      <c r="H366" s="268" t="s">
        <v>741</v>
      </c>
      <c r="I366" s="397" t="s">
        <v>742</v>
      </c>
      <c r="J366" s="372">
        <v>45006</v>
      </c>
      <c r="K366" s="372">
        <v>45041</v>
      </c>
      <c r="L366" s="268">
        <f t="shared" si="222"/>
        <v>36</v>
      </c>
      <c r="M366" s="268" t="s">
        <v>1182</v>
      </c>
      <c r="N366" s="268">
        <v>93</v>
      </c>
      <c r="O366" s="268"/>
      <c r="P366" s="269">
        <f t="shared" si="226"/>
        <v>1488</v>
      </c>
      <c r="Q366" s="269">
        <v>8</v>
      </c>
      <c r="R366" s="269">
        <f t="shared" si="231"/>
        <v>5.166666666666667</v>
      </c>
      <c r="S366" s="269">
        <f t="shared" si="227"/>
        <v>1488</v>
      </c>
      <c r="T366" s="357">
        <f t="shared" si="232"/>
        <v>2.1208182253540396E-2</v>
      </c>
      <c r="U366" s="361">
        <f t="shared" si="228"/>
        <v>1</v>
      </c>
      <c r="V366" s="357">
        <f t="shared" si="229"/>
        <v>0</v>
      </c>
      <c r="W366" s="357">
        <f t="shared" si="230"/>
        <v>2.1208182253540396E-2</v>
      </c>
      <c r="X366" s="357">
        <f t="shared" si="230"/>
        <v>0</v>
      </c>
      <c r="Y366" s="198">
        <f t="shared" si="210"/>
        <v>93</v>
      </c>
      <c r="Z366" s="435"/>
      <c r="AC366" s="267"/>
    </row>
    <row r="367" spans="8:29" x14ac:dyDescent="0.25">
      <c r="H367" s="268" t="s">
        <v>743</v>
      </c>
      <c r="I367" s="397" t="s">
        <v>744</v>
      </c>
      <c r="J367" s="372">
        <v>44994</v>
      </c>
      <c r="K367" s="372">
        <v>45041</v>
      </c>
      <c r="L367" s="268">
        <f t="shared" si="222"/>
        <v>48</v>
      </c>
      <c r="M367" s="268" t="s">
        <v>1182</v>
      </c>
      <c r="N367" s="268">
        <v>130</v>
      </c>
      <c r="O367" s="268"/>
      <c r="P367" s="269">
        <f t="shared" si="226"/>
        <v>2080.0000000000005</v>
      </c>
      <c r="Q367" s="269">
        <v>8</v>
      </c>
      <c r="R367" s="269">
        <f t="shared" si="231"/>
        <v>5.4166666666666679</v>
      </c>
      <c r="S367" s="269">
        <f t="shared" si="227"/>
        <v>2080.0000000000005</v>
      </c>
      <c r="T367" s="357">
        <f t="shared" si="232"/>
        <v>2.9645846160862927E-2</v>
      </c>
      <c r="U367" s="361">
        <f t="shared" si="228"/>
        <v>1</v>
      </c>
      <c r="V367" s="357">
        <f t="shared" si="229"/>
        <v>0</v>
      </c>
      <c r="W367" s="357">
        <f t="shared" si="230"/>
        <v>2.9645846160862927E-2</v>
      </c>
      <c r="X367" s="357">
        <f t="shared" si="230"/>
        <v>0</v>
      </c>
      <c r="Y367" s="198">
        <f t="shared" si="210"/>
        <v>130</v>
      </c>
      <c r="Z367" s="435"/>
      <c r="AC367" s="267"/>
    </row>
    <row r="368" spans="8:29" x14ac:dyDescent="0.25">
      <c r="H368" s="518" t="s">
        <v>745</v>
      </c>
      <c r="I368" s="519"/>
      <c r="J368" s="370">
        <v>44910</v>
      </c>
      <c r="K368" s="370">
        <v>45187</v>
      </c>
      <c r="L368" s="369">
        <f t="shared" si="222"/>
        <v>278</v>
      </c>
      <c r="M368" s="369" t="s">
        <v>1182</v>
      </c>
      <c r="N368" s="369">
        <f>N369+N384</f>
        <v>4259.1000000000004</v>
      </c>
      <c r="O368" s="369"/>
      <c r="P368" s="385">
        <f>P369+P384</f>
        <v>178882.2</v>
      </c>
      <c r="Q368" s="385"/>
      <c r="R368" s="385"/>
      <c r="S368" s="385">
        <f t="shared" si="227"/>
        <v>178882.2</v>
      </c>
      <c r="T368" s="363">
        <f>S368/S351</f>
        <v>0.71334937498953199</v>
      </c>
      <c r="U368" s="369"/>
      <c r="V368" s="363"/>
      <c r="W368" s="363">
        <f>W369*T369+W384*T384</f>
        <v>0.99999999999999978</v>
      </c>
      <c r="X368" s="363">
        <f>X369*T369+X384*T384</f>
        <v>0</v>
      </c>
      <c r="Y368" s="198">
        <f t="shared" si="210"/>
        <v>0</v>
      </c>
      <c r="Z368" s="435"/>
      <c r="AC368" s="267"/>
    </row>
    <row r="369" spans="8:29" x14ac:dyDescent="0.25">
      <c r="H369" s="524" t="s">
        <v>746</v>
      </c>
      <c r="I369" s="525"/>
      <c r="J369" s="375">
        <v>44910</v>
      </c>
      <c r="K369" s="375">
        <v>45138</v>
      </c>
      <c r="L369" s="374">
        <f t="shared" si="222"/>
        <v>229</v>
      </c>
      <c r="M369" s="374" t="s">
        <v>1182</v>
      </c>
      <c r="N369" s="374">
        <f>N370+N374+N382</f>
        <v>4097.1000000000004</v>
      </c>
      <c r="O369" s="374"/>
      <c r="P369" s="386">
        <f>P370+P374+P382</f>
        <v>172078.2</v>
      </c>
      <c r="Q369" s="386"/>
      <c r="R369" s="386"/>
      <c r="S369" s="386">
        <f t="shared" si="227"/>
        <v>172078.2</v>
      </c>
      <c r="T369" s="376">
        <f>S369/S368</f>
        <v>0.96196379516799324</v>
      </c>
      <c r="U369" s="380"/>
      <c r="V369" s="376"/>
      <c r="W369" s="376">
        <f>W370*T370+W374*T374+W382*T382</f>
        <v>0.99999999999999978</v>
      </c>
      <c r="X369" s="376">
        <f>X370*T370+X374*T374+X382*T382</f>
        <v>0</v>
      </c>
      <c r="Y369" s="198">
        <f t="shared" si="210"/>
        <v>0</v>
      </c>
      <c r="Z369" s="435"/>
      <c r="AC369" s="267"/>
    </row>
    <row r="370" spans="8:29" x14ac:dyDescent="0.25">
      <c r="H370" s="522" t="s">
        <v>747</v>
      </c>
      <c r="I370" s="523"/>
      <c r="J370" s="378">
        <v>44910</v>
      </c>
      <c r="K370" s="378">
        <v>45111</v>
      </c>
      <c r="L370" s="377">
        <f t="shared" si="222"/>
        <v>202</v>
      </c>
      <c r="M370" s="377" t="s">
        <v>1182</v>
      </c>
      <c r="N370" s="377">
        <f>N371+N372+N373</f>
        <v>401.1</v>
      </c>
      <c r="O370" s="377"/>
      <c r="P370" s="387">
        <f>P371+P372+P373</f>
        <v>16846.2</v>
      </c>
      <c r="Q370" s="387"/>
      <c r="R370" s="387"/>
      <c r="S370" s="387">
        <f t="shared" si="227"/>
        <v>16846.2</v>
      </c>
      <c r="T370" s="379">
        <f>S370/S369</f>
        <v>9.7898513582778054E-2</v>
      </c>
      <c r="U370" s="382"/>
      <c r="V370" s="379"/>
      <c r="W370" s="379">
        <f>W371+W372+W373</f>
        <v>1</v>
      </c>
      <c r="X370" s="379">
        <f>X371+X372+X373</f>
        <v>0</v>
      </c>
      <c r="Y370" s="198">
        <f t="shared" si="210"/>
        <v>0</v>
      </c>
      <c r="Z370" s="435"/>
      <c r="AC370" s="267"/>
    </row>
    <row r="371" spans="8:29" x14ac:dyDescent="0.25">
      <c r="H371" s="268" t="s">
        <v>748</v>
      </c>
      <c r="I371" s="397" t="s">
        <v>220</v>
      </c>
      <c r="J371" s="372">
        <v>44910</v>
      </c>
      <c r="K371" s="372">
        <v>45073</v>
      </c>
      <c r="L371" s="268">
        <f t="shared" si="222"/>
        <v>164</v>
      </c>
      <c r="M371" s="268" t="s">
        <v>1182</v>
      </c>
      <c r="N371" s="268">
        <v>166.3</v>
      </c>
      <c r="O371" s="268"/>
      <c r="P371" s="269">
        <f t="shared" ref="P371:P373" si="233">L371*Q371*R371</f>
        <v>6984.6000000000013</v>
      </c>
      <c r="Q371" s="269">
        <v>12</v>
      </c>
      <c r="R371" s="269">
        <f>((N371/L371)/2)*('Steel Structure W.L.'!$F$28+'Steel Structure W.L.'!$F$29+'Steel Structure W.L.'!$F$30+'Steel Structure W.L.'!$F$31)</f>
        <v>3.5490853658536592</v>
      </c>
      <c r="S371" s="269">
        <f t="shared" si="227"/>
        <v>6984.6000000000013</v>
      </c>
      <c r="T371" s="357">
        <f>S371/$S$370</f>
        <v>0.41460982298678639</v>
      </c>
      <c r="U371" s="361">
        <f t="shared" ref="U371:U373" si="234">IF($J371&gt;U$5,0,IF($K371&lt;U$5,1,IF(U$5=$K371,1,((U$5-$J371+1)/($K371-$J371+1)))))</f>
        <v>1</v>
      </c>
      <c r="V371" s="357">
        <f>IFERROR(O371/N371,0)</f>
        <v>0</v>
      </c>
      <c r="W371" s="357">
        <f t="shared" ref="W371:X373" si="235">U371*$T371</f>
        <v>0.41460982298678639</v>
      </c>
      <c r="X371" s="357">
        <f t="shared" si="235"/>
        <v>0</v>
      </c>
      <c r="Y371" s="198">
        <f>+U371*N371</f>
        <v>166.3</v>
      </c>
      <c r="Z371" s="435"/>
      <c r="AC371" s="267"/>
    </row>
    <row r="372" spans="8:29" x14ac:dyDescent="0.25">
      <c r="H372" s="268" t="s">
        <v>749</v>
      </c>
      <c r="I372" s="397" t="s">
        <v>226</v>
      </c>
      <c r="J372" s="372">
        <v>45040</v>
      </c>
      <c r="K372" s="372">
        <v>45087</v>
      </c>
      <c r="L372" s="268">
        <f t="shared" si="222"/>
        <v>48</v>
      </c>
      <c r="M372" s="268" t="s">
        <v>1182</v>
      </c>
      <c r="N372" s="268">
        <v>68.5</v>
      </c>
      <c r="O372" s="268"/>
      <c r="P372" s="269">
        <f t="shared" si="233"/>
        <v>2876.9999999999995</v>
      </c>
      <c r="Q372" s="269">
        <v>12</v>
      </c>
      <c r="R372" s="269">
        <f>((N372/L372)/2)*('Steel Structure W.L.'!$F$28+'Steel Structure W.L.'!$F$29+'Steel Structure W.L.'!$F$30+'Steel Structure W.L.'!$F$31)</f>
        <v>4.9947916666666661</v>
      </c>
      <c r="S372" s="269">
        <f t="shared" si="227"/>
        <v>2876.9999999999995</v>
      </c>
      <c r="T372" s="357">
        <f t="shared" ref="T372:T373" si="236">S372/$S$370</f>
        <v>0.1707803540264273</v>
      </c>
      <c r="U372" s="361">
        <f t="shared" si="234"/>
        <v>1</v>
      </c>
      <c r="V372" s="357">
        <f>IFERROR(O372/N372,0)</f>
        <v>0</v>
      </c>
      <c r="W372" s="357">
        <f t="shared" si="235"/>
        <v>0.1707803540264273</v>
      </c>
      <c r="X372" s="357">
        <f t="shared" si="235"/>
        <v>0</v>
      </c>
      <c r="Y372" s="198">
        <f t="shared" si="210"/>
        <v>68.5</v>
      </c>
      <c r="Z372" s="435"/>
      <c r="AC372" s="267"/>
    </row>
    <row r="373" spans="8:29" x14ac:dyDescent="0.25">
      <c r="H373" s="268" t="s">
        <v>750</v>
      </c>
      <c r="I373" s="397" t="s">
        <v>228</v>
      </c>
      <c r="J373" s="372">
        <v>44959</v>
      </c>
      <c r="K373" s="372">
        <v>45111</v>
      </c>
      <c r="L373" s="268">
        <f t="shared" si="222"/>
        <v>153</v>
      </c>
      <c r="M373" s="268" t="s">
        <v>1182</v>
      </c>
      <c r="N373" s="268">
        <v>166.3</v>
      </c>
      <c r="O373" s="268"/>
      <c r="P373" s="269">
        <f t="shared" si="233"/>
        <v>6984.6000000000013</v>
      </c>
      <c r="Q373" s="269">
        <v>12</v>
      </c>
      <c r="R373" s="269">
        <f>((N373/L373)/2)*('Steel Structure W.L.'!$F$28+'Steel Structure W.L.'!$F$29+'Steel Structure W.L.'!$F$30+'Steel Structure W.L.'!$F$31)</f>
        <v>3.8042483660130726</v>
      </c>
      <c r="S373" s="269">
        <f t="shared" si="227"/>
        <v>6984.6000000000013</v>
      </c>
      <c r="T373" s="357">
        <f t="shared" si="236"/>
        <v>0.41460982298678639</v>
      </c>
      <c r="U373" s="361">
        <f t="shared" si="234"/>
        <v>1</v>
      </c>
      <c r="V373" s="357">
        <f>IFERROR(O373/N373,0)</f>
        <v>0</v>
      </c>
      <c r="W373" s="357">
        <f t="shared" si="235"/>
        <v>0.41460982298678639</v>
      </c>
      <c r="X373" s="357">
        <f t="shared" si="235"/>
        <v>0</v>
      </c>
      <c r="Y373" s="198">
        <f t="shared" si="210"/>
        <v>166.3</v>
      </c>
      <c r="Z373" s="435"/>
      <c r="AC373" s="267"/>
    </row>
    <row r="374" spans="8:29" x14ac:dyDescent="0.25">
      <c r="H374" s="522" t="s">
        <v>751</v>
      </c>
      <c r="I374" s="523"/>
      <c r="J374" s="378">
        <v>44915</v>
      </c>
      <c r="K374" s="378">
        <v>45106</v>
      </c>
      <c r="L374" s="377">
        <f t="shared" si="222"/>
        <v>192</v>
      </c>
      <c r="M374" s="377" t="s">
        <v>1182</v>
      </c>
      <c r="N374" s="377">
        <f>N375+N376+N377+N378+N379+N380+N381</f>
        <v>2981</v>
      </c>
      <c r="O374" s="377"/>
      <c r="P374" s="387">
        <f>P375+P376+P377+P378+P379+P380+P381</f>
        <v>125202</v>
      </c>
      <c r="Q374" s="387"/>
      <c r="R374" s="387"/>
      <c r="S374" s="387">
        <f t="shared" si="227"/>
        <v>125202</v>
      </c>
      <c r="T374" s="379">
        <f>S374/S369</f>
        <v>0.72758780600912831</v>
      </c>
      <c r="U374" s="382"/>
      <c r="V374" s="379"/>
      <c r="W374" s="379">
        <f>W375+W376+W377+W378+W379+W380+W381</f>
        <v>1</v>
      </c>
      <c r="X374" s="379">
        <f>X375+X376+X377+X378+X379+X380+X381</f>
        <v>0</v>
      </c>
      <c r="Y374" s="198">
        <f t="shared" si="210"/>
        <v>0</v>
      </c>
      <c r="Z374" s="435"/>
      <c r="AC374" s="267"/>
    </row>
    <row r="375" spans="8:29" x14ac:dyDescent="0.25">
      <c r="H375" s="268" t="s">
        <v>752</v>
      </c>
      <c r="I375" s="397" t="s">
        <v>222</v>
      </c>
      <c r="J375" s="372">
        <v>44916</v>
      </c>
      <c r="K375" s="372">
        <v>44951</v>
      </c>
      <c r="L375" s="268">
        <f t="shared" si="222"/>
        <v>36</v>
      </c>
      <c r="M375" s="268" t="s">
        <v>1182</v>
      </c>
      <c r="N375" s="268">
        <v>90</v>
      </c>
      <c r="O375" s="268"/>
      <c r="P375" s="269">
        <f t="shared" ref="P375:P383" si="237">L375*Q375*R375</f>
        <v>3780</v>
      </c>
      <c r="Q375" s="269">
        <v>12</v>
      </c>
      <c r="R375" s="269">
        <f>((N375/L375)/2)*('Steel Structure W.L.'!$F$28+'Steel Structure W.L.'!$F$29+'Steel Structure W.L.'!$F$30+'Steel Structure W.L.'!$F$31)</f>
        <v>8.75</v>
      </c>
      <c r="S375" s="269">
        <f t="shared" si="227"/>
        <v>3780</v>
      </c>
      <c r="T375" s="357">
        <f>S375/$S$374</f>
        <v>3.0191211003019122E-2</v>
      </c>
      <c r="U375" s="361">
        <f t="shared" ref="U375:U381" si="238">IF($J375&gt;U$5,0,IF($K375&lt;U$5,1,IF(U$5=$K375,1,((U$5-$J375+1)/($K375-$J375+1)))))</f>
        <v>1</v>
      </c>
      <c r="V375" s="357">
        <f t="shared" ref="V375:V381" si="239">IFERROR(O375/N375,0)</f>
        <v>0</v>
      </c>
      <c r="W375" s="357">
        <f t="shared" ref="W375:X381" si="240">U375*$T375</f>
        <v>3.0191211003019122E-2</v>
      </c>
      <c r="X375" s="357">
        <f t="shared" si="240"/>
        <v>0</v>
      </c>
      <c r="Y375" s="198">
        <f t="shared" si="210"/>
        <v>90</v>
      </c>
      <c r="Z375" s="435"/>
      <c r="AC375" s="267"/>
    </row>
    <row r="376" spans="8:29" x14ac:dyDescent="0.25">
      <c r="H376" s="268" t="s">
        <v>753</v>
      </c>
      <c r="I376" s="397" t="s">
        <v>221</v>
      </c>
      <c r="J376" s="372">
        <v>44915</v>
      </c>
      <c r="K376" s="372">
        <v>45008</v>
      </c>
      <c r="L376" s="268">
        <f t="shared" si="222"/>
        <v>94</v>
      </c>
      <c r="M376" s="268" t="s">
        <v>1182</v>
      </c>
      <c r="N376" s="268">
        <v>341</v>
      </c>
      <c r="O376" s="268"/>
      <c r="P376" s="269">
        <f t="shared" si="237"/>
        <v>14322</v>
      </c>
      <c r="Q376" s="269">
        <v>12</v>
      </c>
      <c r="R376" s="269">
        <f>((N376/L376)/2)*('Steel Structure W.L.'!$F$28+'Steel Structure W.L.'!$F$29+'Steel Structure W.L.'!$F$30+'Steel Structure W.L.'!$F$31)</f>
        <v>12.696808510638299</v>
      </c>
      <c r="S376" s="269">
        <f t="shared" si="227"/>
        <v>14322</v>
      </c>
      <c r="T376" s="357">
        <f t="shared" ref="T376:T381" si="241">S376/$S$374</f>
        <v>0.11439114391143912</v>
      </c>
      <c r="U376" s="361">
        <f t="shared" si="238"/>
        <v>1</v>
      </c>
      <c r="V376" s="357">
        <f t="shared" si="239"/>
        <v>0</v>
      </c>
      <c r="W376" s="357">
        <f t="shared" si="240"/>
        <v>0.11439114391143912</v>
      </c>
      <c r="X376" s="357">
        <f t="shared" si="240"/>
        <v>0</v>
      </c>
      <c r="Y376" s="198">
        <f t="shared" si="210"/>
        <v>341</v>
      </c>
      <c r="Z376" s="435"/>
      <c r="AC376" s="267"/>
    </row>
    <row r="377" spans="8:29" x14ac:dyDescent="0.25">
      <c r="H377" s="268" t="s">
        <v>754</v>
      </c>
      <c r="I377" s="397" t="s">
        <v>225</v>
      </c>
      <c r="J377" s="372">
        <v>44952</v>
      </c>
      <c r="K377" s="372">
        <v>45046</v>
      </c>
      <c r="L377" s="268">
        <f t="shared" si="222"/>
        <v>95</v>
      </c>
      <c r="M377" s="268" t="s">
        <v>1182</v>
      </c>
      <c r="N377" s="268">
        <v>277</v>
      </c>
      <c r="O377" s="268"/>
      <c r="P377" s="269">
        <f t="shared" si="237"/>
        <v>11634.000000000002</v>
      </c>
      <c r="Q377" s="269">
        <v>12</v>
      </c>
      <c r="R377" s="269">
        <f>((N377/L377)/2)*('Steel Structure W.L.'!$F$28+'Steel Structure W.L.'!$F$29+'Steel Structure W.L.'!$F$30+'Steel Structure W.L.'!$F$31)</f>
        <v>10.205263157894738</v>
      </c>
      <c r="S377" s="269">
        <f t="shared" si="227"/>
        <v>11634.000000000002</v>
      </c>
      <c r="T377" s="357">
        <f t="shared" si="241"/>
        <v>9.2921838309292196E-2</v>
      </c>
      <c r="U377" s="361">
        <f t="shared" si="238"/>
        <v>1</v>
      </c>
      <c r="V377" s="357">
        <f t="shared" si="239"/>
        <v>0</v>
      </c>
      <c r="W377" s="357">
        <f t="shared" si="240"/>
        <v>9.2921838309292196E-2</v>
      </c>
      <c r="X377" s="357">
        <f t="shared" si="240"/>
        <v>0</v>
      </c>
      <c r="Y377" s="198">
        <f t="shared" si="210"/>
        <v>277</v>
      </c>
      <c r="Z377" s="435"/>
      <c r="AC377" s="267"/>
    </row>
    <row r="378" spans="8:29" x14ac:dyDescent="0.25">
      <c r="H378" s="268" t="s">
        <v>755</v>
      </c>
      <c r="I378" s="397" t="s">
        <v>223</v>
      </c>
      <c r="J378" s="372">
        <v>44941</v>
      </c>
      <c r="K378" s="372">
        <v>45061</v>
      </c>
      <c r="L378" s="268">
        <f t="shared" si="222"/>
        <v>121</v>
      </c>
      <c r="M378" s="268" t="s">
        <v>1182</v>
      </c>
      <c r="N378" s="268">
        <v>490</v>
      </c>
      <c r="O378" s="268"/>
      <c r="P378" s="269">
        <f t="shared" si="237"/>
        <v>20580</v>
      </c>
      <c r="Q378" s="269">
        <v>12</v>
      </c>
      <c r="R378" s="269">
        <f>((N378/L378)/2)*('Steel Structure W.L.'!$F$28+'Steel Structure W.L.'!$F$29+'Steel Structure W.L.'!$F$30+'Steel Structure W.L.'!$F$31)</f>
        <v>14.173553719008265</v>
      </c>
      <c r="S378" s="269">
        <f t="shared" si="227"/>
        <v>20580</v>
      </c>
      <c r="T378" s="357">
        <f t="shared" si="241"/>
        <v>0.16437437101643743</v>
      </c>
      <c r="U378" s="361">
        <f t="shared" si="238"/>
        <v>1</v>
      </c>
      <c r="V378" s="357">
        <f t="shared" si="239"/>
        <v>0</v>
      </c>
      <c r="W378" s="357">
        <f t="shared" si="240"/>
        <v>0.16437437101643743</v>
      </c>
      <c r="X378" s="357">
        <f t="shared" si="240"/>
        <v>0</v>
      </c>
      <c r="Y378" s="198">
        <f t="shared" si="210"/>
        <v>490</v>
      </c>
      <c r="Z378" s="435"/>
      <c r="AC378" s="267"/>
    </row>
    <row r="379" spans="8:29" x14ac:dyDescent="0.25">
      <c r="H379" s="268" t="s">
        <v>756</v>
      </c>
      <c r="I379" s="397" t="s">
        <v>229</v>
      </c>
      <c r="J379" s="372">
        <v>45041</v>
      </c>
      <c r="K379" s="372">
        <v>45078</v>
      </c>
      <c r="L379" s="268">
        <f t="shared" si="222"/>
        <v>38</v>
      </c>
      <c r="M379" s="268" t="s">
        <v>1182</v>
      </c>
      <c r="N379" s="268">
        <v>93</v>
      </c>
      <c r="O379" s="268"/>
      <c r="P379" s="269">
        <f t="shared" si="237"/>
        <v>3906</v>
      </c>
      <c r="Q379" s="269">
        <v>12</v>
      </c>
      <c r="R379" s="269">
        <f>((N379/L379)/2)*('Steel Structure W.L.'!$F$28+'Steel Structure W.L.'!$F$29+'Steel Structure W.L.'!$F$30+'Steel Structure W.L.'!$F$31)</f>
        <v>8.5657894736842106</v>
      </c>
      <c r="S379" s="269">
        <f t="shared" si="227"/>
        <v>3906</v>
      </c>
      <c r="T379" s="357">
        <f t="shared" si="241"/>
        <v>3.1197584703119757E-2</v>
      </c>
      <c r="U379" s="361">
        <f t="shared" si="238"/>
        <v>1</v>
      </c>
      <c r="V379" s="357">
        <f t="shared" si="239"/>
        <v>0</v>
      </c>
      <c r="W379" s="357">
        <f t="shared" si="240"/>
        <v>3.1197584703119757E-2</v>
      </c>
      <c r="X379" s="357">
        <f t="shared" si="240"/>
        <v>0</v>
      </c>
      <c r="Y379" s="198">
        <f t="shared" si="210"/>
        <v>93</v>
      </c>
      <c r="Z379" s="435"/>
      <c r="AC379" s="267"/>
    </row>
    <row r="380" spans="8:29" x14ac:dyDescent="0.25">
      <c r="H380" s="268" t="s">
        <v>757</v>
      </c>
      <c r="I380" s="397" t="s">
        <v>230</v>
      </c>
      <c r="J380" s="372">
        <v>45041</v>
      </c>
      <c r="K380" s="372">
        <v>45092</v>
      </c>
      <c r="L380" s="268">
        <f t="shared" si="222"/>
        <v>52</v>
      </c>
      <c r="M380" s="268" t="s">
        <v>1182</v>
      </c>
      <c r="N380" s="268">
        <v>130</v>
      </c>
      <c r="O380" s="268"/>
      <c r="P380" s="269">
        <f t="shared" si="237"/>
        <v>5460</v>
      </c>
      <c r="Q380" s="269">
        <v>12</v>
      </c>
      <c r="R380" s="269">
        <f>((N380/L380)/2)*('Steel Structure W.L.'!$F$28+'Steel Structure W.L.'!$F$29+'Steel Structure W.L.'!$F$30+'Steel Structure W.L.'!$F$31)</f>
        <v>8.75</v>
      </c>
      <c r="S380" s="269">
        <f t="shared" si="227"/>
        <v>5460</v>
      </c>
      <c r="T380" s="357">
        <f t="shared" si="241"/>
        <v>4.3609527004360951E-2</v>
      </c>
      <c r="U380" s="361">
        <f t="shared" si="238"/>
        <v>1</v>
      </c>
      <c r="V380" s="357">
        <f t="shared" si="239"/>
        <v>0</v>
      </c>
      <c r="W380" s="357">
        <f t="shared" si="240"/>
        <v>4.3609527004360951E-2</v>
      </c>
      <c r="X380" s="357">
        <f t="shared" si="240"/>
        <v>0</v>
      </c>
      <c r="Y380" s="198">
        <f t="shared" si="210"/>
        <v>130</v>
      </c>
      <c r="Z380" s="435"/>
      <c r="AC380" s="267"/>
    </row>
    <row r="381" spans="8:29" x14ac:dyDescent="0.25">
      <c r="H381" s="268" t="s">
        <v>758</v>
      </c>
      <c r="I381" s="397" t="s">
        <v>224</v>
      </c>
      <c r="J381" s="372">
        <v>44951</v>
      </c>
      <c r="K381" s="372">
        <v>45106</v>
      </c>
      <c r="L381" s="268">
        <f t="shared" si="222"/>
        <v>156</v>
      </c>
      <c r="M381" s="268" t="s">
        <v>1182</v>
      </c>
      <c r="N381" s="268">
        <v>1560</v>
      </c>
      <c r="O381" s="268"/>
      <c r="P381" s="269">
        <f t="shared" si="237"/>
        <v>65520</v>
      </c>
      <c r="Q381" s="269">
        <v>12</v>
      </c>
      <c r="R381" s="269">
        <f>((N381/L381)/2)*('Steel Structure W.L.'!$F$28+'Steel Structure W.L.'!$F$29+'Steel Structure W.L.'!$F$30+'Steel Structure W.L.'!$F$31)</f>
        <v>35</v>
      </c>
      <c r="S381" s="269">
        <f t="shared" si="227"/>
        <v>65520</v>
      </c>
      <c r="T381" s="357">
        <f t="shared" si="241"/>
        <v>0.52331432405233147</v>
      </c>
      <c r="U381" s="361">
        <f t="shared" si="238"/>
        <v>1</v>
      </c>
      <c r="V381" s="357">
        <f t="shared" si="239"/>
        <v>0</v>
      </c>
      <c r="W381" s="357">
        <f t="shared" si="240"/>
        <v>0.52331432405233147</v>
      </c>
      <c r="X381" s="357">
        <f t="shared" si="240"/>
        <v>0</v>
      </c>
      <c r="Y381" s="198">
        <f t="shared" si="210"/>
        <v>1560</v>
      </c>
      <c r="Z381" s="435"/>
      <c r="AC381" s="267"/>
    </row>
    <row r="382" spans="8:29" x14ac:dyDescent="0.25">
      <c r="H382" s="522" t="s">
        <v>759</v>
      </c>
      <c r="I382" s="523"/>
      <c r="J382" s="378">
        <v>44991</v>
      </c>
      <c r="K382" s="378">
        <v>45138</v>
      </c>
      <c r="L382" s="377">
        <f t="shared" si="222"/>
        <v>148</v>
      </c>
      <c r="M382" s="377" t="s">
        <v>1182</v>
      </c>
      <c r="N382" s="377">
        <f>N383</f>
        <v>715</v>
      </c>
      <c r="O382" s="377"/>
      <c r="P382" s="387">
        <f>P383</f>
        <v>30029.999999999996</v>
      </c>
      <c r="Q382" s="387"/>
      <c r="R382" s="387"/>
      <c r="S382" s="387">
        <f t="shared" si="227"/>
        <v>30029.999999999996</v>
      </c>
      <c r="T382" s="379">
        <f>S382/S369</f>
        <v>0.17451368040809351</v>
      </c>
      <c r="U382" s="382"/>
      <c r="V382" s="379"/>
      <c r="W382" s="379">
        <f>W383</f>
        <v>1</v>
      </c>
      <c r="X382" s="379">
        <f>X383</f>
        <v>0</v>
      </c>
      <c r="Y382" s="198">
        <f t="shared" si="210"/>
        <v>0</v>
      </c>
      <c r="Z382" s="435"/>
      <c r="AC382" s="267"/>
    </row>
    <row r="383" spans="8:29" x14ac:dyDescent="0.25">
      <c r="H383" s="268" t="s">
        <v>760</v>
      </c>
      <c r="I383" s="397" t="s">
        <v>227</v>
      </c>
      <c r="J383" s="372">
        <v>44991</v>
      </c>
      <c r="K383" s="372">
        <v>45138</v>
      </c>
      <c r="L383" s="268">
        <f t="shared" si="222"/>
        <v>148</v>
      </c>
      <c r="M383" s="268" t="s">
        <v>1182</v>
      </c>
      <c r="N383" s="268">
        <v>715</v>
      </c>
      <c r="O383" s="268"/>
      <c r="P383" s="269">
        <f t="shared" si="237"/>
        <v>30029.999999999996</v>
      </c>
      <c r="Q383" s="269">
        <v>12</v>
      </c>
      <c r="R383" s="269">
        <f>((N383/L383)/2)*('Steel Structure W.L.'!$F$28+'Steel Structure W.L.'!$F$29+'Steel Structure W.L.'!$F$30+'Steel Structure W.L.'!$F$31)</f>
        <v>16.908783783783782</v>
      </c>
      <c r="S383" s="269">
        <f t="shared" si="227"/>
        <v>30029.999999999996</v>
      </c>
      <c r="T383" s="357">
        <f>S383/S382</f>
        <v>1</v>
      </c>
      <c r="U383" s="361">
        <f t="shared" ref="U383" si="242">IF($J383&gt;U$5,0,IF($K383&lt;U$5,1,IF(U$5=$K383,1,((U$5-$J383+1)/($K383-$J383+1)))))</f>
        <v>1</v>
      </c>
      <c r="V383" s="357">
        <f>IFERROR(O383/N383,0)</f>
        <v>0</v>
      </c>
      <c r="W383" s="357">
        <f t="shared" ref="W383:X383" si="243">U383*$T383</f>
        <v>1</v>
      </c>
      <c r="X383" s="357">
        <f t="shared" si="243"/>
        <v>0</v>
      </c>
      <c r="Y383" s="198">
        <f t="shared" si="210"/>
        <v>715</v>
      </c>
      <c r="Z383" s="435"/>
      <c r="AC383" s="267"/>
    </row>
    <row r="384" spans="8:29" x14ac:dyDescent="0.25">
      <c r="H384" s="520" t="s">
        <v>761</v>
      </c>
      <c r="I384" s="521"/>
      <c r="J384" s="375">
        <v>45018</v>
      </c>
      <c r="K384" s="375">
        <v>45187</v>
      </c>
      <c r="L384" s="374">
        <f t="shared" si="222"/>
        <v>170</v>
      </c>
      <c r="M384" s="374" t="s">
        <v>1182</v>
      </c>
      <c r="N384" s="374">
        <f>N385</f>
        <v>162</v>
      </c>
      <c r="O384" s="374"/>
      <c r="P384" s="386">
        <f>P385</f>
        <v>6804</v>
      </c>
      <c r="Q384" s="374"/>
      <c r="R384" s="374"/>
      <c r="S384" s="386">
        <f>S385</f>
        <v>6804</v>
      </c>
      <c r="T384" s="376">
        <f>S384/S368</f>
        <v>3.8036204832006759E-2</v>
      </c>
      <c r="U384" s="380"/>
      <c r="V384" s="376"/>
      <c r="W384" s="376">
        <f>W385</f>
        <v>1</v>
      </c>
      <c r="X384" s="376">
        <f>X385</f>
        <v>0</v>
      </c>
      <c r="Y384" s="198">
        <f t="shared" si="210"/>
        <v>0</v>
      </c>
      <c r="Z384" s="435"/>
      <c r="AC384" s="267"/>
    </row>
    <row r="385" spans="8:29" x14ac:dyDescent="0.25">
      <c r="H385" s="522" t="s">
        <v>762</v>
      </c>
      <c r="I385" s="523"/>
      <c r="J385" s="378">
        <v>45018</v>
      </c>
      <c r="K385" s="378">
        <v>45187</v>
      </c>
      <c r="L385" s="377">
        <f t="shared" si="222"/>
        <v>170</v>
      </c>
      <c r="M385" s="377" t="s">
        <v>1182</v>
      </c>
      <c r="N385" s="377">
        <f>N386+N387</f>
        <v>162</v>
      </c>
      <c r="O385" s="377"/>
      <c r="P385" s="387">
        <f>P386+P387</f>
        <v>6804</v>
      </c>
      <c r="Q385" s="377"/>
      <c r="R385" s="377"/>
      <c r="S385" s="387">
        <f>S386+S387</f>
        <v>6804</v>
      </c>
      <c r="T385" s="379">
        <f>S385/S384</f>
        <v>1</v>
      </c>
      <c r="U385" s="382"/>
      <c r="V385" s="379"/>
      <c r="W385" s="379">
        <f>W386+W387</f>
        <v>1</v>
      </c>
      <c r="X385" s="379">
        <f>X386+X387</f>
        <v>0</v>
      </c>
      <c r="Y385" s="198">
        <f t="shared" si="210"/>
        <v>0</v>
      </c>
      <c r="Z385" s="435"/>
      <c r="AC385" s="267"/>
    </row>
    <row r="386" spans="8:29" x14ac:dyDescent="0.25">
      <c r="H386" s="268" t="s">
        <v>763</v>
      </c>
      <c r="I386" s="397" t="s">
        <v>764</v>
      </c>
      <c r="J386" s="372">
        <v>45018</v>
      </c>
      <c r="K386" s="372">
        <v>45059</v>
      </c>
      <c r="L386" s="268">
        <f t="shared" si="222"/>
        <v>42</v>
      </c>
      <c r="M386" s="268" t="s">
        <v>1182</v>
      </c>
      <c r="N386" s="268">
        <v>62</v>
      </c>
      <c r="O386" s="268"/>
      <c r="P386" s="269">
        <f t="shared" ref="P386:P387" si="244">L386*Q386*R386</f>
        <v>2604</v>
      </c>
      <c r="Q386" s="268">
        <v>12</v>
      </c>
      <c r="R386" s="268">
        <f>((N386/L386)/2)*('Steel Structure W.L.'!$F$28+'Steel Structure W.L.'!$F$29+'Steel Structure W.L.'!$F$30+'Steel Structure W.L.'!$F$31)</f>
        <v>5.166666666666667</v>
      </c>
      <c r="S386" s="269">
        <f>P386</f>
        <v>2604</v>
      </c>
      <c r="T386" s="357">
        <f>S386/S385</f>
        <v>0.38271604938271603</v>
      </c>
      <c r="U386" s="361">
        <f t="shared" ref="U386:U387" si="245">IF($J386&gt;U$5,0,IF($K386&lt;U$5,1,IF(U$5=$K386,1,((U$5-$J386+1)/($K386-$J386+1)))))</f>
        <v>1</v>
      </c>
      <c r="V386" s="357">
        <f>IFERROR(O386/N386,0)</f>
        <v>0</v>
      </c>
      <c r="W386" s="357">
        <f t="shared" ref="W386:X387" si="246">U386*$T386</f>
        <v>0.38271604938271603</v>
      </c>
      <c r="X386" s="357">
        <f t="shared" si="246"/>
        <v>0</v>
      </c>
      <c r="Y386" s="198">
        <f t="shared" si="210"/>
        <v>62</v>
      </c>
      <c r="Z386" s="435"/>
      <c r="AC386" s="267"/>
    </row>
    <row r="387" spans="8:29" x14ac:dyDescent="0.25">
      <c r="H387" s="268" t="s">
        <v>765</v>
      </c>
      <c r="I387" s="397" t="s">
        <v>1165</v>
      </c>
      <c r="J387" s="372">
        <v>45118</v>
      </c>
      <c r="K387" s="372">
        <v>45187</v>
      </c>
      <c r="L387" s="268">
        <f t="shared" si="222"/>
        <v>70</v>
      </c>
      <c r="M387" s="268" t="s">
        <v>1182</v>
      </c>
      <c r="N387" s="268">
        <v>100</v>
      </c>
      <c r="O387" s="268"/>
      <c r="P387" s="269">
        <f t="shared" si="244"/>
        <v>4200</v>
      </c>
      <c r="Q387" s="268">
        <v>12</v>
      </c>
      <c r="R387" s="268">
        <f>((N387/L387)/2)*('Steel Structure W.L.'!$F$28+'Steel Structure W.L.'!$F$29+'Steel Structure W.L.'!$F$30+'Steel Structure W.L.'!$F$31)</f>
        <v>5</v>
      </c>
      <c r="S387" s="269">
        <f>P387</f>
        <v>4200</v>
      </c>
      <c r="T387" s="357">
        <f>S387/S385</f>
        <v>0.61728395061728392</v>
      </c>
      <c r="U387" s="361">
        <f t="shared" si="245"/>
        <v>1</v>
      </c>
      <c r="V387" s="357">
        <f>IFERROR(O387/N387,0)</f>
        <v>0</v>
      </c>
      <c r="W387" s="357">
        <f t="shared" si="246"/>
        <v>0.61728395061728392</v>
      </c>
      <c r="X387" s="357">
        <f t="shared" si="246"/>
        <v>0</v>
      </c>
      <c r="Y387" s="198">
        <f t="shared" si="210"/>
        <v>100</v>
      </c>
      <c r="Z387" s="435"/>
      <c r="AC387" s="267"/>
    </row>
    <row r="388" spans="8:29" x14ac:dyDescent="0.25">
      <c r="H388" s="510" t="s">
        <v>766</v>
      </c>
      <c r="I388" s="511"/>
      <c r="J388" s="392">
        <v>44934</v>
      </c>
      <c r="K388" s="392">
        <v>45291</v>
      </c>
      <c r="L388" s="368">
        <f t="shared" si="222"/>
        <v>358</v>
      </c>
      <c r="M388" s="368"/>
      <c r="N388" s="368"/>
      <c r="O388" s="368"/>
      <c r="P388" s="400">
        <f>P389+P391</f>
        <v>779968.08354218886</v>
      </c>
      <c r="Q388" s="368"/>
      <c r="R388" s="368"/>
      <c r="S388" s="400">
        <f>S389+S391</f>
        <v>779968.08354218886</v>
      </c>
      <c r="T388" s="356">
        <f>S388/S350</f>
        <v>0.6061676644089794</v>
      </c>
      <c r="U388" s="368"/>
      <c r="V388" s="356"/>
      <c r="W388" s="356">
        <f>W389*T389+W391*T391</f>
        <v>0.99983106397727983</v>
      </c>
      <c r="X388" s="356">
        <f>X389*T389+X391*T391</f>
        <v>0</v>
      </c>
      <c r="Y388" s="198">
        <f t="shared" si="210"/>
        <v>0</v>
      </c>
      <c r="Z388" s="435"/>
      <c r="AC388" s="267"/>
    </row>
    <row r="389" spans="8:29" x14ac:dyDescent="0.25">
      <c r="H389" s="518" t="s">
        <v>767</v>
      </c>
      <c r="I389" s="519"/>
      <c r="J389" s="370">
        <v>44934</v>
      </c>
      <c r="K389" s="370">
        <v>45224</v>
      </c>
      <c r="L389" s="369">
        <f t="shared" si="222"/>
        <v>291</v>
      </c>
      <c r="M389" s="369"/>
      <c r="N389" s="369"/>
      <c r="O389" s="369"/>
      <c r="P389" s="385">
        <f>P390</f>
        <v>323372.00000000006</v>
      </c>
      <c r="Q389" s="369"/>
      <c r="R389" s="369"/>
      <c r="S389" s="385">
        <f>S390</f>
        <v>323372.00000000006</v>
      </c>
      <c r="T389" s="363">
        <f>S389/S388</f>
        <v>0.4145964518591852</v>
      </c>
      <c r="U389" s="369"/>
      <c r="V389" s="363"/>
      <c r="W389" s="363">
        <f>W390</f>
        <v>1</v>
      </c>
      <c r="X389" s="363">
        <f>X390</f>
        <v>0</v>
      </c>
      <c r="Y389" s="198">
        <f t="shared" si="210"/>
        <v>0</v>
      </c>
      <c r="Z389" s="435"/>
      <c r="AC389" s="267"/>
    </row>
    <row r="390" spans="8:29" x14ac:dyDescent="0.25">
      <c r="H390" s="268" t="s">
        <v>768</v>
      </c>
      <c r="I390" s="397" t="s">
        <v>20</v>
      </c>
      <c r="J390" s="372">
        <v>44934</v>
      </c>
      <c r="K390" s="372">
        <v>45224</v>
      </c>
      <c r="L390" s="268">
        <f t="shared" si="222"/>
        <v>291</v>
      </c>
      <c r="M390" s="268" t="s">
        <v>1181</v>
      </c>
      <c r="N390" s="269">
        <f>'Piping W.L.'!F7</f>
        <v>80843</v>
      </c>
      <c r="O390" s="268"/>
      <c r="P390" s="269">
        <f t="shared" ref="P390" si="247">L390*Q390*R390</f>
        <v>323372.00000000006</v>
      </c>
      <c r="Q390" s="269">
        <v>12</v>
      </c>
      <c r="R390" s="269">
        <f>((N390/L390)/24)*('Piping W.L.'!F36+'Piping W.L.'!F37+'Piping W.L.'!F38+'Piping W.L.'!F39)</f>
        <v>92.603665521191303</v>
      </c>
      <c r="S390" s="269">
        <f>P390</f>
        <v>323372.00000000006</v>
      </c>
      <c r="T390" s="357">
        <f>S390/S389</f>
        <v>1</v>
      </c>
      <c r="U390" s="361">
        <f t="shared" ref="U390" si="248">IF($J390&gt;U$5,0,IF($K390&lt;U$5,1,IF(U$5=$K390,1,((U$5-$J390+1)/($K390-$J390+1)))))</f>
        <v>1</v>
      </c>
      <c r="V390" s="357">
        <f>IFERROR(O390/N390,0)</f>
        <v>0</v>
      </c>
      <c r="W390" s="357">
        <f t="shared" ref="W390:X390" si="249">U390*$T390</f>
        <v>1</v>
      </c>
      <c r="X390" s="357">
        <f t="shared" si="249"/>
        <v>0</v>
      </c>
      <c r="Y390" s="198">
        <f t="shared" si="210"/>
        <v>80843</v>
      </c>
      <c r="Z390" s="435"/>
      <c r="AC390" s="267"/>
    </row>
    <row r="391" spans="8:29" x14ac:dyDescent="0.25">
      <c r="H391" s="518" t="s">
        <v>769</v>
      </c>
      <c r="I391" s="519"/>
      <c r="J391" s="370">
        <v>44966</v>
      </c>
      <c r="K391" s="370">
        <v>45291</v>
      </c>
      <c r="L391" s="369">
        <f t="shared" si="222"/>
        <v>326</v>
      </c>
      <c r="M391" s="369"/>
      <c r="N391" s="369"/>
      <c r="O391" s="369"/>
      <c r="P391" s="385">
        <f>P392+P401+P412</f>
        <v>456596.08354218875</v>
      </c>
      <c r="Q391" s="385"/>
      <c r="R391" s="385"/>
      <c r="S391" s="385">
        <f>S392+S401+S412</f>
        <v>456596.08354218875</v>
      </c>
      <c r="T391" s="363">
        <f>S391/S388</f>
        <v>0.58540354814081474</v>
      </c>
      <c r="U391" s="369"/>
      <c r="V391" s="363"/>
      <c r="W391" s="363">
        <f>W392*T392+W401*T401+W412*T412</f>
        <v>0.99971141954424991</v>
      </c>
      <c r="X391" s="363">
        <f>X392*T392+X401*T401+X412*T412</f>
        <v>0</v>
      </c>
      <c r="Y391" s="198">
        <f t="shared" si="210"/>
        <v>0</v>
      </c>
      <c r="Z391" s="435"/>
      <c r="AC391" s="267"/>
    </row>
    <row r="392" spans="8:29" x14ac:dyDescent="0.25">
      <c r="H392" s="520" t="s">
        <v>770</v>
      </c>
      <c r="I392" s="521"/>
      <c r="J392" s="375">
        <v>44966</v>
      </c>
      <c r="K392" s="375">
        <v>45257</v>
      </c>
      <c r="L392" s="374">
        <f t="shared" si="222"/>
        <v>292</v>
      </c>
      <c r="M392" s="374"/>
      <c r="N392" s="374"/>
      <c r="O392" s="374"/>
      <c r="P392" s="386">
        <f>P393+P396</f>
        <v>66690.158730158728</v>
      </c>
      <c r="Q392" s="386"/>
      <c r="R392" s="386"/>
      <c r="S392" s="386">
        <f>S393+S396</f>
        <v>66690.158730158728</v>
      </c>
      <c r="T392" s="376">
        <f>S392/S391</f>
        <v>0.14605941911018749</v>
      </c>
      <c r="U392" s="380"/>
      <c r="V392" s="376"/>
      <c r="W392" s="376">
        <f>W393*T393+W396*T396</f>
        <v>1.0000000000000002</v>
      </c>
      <c r="X392" s="376">
        <f>X393*T393+X396*T396</f>
        <v>0</v>
      </c>
      <c r="Y392" s="198">
        <f t="shared" si="210"/>
        <v>0</v>
      </c>
      <c r="Z392" s="435"/>
      <c r="AC392" s="267"/>
    </row>
    <row r="393" spans="8:29" x14ac:dyDescent="0.25">
      <c r="H393" s="522" t="s">
        <v>771</v>
      </c>
      <c r="I393" s="523"/>
      <c r="J393" s="378">
        <v>44966</v>
      </c>
      <c r="K393" s="378">
        <v>45138</v>
      </c>
      <c r="L393" s="377">
        <f t="shared" si="222"/>
        <v>173</v>
      </c>
      <c r="M393" s="377"/>
      <c r="N393" s="377"/>
      <c r="O393" s="377"/>
      <c r="P393" s="387">
        <f>P394+P395</f>
        <v>34850.158730158728</v>
      </c>
      <c r="Q393" s="387"/>
      <c r="R393" s="387"/>
      <c r="S393" s="387">
        <f>S394+S395</f>
        <v>34850.158730158728</v>
      </c>
      <c r="T393" s="379">
        <f>S393/S392</f>
        <v>0.52256823785904016</v>
      </c>
      <c r="U393" s="382"/>
      <c r="V393" s="379"/>
      <c r="W393" s="379">
        <f>W394+W395</f>
        <v>1.0000000000000002</v>
      </c>
      <c r="X393" s="379">
        <f>X394+X395</f>
        <v>0</v>
      </c>
      <c r="Y393" s="198">
        <f t="shared" si="210"/>
        <v>0</v>
      </c>
      <c r="Z393" s="435"/>
      <c r="AC393" s="267"/>
    </row>
    <row r="394" spans="8:29" x14ac:dyDescent="0.25">
      <c r="H394" s="268" t="s">
        <v>772</v>
      </c>
      <c r="I394" s="397" t="s">
        <v>156</v>
      </c>
      <c r="J394" s="372">
        <v>44966</v>
      </c>
      <c r="K394" s="372">
        <v>45122</v>
      </c>
      <c r="L394" s="268">
        <f t="shared" si="222"/>
        <v>157</v>
      </c>
      <c r="M394" s="268" t="s">
        <v>1181</v>
      </c>
      <c r="N394" s="268">
        <v>7687</v>
      </c>
      <c r="O394" s="268"/>
      <c r="P394" s="269">
        <f t="shared" ref="P394:P395" si="250">L394*Q394*R394</f>
        <v>34164.444444444445</v>
      </c>
      <c r="Q394" s="269">
        <v>10</v>
      </c>
      <c r="R394" s="269">
        <f>((N394/L394)/18)*('Piping W.L.'!$F$41+'Piping W.L.'!$F$42+'Piping W.L.'!$F$43+'Piping W.L.'!$F$44)</f>
        <v>21.760792639773531</v>
      </c>
      <c r="S394" s="269">
        <f>P394</f>
        <v>34164.444444444445</v>
      </c>
      <c r="T394" s="357">
        <f>S394/S393</f>
        <v>0.98032392646978461</v>
      </c>
      <c r="U394" s="361">
        <f t="shared" ref="U394:U395" si="251">IF($J394&gt;U$5,0,IF($K394&lt;U$5,1,IF(U$5=$K394,1,((U$5-$J394+1)/($K394-$J394+1)))))</f>
        <v>1</v>
      </c>
      <c r="V394" s="357">
        <f>IFERROR(O394/N394,0)</f>
        <v>0</v>
      </c>
      <c r="W394" s="357">
        <f t="shared" ref="W394:X395" si="252">U394*$T394</f>
        <v>0.98032392646978461</v>
      </c>
      <c r="X394" s="357">
        <f t="shared" si="252"/>
        <v>0</v>
      </c>
      <c r="Y394" s="198">
        <f t="shared" ref="Y394:Y457" si="253">+U394*N394</f>
        <v>7687</v>
      </c>
      <c r="Z394" s="435"/>
      <c r="AC394" s="267"/>
    </row>
    <row r="395" spans="8:29" x14ac:dyDescent="0.25">
      <c r="H395" s="268" t="s">
        <v>773</v>
      </c>
      <c r="I395" s="397" t="s">
        <v>167</v>
      </c>
      <c r="J395" s="372">
        <v>45122</v>
      </c>
      <c r="K395" s="372">
        <v>45138</v>
      </c>
      <c r="L395" s="268">
        <f t="shared" si="222"/>
        <v>17</v>
      </c>
      <c r="M395" s="268" t="s">
        <v>26</v>
      </c>
      <c r="N395" s="268">
        <v>30</v>
      </c>
      <c r="O395" s="268"/>
      <c r="P395" s="269">
        <f t="shared" si="250"/>
        <v>685.71428571428567</v>
      </c>
      <c r="Q395" s="269">
        <v>10</v>
      </c>
      <c r="R395" s="269">
        <f>((N395/L395)/7)*(8)*2</f>
        <v>4.0336134453781511</v>
      </c>
      <c r="S395" s="269">
        <f>P395</f>
        <v>685.71428571428567</v>
      </c>
      <c r="T395" s="362">
        <f>S395/S393</f>
        <v>1.9676073530215527E-2</v>
      </c>
      <c r="U395" s="361">
        <f t="shared" si="251"/>
        <v>1</v>
      </c>
      <c r="V395" s="357">
        <f>IFERROR(O395/N395,0)</f>
        <v>0</v>
      </c>
      <c r="W395" s="357">
        <f t="shared" si="252"/>
        <v>1.9676073530215527E-2</v>
      </c>
      <c r="X395" s="357">
        <f t="shared" si="252"/>
        <v>0</v>
      </c>
      <c r="Y395" s="198">
        <f t="shared" si="253"/>
        <v>30</v>
      </c>
      <c r="Z395" s="435"/>
      <c r="AC395" s="267"/>
    </row>
    <row r="396" spans="8:29" x14ac:dyDescent="0.25">
      <c r="H396" s="522" t="s">
        <v>774</v>
      </c>
      <c r="I396" s="523"/>
      <c r="J396" s="378">
        <v>45069</v>
      </c>
      <c r="K396" s="378">
        <v>45257</v>
      </c>
      <c r="L396" s="377">
        <f t="shared" si="222"/>
        <v>189</v>
      </c>
      <c r="M396" s="377"/>
      <c r="N396" s="377"/>
      <c r="O396" s="377"/>
      <c r="P396" s="387">
        <f>P397+P398+P399+P400</f>
        <v>31840.000000000004</v>
      </c>
      <c r="Q396" s="387"/>
      <c r="R396" s="387"/>
      <c r="S396" s="387">
        <f>S397+S398+S399+S400</f>
        <v>31840.000000000004</v>
      </c>
      <c r="T396" s="379">
        <f>S396/S392</f>
        <v>0.47743176214095995</v>
      </c>
      <c r="U396" s="382"/>
      <c r="V396" s="379"/>
      <c r="W396" s="379">
        <f>W397+W398+W399+W400</f>
        <v>1</v>
      </c>
      <c r="X396" s="379">
        <f>X397+X398+X399+X400</f>
        <v>0</v>
      </c>
      <c r="Y396" s="198">
        <f t="shared" si="253"/>
        <v>0</v>
      </c>
      <c r="Z396" s="435"/>
      <c r="AC396" s="267"/>
    </row>
    <row r="397" spans="8:29" x14ac:dyDescent="0.25">
      <c r="H397" s="268" t="s">
        <v>775</v>
      </c>
      <c r="I397" s="397" t="s">
        <v>157</v>
      </c>
      <c r="J397" s="372">
        <v>45069</v>
      </c>
      <c r="K397" s="372">
        <v>45162</v>
      </c>
      <c r="L397" s="268">
        <f t="shared" si="222"/>
        <v>94</v>
      </c>
      <c r="M397" s="268" t="s">
        <v>1181</v>
      </c>
      <c r="N397" s="268">
        <v>1500</v>
      </c>
      <c r="O397" s="268"/>
      <c r="P397" s="269">
        <f t="shared" ref="P397:P400" si="254">L397*Q397*R397</f>
        <v>6666.666666666667</v>
      </c>
      <c r="Q397" s="269">
        <v>10</v>
      </c>
      <c r="R397" s="269">
        <f>((N397/L397)/18)*('Piping W.L.'!$F$41+'Piping W.L.'!$F$42+'Piping W.L.'!$F$43+'Piping W.L.'!$F$44)</f>
        <v>7.0921985815602842</v>
      </c>
      <c r="S397" s="269">
        <f>P397</f>
        <v>6666.666666666667</v>
      </c>
      <c r="T397" s="357">
        <f>S397/$S$396</f>
        <v>0.20938023450586263</v>
      </c>
      <c r="U397" s="361">
        <f t="shared" ref="U397:U400" si="255">IF($J397&gt;U$5,0,IF($K397&lt;U$5,1,IF(U$5=$K397,1,((U$5-$J397+1)/($K397-$J397+1)))))</f>
        <v>1</v>
      </c>
      <c r="V397" s="357">
        <f>IFERROR(O397/N397,0)</f>
        <v>0</v>
      </c>
      <c r="W397" s="357">
        <f t="shared" ref="W397:X400" si="256">U397*$T397</f>
        <v>0.20938023450586263</v>
      </c>
      <c r="X397" s="357">
        <f t="shared" si="256"/>
        <v>0</v>
      </c>
      <c r="Y397" s="198">
        <f t="shared" si="253"/>
        <v>1500</v>
      </c>
      <c r="Z397" s="435"/>
      <c r="AC397" s="267"/>
    </row>
    <row r="398" spans="8:29" x14ac:dyDescent="0.25">
      <c r="H398" s="268" t="s">
        <v>776</v>
      </c>
      <c r="I398" s="397" t="s">
        <v>164</v>
      </c>
      <c r="J398" s="372">
        <v>45164</v>
      </c>
      <c r="K398" s="372">
        <v>45175</v>
      </c>
      <c r="L398" s="268">
        <f t="shared" si="222"/>
        <v>12</v>
      </c>
      <c r="M398" s="268" t="s">
        <v>26</v>
      </c>
      <c r="N398" s="268">
        <v>6</v>
      </c>
      <c r="O398" s="268"/>
      <c r="P398" s="269">
        <f t="shared" si="254"/>
        <v>68.571428571428569</v>
      </c>
      <c r="Q398" s="269">
        <v>10</v>
      </c>
      <c r="R398" s="269">
        <f>((N398/L398)/7)*(8)</f>
        <v>0.5714285714285714</v>
      </c>
      <c r="S398" s="269">
        <f>P398</f>
        <v>68.571428571428569</v>
      </c>
      <c r="T398" s="357">
        <f t="shared" ref="T398:T400" si="257">S398/$S$396</f>
        <v>2.1536252692031582E-3</v>
      </c>
      <c r="U398" s="361">
        <f t="shared" si="255"/>
        <v>1</v>
      </c>
      <c r="V398" s="357">
        <f>IFERROR(O398/N398,0)</f>
        <v>0</v>
      </c>
      <c r="W398" s="357">
        <f t="shared" si="256"/>
        <v>2.1536252692031582E-3</v>
      </c>
      <c r="X398" s="357">
        <f t="shared" si="256"/>
        <v>0</v>
      </c>
      <c r="Y398" s="198">
        <f t="shared" si="253"/>
        <v>6</v>
      </c>
      <c r="Z398" s="435"/>
      <c r="AC398" s="267"/>
    </row>
    <row r="399" spans="8:29" x14ac:dyDescent="0.25">
      <c r="H399" s="268" t="s">
        <v>777</v>
      </c>
      <c r="I399" s="397" t="s">
        <v>162</v>
      </c>
      <c r="J399" s="372">
        <v>45077</v>
      </c>
      <c r="K399" s="372">
        <v>45235</v>
      </c>
      <c r="L399" s="268">
        <f t="shared" si="222"/>
        <v>159</v>
      </c>
      <c r="M399" s="268" t="s">
        <v>1181</v>
      </c>
      <c r="N399" s="268">
        <v>5520</v>
      </c>
      <c r="O399" s="268"/>
      <c r="P399" s="269">
        <f t="shared" si="254"/>
        <v>24533.333333333336</v>
      </c>
      <c r="Q399" s="269">
        <v>10</v>
      </c>
      <c r="R399" s="269">
        <f>((N399/L399)/18)*('Piping W.L.'!$F$41+'Piping W.L.'!$F$42+'Piping W.L.'!$F$43+'Piping W.L.'!$F$44)</f>
        <v>15.429769392033544</v>
      </c>
      <c r="S399" s="269">
        <f t="shared" ref="S399" si="258">P399</f>
        <v>24533.333333333336</v>
      </c>
      <c r="T399" s="357">
        <f t="shared" si="257"/>
        <v>0.77051926298157458</v>
      </c>
      <c r="U399" s="361">
        <f t="shared" si="255"/>
        <v>1</v>
      </c>
      <c r="V399" s="357">
        <f>IFERROR(O399/N399,0)</f>
        <v>0</v>
      </c>
      <c r="W399" s="357">
        <f t="shared" si="256"/>
        <v>0.77051926298157458</v>
      </c>
      <c r="X399" s="357">
        <f t="shared" si="256"/>
        <v>0</v>
      </c>
      <c r="Y399" s="198">
        <f t="shared" si="253"/>
        <v>5520</v>
      </c>
      <c r="Z399" s="435"/>
      <c r="AC399" s="267"/>
    </row>
    <row r="400" spans="8:29" x14ac:dyDescent="0.25">
      <c r="H400" s="268" t="s">
        <v>778</v>
      </c>
      <c r="I400" s="397" t="s">
        <v>171</v>
      </c>
      <c r="J400" s="372">
        <v>45235</v>
      </c>
      <c r="K400" s="372">
        <v>45257</v>
      </c>
      <c r="L400" s="268">
        <f t="shared" si="222"/>
        <v>23</v>
      </c>
      <c r="M400" s="268" t="s">
        <v>26</v>
      </c>
      <c r="N400" s="268">
        <v>25</v>
      </c>
      <c r="O400" s="268"/>
      <c r="P400" s="269">
        <f t="shared" si="254"/>
        <v>571.42857142857133</v>
      </c>
      <c r="Q400" s="269">
        <v>10</v>
      </c>
      <c r="R400" s="269">
        <f>((N400/L400)/7)*(8)*2</f>
        <v>2.4844720496894408</v>
      </c>
      <c r="S400" s="269">
        <f>P400</f>
        <v>571.42857142857133</v>
      </c>
      <c r="T400" s="362">
        <f t="shared" si="257"/>
        <v>1.7946877243359652E-2</v>
      </c>
      <c r="U400" s="361">
        <f t="shared" si="255"/>
        <v>1</v>
      </c>
      <c r="V400" s="357">
        <f>IFERROR(O400/N400,0)</f>
        <v>0</v>
      </c>
      <c r="W400" s="357">
        <f t="shared" si="256"/>
        <v>1.7946877243359652E-2</v>
      </c>
      <c r="X400" s="357">
        <f t="shared" si="256"/>
        <v>0</v>
      </c>
      <c r="Y400" s="198">
        <f t="shared" si="253"/>
        <v>25</v>
      </c>
      <c r="Z400" s="435"/>
      <c r="AC400" s="267"/>
    </row>
    <row r="401" spans="8:29" x14ac:dyDescent="0.25">
      <c r="H401" s="520" t="s">
        <v>779</v>
      </c>
      <c r="I401" s="521"/>
      <c r="J401" s="375">
        <v>45008</v>
      </c>
      <c r="K401" s="375">
        <v>45260</v>
      </c>
      <c r="L401" s="374">
        <f t="shared" si="222"/>
        <v>253</v>
      </c>
      <c r="M401" s="374"/>
      <c r="N401" s="374"/>
      <c r="O401" s="374"/>
      <c r="P401" s="386">
        <f>P402+P403+P404+P405+P406+P407+P408+P409+P410+P411</f>
        <v>319914.34586466156</v>
      </c>
      <c r="Q401" s="374"/>
      <c r="R401" s="374"/>
      <c r="S401" s="386">
        <f>S402+S403+S404+S405+S406+S407+S408+S409+S410+S411</f>
        <v>319914.34586466156</v>
      </c>
      <c r="T401" s="376">
        <f>S401/S391</f>
        <v>0.70065065688436201</v>
      </c>
      <c r="U401" s="380"/>
      <c r="V401" s="376"/>
      <c r="W401" s="376">
        <f>W402+W403+W404+W405+W406+W407+W408+W409+W410+W411</f>
        <v>1.0000000000000002</v>
      </c>
      <c r="X401" s="376">
        <f>X402+X403+X404+X405+X406+X407+X408+X409+X410+X411</f>
        <v>0</v>
      </c>
      <c r="Y401" s="198">
        <f t="shared" si="253"/>
        <v>0</v>
      </c>
      <c r="Z401" s="435"/>
      <c r="AC401" s="267"/>
    </row>
    <row r="402" spans="8:29" x14ac:dyDescent="0.25">
      <c r="H402" s="268" t="s">
        <v>780</v>
      </c>
      <c r="I402" s="397" t="s">
        <v>781</v>
      </c>
      <c r="J402" s="372">
        <v>45059</v>
      </c>
      <c r="K402" s="372">
        <v>45129</v>
      </c>
      <c r="L402" s="268">
        <f t="shared" si="222"/>
        <v>71</v>
      </c>
      <c r="M402" s="268" t="s">
        <v>1181</v>
      </c>
      <c r="N402" s="268">
        <v>1000</v>
      </c>
      <c r="O402" s="268"/>
      <c r="P402" s="269">
        <f t="shared" ref="P402:P411" si="259">L402*Q402*R402</f>
        <v>4210.5263157894733</v>
      </c>
      <c r="Q402" s="269">
        <v>10</v>
      </c>
      <c r="R402" s="269">
        <f>((N402/L402)/19)*('Piping W.L.'!$F$41+'Piping W.L.'!$F$42+'Piping W.L.'!$F$43+'Piping W.L.'!$F$44)</f>
        <v>5.9303187546330616</v>
      </c>
      <c r="S402" s="269">
        <f t="shared" ref="S402:S411" si="260">P402</f>
        <v>4210.5263157894733</v>
      </c>
      <c r="T402" s="357">
        <f>S402/$S$401</f>
        <v>1.3161417642617124E-2</v>
      </c>
      <c r="U402" s="361">
        <f t="shared" ref="U402:U411" si="261">IF($J402&gt;U$5,0,IF($K402&lt;U$5,1,IF(U$5=$K402,1,((U$5-$J402+1)/($K402-$J402+1)))))</f>
        <v>1</v>
      </c>
      <c r="V402" s="357">
        <f t="shared" ref="V402:V411" si="262">IFERROR(O402/N402,0)</f>
        <v>0</v>
      </c>
      <c r="W402" s="357">
        <f t="shared" ref="W402:X411" si="263">U402*$T402</f>
        <v>1.3161417642617124E-2</v>
      </c>
      <c r="X402" s="357">
        <f t="shared" si="263"/>
        <v>0</v>
      </c>
      <c r="Y402" s="198">
        <f t="shared" si="253"/>
        <v>1000</v>
      </c>
      <c r="Z402" s="435"/>
      <c r="AC402" s="267"/>
    </row>
    <row r="403" spans="8:29" x14ac:dyDescent="0.25">
      <c r="H403" s="268" t="s">
        <v>782</v>
      </c>
      <c r="I403" s="397" t="s">
        <v>158</v>
      </c>
      <c r="J403" s="372">
        <v>45008</v>
      </c>
      <c r="K403" s="372">
        <v>45148</v>
      </c>
      <c r="L403" s="268">
        <f t="shared" si="222"/>
        <v>141</v>
      </c>
      <c r="M403" s="268" t="s">
        <v>1181</v>
      </c>
      <c r="N403" s="268">
        <v>4360</v>
      </c>
      <c r="O403" s="268"/>
      <c r="P403" s="269">
        <f t="shared" si="259"/>
        <v>22029.473684210527</v>
      </c>
      <c r="Q403" s="269">
        <v>12</v>
      </c>
      <c r="R403" s="269">
        <f>((N403/L403)/19)*('Piping W.L.'!$F$41+'Piping W.L.'!$F$42+'Piping W.L.'!$F$43+'Piping W.L.'!$F$44)</f>
        <v>13.019783501306458</v>
      </c>
      <c r="S403" s="269">
        <f t="shared" si="260"/>
        <v>22029.473684210527</v>
      </c>
      <c r="T403" s="357">
        <f t="shared" ref="T403:T411" si="264">S403/$S$401</f>
        <v>6.8860537106172806E-2</v>
      </c>
      <c r="U403" s="361">
        <f t="shared" si="261"/>
        <v>1</v>
      </c>
      <c r="V403" s="357">
        <f t="shared" si="262"/>
        <v>0</v>
      </c>
      <c r="W403" s="357">
        <f t="shared" si="263"/>
        <v>6.8860537106172806E-2</v>
      </c>
      <c r="X403" s="357">
        <f t="shared" si="263"/>
        <v>0</v>
      </c>
      <c r="Y403" s="198">
        <f t="shared" si="253"/>
        <v>4360</v>
      </c>
      <c r="Z403" s="435"/>
      <c r="AC403" s="267"/>
    </row>
    <row r="404" spans="8:29" x14ac:dyDescent="0.25">
      <c r="H404" s="268" t="s">
        <v>783</v>
      </c>
      <c r="I404" s="397" t="s">
        <v>165</v>
      </c>
      <c r="J404" s="372">
        <v>45078</v>
      </c>
      <c r="K404" s="372">
        <v>45148</v>
      </c>
      <c r="L404" s="268">
        <f t="shared" si="222"/>
        <v>71</v>
      </c>
      <c r="M404" s="268" t="s">
        <v>1181</v>
      </c>
      <c r="N404" s="268">
        <v>700</v>
      </c>
      <c r="O404" s="268"/>
      <c r="P404" s="269">
        <f t="shared" si="259"/>
        <v>2947.3684210526317</v>
      </c>
      <c r="Q404" s="269">
        <v>10</v>
      </c>
      <c r="R404" s="269">
        <f>((N404/L404)/19)*('Piping W.L.'!$F$41+'Piping W.L.'!$F$42+'Piping W.L.'!$F$43+'Piping W.L.'!$F$44)</f>
        <v>4.1512231282431431</v>
      </c>
      <c r="S404" s="269">
        <f t="shared" si="260"/>
        <v>2947.3684210526317</v>
      </c>
      <c r="T404" s="357">
        <f t="shared" si="264"/>
        <v>9.2129923498319877E-3</v>
      </c>
      <c r="U404" s="361">
        <f t="shared" si="261"/>
        <v>1</v>
      </c>
      <c r="V404" s="357">
        <f t="shared" si="262"/>
        <v>0</v>
      </c>
      <c r="W404" s="357">
        <f t="shared" si="263"/>
        <v>9.2129923498319877E-3</v>
      </c>
      <c r="X404" s="357">
        <f t="shared" si="263"/>
        <v>0</v>
      </c>
      <c r="Y404" s="198">
        <f t="shared" si="253"/>
        <v>700</v>
      </c>
      <c r="Z404" s="435"/>
      <c r="AC404" s="267"/>
    </row>
    <row r="405" spans="8:29" x14ac:dyDescent="0.25">
      <c r="H405" s="268" t="s">
        <v>784</v>
      </c>
      <c r="I405" s="397" t="s">
        <v>161</v>
      </c>
      <c r="J405" s="372">
        <v>45017</v>
      </c>
      <c r="K405" s="372">
        <v>45157</v>
      </c>
      <c r="L405" s="268">
        <f t="shared" si="222"/>
        <v>141</v>
      </c>
      <c r="M405" s="268" t="s">
        <v>1181</v>
      </c>
      <c r="N405" s="268">
        <v>4209</v>
      </c>
      <c r="O405" s="268"/>
      <c r="P405" s="269">
        <f t="shared" si="259"/>
        <v>21266.526315789473</v>
      </c>
      <c r="Q405" s="269">
        <v>12</v>
      </c>
      <c r="R405" s="269">
        <f>((N405/L405)/19)*('Piping W.L.'!$F$41+'Piping W.L.'!$F$42+'Piping W.L.'!$F$43+'Piping W.L.'!$F$44)</f>
        <v>12.568868980963046</v>
      </c>
      <c r="S405" s="269">
        <f t="shared" si="260"/>
        <v>21266.526315789473</v>
      </c>
      <c r="T405" s="357">
        <f t="shared" si="264"/>
        <v>6.6475688229330573E-2</v>
      </c>
      <c r="U405" s="361">
        <f t="shared" si="261"/>
        <v>1</v>
      </c>
      <c r="V405" s="357">
        <f t="shared" si="262"/>
        <v>0</v>
      </c>
      <c r="W405" s="357">
        <f t="shared" si="263"/>
        <v>6.6475688229330573E-2</v>
      </c>
      <c r="X405" s="357">
        <f t="shared" si="263"/>
        <v>0</v>
      </c>
      <c r="Y405" s="198">
        <f t="shared" si="253"/>
        <v>4209</v>
      </c>
      <c r="Z405" s="435"/>
      <c r="AC405" s="267"/>
    </row>
    <row r="406" spans="8:29" x14ac:dyDescent="0.25">
      <c r="H406" s="268" t="s">
        <v>785</v>
      </c>
      <c r="I406" s="397" t="s">
        <v>160</v>
      </c>
      <c r="J406" s="372">
        <v>45017</v>
      </c>
      <c r="K406" s="372">
        <v>45186</v>
      </c>
      <c r="L406" s="268">
        <f t="shared" si="222"/>
        <v>170</v>
      </c>
      <c r="M406" s="268" t="s">
        <v>1181</v>
      </c>
      <c r="N406" s="268">
        <v>5350</v>
      </c>
      <c r="O406" s="268"/>
      <c r="P406" s="269">
        <f t="shared" si="259"/>
        <v>27031.578947368416</v>
      </c>
      <c r="Q406" s="269">
        <v>12</v>
      </c>
      <c r="R406" s="269">
        <f>((N406/L406)/19)*('Piping W.L.'!$F$41+'Piping W.L.'!$F$42+'Piping W.L.'!$F$43+'Piping W.L.'!$F$44)</f>
        <v>13.250773993808048</v>
      </c>
      <c r="S406" s="269">
        <f t="shared" si="260"/>
        <v>27031.578947368416</v>
      </c>
      <c r="T406" s="357">
        <f t="shared" si="264"/>
        <v>8.4496301265601925E-2</v>
      </c>
      <c r="U406" s="361">
        <f t="shared" si="261"/>
        <v>1</v>
      </c>
      <c r="V406" s="357">
        <f t="shared" si="262"/>
        <v>0</v>
      </c>
      <c r="W406" s="357">
        <f t="shared" si="263"/>
        <v>8.4496301265601925E-2</v>
      </c>
      <c r="X406" s="357">
        <f t="shared" si="263"/>
        <v>0</v>
      </c>
      <c r="Y406" s="198">
        <f t="shared" si="253"/>
        <v>5350</v>
      </c>
      <c r="Z406" s="435"/>
      <c r="AC406" s="267"/>
    </row>
    <row r="407" spans="8:29" x14ac:dyDescent="0.25">
      <c r="H407" s="268" t="s">
        <v>786</v>
      </c>
      <c r="I407" s="397" t="s">
        <v>166</v>
      </c>
      <c r="J407" s="372">
        <v>45092</v>
      </c>
      <c r="K407" s="372">
        <v>45192</v>
      </c>
      <c r="L407" s="268">
        <f t="shared" si="222"/>
        <v>101</v>
      </c>
      <c r="M407" s="268" t="s">
        <v>1181</v>
      </c>
      <c r="N407" s="268">
        <v>2154</v>
      </c>
      <c r="O407" s="268"/>
      <c r="P407" s="269">
        <f t="shared" si="259"/>
        <v>9069.4736842105249</v>
      </c>
      <c r="Q407" s="269">
        <v>10</v>
      </c>
      <c r="R407" s="269">
        <f>((N407/L407)/19)*('Piping W.L.'!$F$41+'Piping W.L.'!$F$42+'Piping W.L.'!$F$43+'Piping W.L.'!$F$44)</f>
        <v>8.979676915059926</v>
      </c>
      <c r="S407" s="269">
        <f t="shared" si="260"/>
        <v>9069.4736842105249</v>
      </c>
      <c r="T407" s="357">
        <f t="shared" si="264"/>
        <v>2.8349693602197284E-2</v>
      </c>
      <c r="U407" s="361">
        <f t="shared" si="261"/>
        <v>1</v>
      </c>
      <c r="V407" s="357">
        <f t="shared" si="262"/>
        <v>0</v>
      </c>
      <c r="W407" s="357">
        <f t="shared" si="263"/>
        <v>2.8349693602197284E-2</v>
      </c>
      <c r="X407" s="357">
        <f t="shared" si="263"/>
        <v>0</v>
      </c>
      <c r="Y407" s="198">
        <f t="shared" si="253"/>
        <v>2154</v>
      </c>
      <c r="Z407" s="435"/>
      <c r="AC407" s="267"/>
    </row>
    <row r="408" spans="8:29" x14ac:dyDescent="0.25">
      <c r="H408" s="268" t="s">
        <v>787</v>
      </c>
      <c r="I408" s="397" t="s">
        <v>159</v>
      </c>
      <c r="J408" s="372">
        <v>45010</v>
      </c>
      <c r="K408" s="372">
        <v>45250</v>
      </c>
      <c r="L408" s="268">
        <f t="shared" si="222"/>
        <v>241</v>
      </c>
      <c r="M408" s="268" t="s">
        <v>1181</v>
      </c>
      <c r="N408" s="268">
        <v>20000</v>
      </c>
      <c r="O408" s="268"/>
      <c r="P408" s="269">
        <f t="shared" si="259"/>
        <v>202105.26315789472</v>
      </c>
      <c r="Q408" s="269">
        <v>24</v>
      </c>
      <c r="R408" s="269">
        <f>((N408/L408)/19)*('Piping W.L.'!$F$41+'Piping W.L.'!$F$42+'Piping W.L.'!$F$43+'Piping W.L.'!$F$44)</f>
        <v>34.942127101987332</v>
      </c>
      <c r="S408" s="269">
        <f t="shared" si="260"/>
        <v>202105.26315789472</v>
      </c>
      <c r="T408" s="357">
        <f t="shared" si="264"/>
        <v>0.63174804684562191</v>
      </c>
      <c r="U408" s="361">
        <f t="shared" si="261"/>
        <v>1</v>
      </c>
      <c r="V408" s="357">
        <f t="shared" si="262"/>
        <v>0</v>
      </c>
      <c r="W408" s="357">
        <f t="shared" si="263"/>
        <v>0.63174804684562191</v>
      </c>
      <c r="X408" s="357">
        <f t="shared" si="263"/>
        <v>0</v>
      </c>
      <c r="Y408" s="198">
        <f t="shared" si="253"/>
        <v>20000</v>
      </c>
      <c r="Z408" s="435"/>
      <c r="AC408" s="267"/>
    </row>
    <row r="409" spans="8:29" x14ac:dyDescent="0.25">
      <c r="H409" s="268" t="s">
        <v>788</v>
      </c>
      <c r="I409" s="397" t="s">
        <v>789</v>
      </c>
      <c r="J409" s="372">
        <v>45147</v>
      </c>
      <c r="K409" s="372">
        <v>45251</v>
      </c>
      <c r="L409" s="268">
        <f t="shared" si="222"/>
        <v>105</v>
      </c>
      <c r="M409" s="268" t="s">
        <v>1181</v>
      </c>
      <c r="N409" s="268">
        <v>5000</v>
      </c>
      <c r="O409" s="268"/>
      <c r="P409" s="269">
        <f t="shared" si="259"/>
        <v>21052.631578947367</v>
      </c>
      <c r="Q409" s="269">
        <v>10</v>
      </c>
      <c r="R409" s="269">
        <f>((N409/L409)/19)*('Piping W.L.'!$F$41+'Piping W.L.'!$F$42+'Piping W.L.'!$F$43+'Piping W.L.'!$F$44)</f>
        <v>20.050125313283207</v>
      </c>
      <c r="S409" s="269">
        <f t="shared" si="260"/>
        <v>21052.631578947367</v>
      </c>
      <c r="T409" s="357">
        <f t="shared" si="264"/>
        <v>6.5807088213085618E-2</v>
      </c>
      <c r="U409" s="361">
        <f t="shared" si="261"/>
        <v>1</v>
      </c>
      <c r="V409" s="357">
        <f t="shared" si="262"/>
        <v>0</v>
      </c>
      <c r="W409" s="357">
        <f t="shared" si="263"/>
        <v>6.5807088213085618E-2</v>
      </c>
      <c r="X409" s="357">
        <f t="shared" si="263"/>
        <v>0</v>
      </c>
      <c r="Y409" s="198">
        <f t="shared" si="253"/>
        <v>5000</v>
      </c>
      <c r="Z409" s="435"/>
      <c r="AC409" s="267"/>
    </row>
    <row r="410" spans="8:29" x14ac:dyDescent="0.25">
      <c r="H410" s="268" t="s">
        <v>790</v>
      </c>
      <c r="I410" s="397" t="s">
        <v>169</v>
      </c>
      <c r="J410" s="372">
        <v>45206</v>
      </c>
      <c r="K410" s="372">
        <v>45251</v>
      </c>
      <c r="L410" s="268">
        <f t="shared" si="222"/>
        <v>46</v>
      </c>
      <c r="M410" s="268" t="s">
        <v>1181</v>
      </c>
      <c r="N410" s="268">
        <v>1500</v>
      </c>
      <c r="O410" s="268"/>
      <c r="P410" s="269">
        <f t="shared" si="259"/>
        <v>6315.7894736842109</v>
      </c>
      <c r="Q410" s="269">
        <v>10</v>
      </c>
      <c r="R410" s="269">
        <f>((N410/L410)/19)*('Piping W.L.'!$F$41+'Piping W.L.'!$F$42+'Piping W.L.'!$F$43+'Piping W.L.'!$F$44)</f>
        <v>13.729977116704806</v>
      </c>
      <c r="S410" s="269">
        <f t="shared" si="260"/>
        <v>6315.7894736842109</v>
      </c>
      <c r="T410" s="357">
        <f t="shared" si="264"/>
        <v>1.9742126463925688E-2</v>
      </c>
      <c r="U410" s="361">
        <f t="shared" si="261"/>
        <v>1</v>
      </c>
      <c r="V410" s="357">
        <f t="shared" si="262"/>
        <v>0</v>
      </c>
      <c r="W410" s="357">
        <f t="shared" si="263"/>
        <v>1.9742126463925688E-2</v>
      </c>
      <c r="X410" s="357">
        <f t="shared" si="263"/>
        <v>0</v>
      </c>
      <c r="Y410" s="198">
        <f t="shared" si="253"/>
        <v>1500</v>
      </c>
      <c r="Z410" s="435"/>
      <c r="AC410" s="267"/>
    </row>
    <row r="411" spans="8:29" x14ac:dyDescent="0.25">
      <c r="H411" s="268" t="s">
        <v>791</v>
      </c>
      <c r="I411" s="397" t="s">
        <v>168</v>
      </c>
      <c r="J411" s="372">
        <v>45174</v>
      </c>
      <c r="K411" s="372">
        <v>45260</v>
      </c>
      <c r="L411" s="268">
        <f t="shared" si="222"/>
        <v>87</v>
      </c>
      <c r="M411" s="268" t="s">
        <v>26</v>
      </c>
      <c r="N411" s="268">
        <v>170</v>
      </c>
      <c r="O411" s="268"/>
      <c r="P411" s="269">
        <f t="shared" si="259"/>
        <v>3885.7142857142858</v>
      </c>
      <c r="Q411" s="269">
        <v>10</v>
      </c>
      <c r="R411" s="269">
        <f>((N411/L411)/7)*(8)*2</f>
        <v>4.4663382594417076</v>
      </c>
      <c r="S411" s="269">
        <f t="shared" si="260"/>
        <v>3885.7142857142858</v>
      </c>
      <c r="T411" s="362">
        <f t="shared" si="264"/>
        <v>1.2146108281615234E-2</v>
      </c>
      <c r="U411" s="361">
        <f t="shared" si="261"/>
        <v>1</v>
      </c>
      <c r="V411" s="357">
        <f t="shared" si="262"/>
        <v>0</v>
      </c>
      <c r="W411" s="357">
        <f t="shared" si="263"/>
        <v>1.2146108281615234E-2</v>
      </c>
      <c r="X411" s="357">
        <f t="shared" si="263"/>
        <v>0</v>
      </c>
      <c r="Y411" s="198">
        <f t="shared" si="253"/>
        <v>170</v>
      </c>
      <c r="Z411" s="435"/>
      <c r="AC411" s="267"/>
    </row>
    <row r="412" spans="8:29" x14ac:dyDescent="0.25">
      <c r="H412" s="520" t="s">
        <v>792</v>
      </c>
      <c r="I412" s="521"/>
      <c r="J412" s="375">
        <v>45059</v>
      </c>
      <c r="K412" s="375">
        <v>45291</v>
      </c>
      <c r="L412" s="374">
        <f t="shared" si="222"/>
        <v>233</v>
      </c>
      <c r="M412" s="374"/>
      <c r="N412" s="374"/>
      <c r="O412" s="374"/>
      <c r="P412" s="386">
        <f>P413+P414</f>
        <v>69991.578947368427</v>
      </c>
      <c r="Q412" s="386"/>
      <c r="R412" s="386"/>
      <c r="S412" s="386">
        <f>S413+S414</f>
        <v>69991.578947368427</v>
      </c>
      <c r="T412" s="376">
        <f>S412/S391</f>
        <v>0.15328992400545047</v>
      </c>
      <c r="U412" s="380"/>
      <c r="V412" s="376"/>
      <c r="W412" s="376">
        <f>W413+W414</f>
        <v>0.99811742058310415</v>
      </c>
      <c r="X412" s="376">
        <f>X413+X414</f>
        <v>0</v>
      </c>
      <c r="Y412" s="198">
        <f t="shared" si="253"/>
        <v>0</v>
      </c>
      <c r="Z412" s="435"/>
      <c r="AC412" s="267"/>
    </row>
    <row r="413" spans="8:29" x14ac:dyDescent="0.25">
      <c r="H413" s="268" t="s">
        <v>793</v>
      </c>
      <c r="I413" s="397" t="s">
        <v>163</v>
      </c>
      <c r="J413" s="372">
        <v>45059</v>
      </c>
      <c r="K413" s="372">
        <v>45274</v>
      </c>
      <c r="L413" s="268">
        <f t="shared" si="222"/>
        <v>216</v>
      </c>
      <c r="M413" s="268" t="s">
        <v>1181</v>
      </c>
      <c r="N413" s="268">
        <v>16243</v>
      </c>
      <c r="O413" s="268"/>
      <c r="P413" s="269">
        <f t="shared" ref="P413:P414" si="265">L413*Q413*R413</f>
        <v>68391.578947368427</v>
      </c>
      <c r="Q413" s="269">
        <v>10</v>
      </c>
      <c r="R413" s="269">
        <f>((N413/L413)/19)*('Piping W.L.'!$F$41+'Piping W.L.'!$F$42+'Piping W.L.'!$F$43+'Piping W.L.'!$F$44)</f>
        <v>31.662768031189085</v>
      </c>
      <c r="S413" s="269">
        <f>P413</f>
        <v>68391.578947368427</v>
      </c>
      <c r="T413" s="381">
        <f>S413/S412</f>
        <v>0.97714010708055099</v>
      </c>
      <c r="U413" s="361">
        <f t="shared" ref="U413:U414" si="266">IF($J413&gt;U$5,0,IF($K413&lt;U$5,1,IF(U$5=$K413,1,((U$5-$J413+1)/($K413-$J413+1)))))</f>
        <v>1</v>
      </c>
      <c r="V413" s="357">
        <f>IFERROR(O413/N413,0)</f>
        <v>0</v>
      </c>
      <c r="W413" s="357">
        <f t="shared" ref="W413:X414" si="267">U413*$T413</f>
        <v>0.97714010708055099</v>
      </c>
      <c r="X413" s="357">
        <f t="shared" si="267"/>
        <v>0</v>
      </c>
      <c r="Y413" s="198">
        <f t="shared" si="253"/>
        <v>16243</v>
      </c>
      <c r="Z413" s="435"/>
      <c r="AC413" s="267"/>
    </row>
    <row r="414" spans="8:29" x14ac:dyDescent="0.25">
      <c r="H414" s="268" t="s">
        <v>794</v>
      </c>
      <c r="I414" s="397" t="s">
        <v>170</v>
      </c>
      <c r="J414" s="372">
        <v>45207</v>
      </c>
      <c r="K414" s="372">
        <v>45291</v>
      </c>
      <c r="L414" s="268">
        <f t="shared" si="222"/>
        <v>85</v>
      </c>
      <c r="M414" s="268" t="s">
        <v>26</v>
      </c>
      <c r="N414" s="268">
        <v>70</v>
      </c>
      <c r="O414" s="268"/>
      <c r="P414" s="269">
        <f t="shared" si="265"/>
        <v>1600</v>
      </c>
      <c r="Q414" s="269">
        <v>10</v>
      </c>
      <c r="R414" s="269">
        <f>((N414/L414)/7)*(8)*2</f>
        <v>1.8823529411764706</v>
      </c>
      <c r="S414" s="269">
        <f>P414</f>
        <v>1600</v>
      </c>
      <c r="T414" s="390">
        <f>S414/S412</f>
        <v>2.2859892919448954E-2</v>
      </c>
      <c r="U414" s="361">
        <f t="shared" si="266"/>
        <v>0.91764705882352937</v>
      </c>
      <c r="V414" s="357">
        <f>IFERROR(O414/N414,0)</f>
        <v>0</v>
      </c>
      <c r="W414" s="357">
        <f t="shared" si="267"/>
        <v>2.0977313502553156E-2</v>
      </c>
      <c r="X414" s="357">
        <f t="shared" si="267"/>
        <v>0</v>
      </c>
      <c r="Y414" s="198">
        <f t="shared" si="253"/>
        <v>64.235294117647058</v>
      </c>
      <c r="Z414" s="435"/>
      <c r="AC414" s="267"/>
    </row>
    <row r="415" spans="8:29" x14ac:dyDescent="0.25">
      <c r="H415" s="510" t="s">
        <v>795</v>
      </c>
      <c r="I415" s="511"/>
      <c r="J415" s="392">
        <v>44706</v>
      </c>
      <c r="K415" s="392">
        <v>45199</v>
      </c>
      <c r="L415" s="368">
        <f t="shared" si="222"/>
        <v>494</v>
      </c>
      <c r="M415" s="368"/>
      <c r="N415" s="368"/>
      <c r="O415" s="368"/>
      <c r="P415" s="400">
        <f>P416+P423</f>
        <v>179288.15999999997</v>
      </c>
      <c r="Q415" s="400"/>
      <c r="R415" s="400"/>
      <c r="S415" s="400">
        <f>P415</f>
        <v>179288.15999999997</v>
      </c>
      <c r="T415" s="356">
        <f>S415/S350</f>
        <v>0.13933734917693577</v>
      </c>
      <c r="U415" s="356"/>
      <c r="V415" s="402"/>
      <c r="W415" s="356">
        <f>W416*T416+W423*T423</f>
        <v>0.99999999999999978</v>
      </c>
      <c r="X415" s="356">
        <f>X416*T416+X423*T423</f>
        <v>4.8250191200579003E-2</v>
      </c>
      <c r="Y415" s="198">
        <f t="shared" si="253"/>
        <v>0</v>
      </c>
      <c r="Z415" s="435"/>
      <c r="AC415" s="267"/>
    </row>
    <row r="416" spans="8:29" x14ac:dyDescent="0.25">
      <c r="H416" s="518" t="s">
        <v>1199</v>
      </c>
      <c r="I416" s="519"/>
      <c r="J416" s="370">
        <v>44706</v>
      </c>
      <c r="K416" s="370">
        <v>45064</v>
      </c>
      <c r="L416" s="369">
        <f t="shared" si="222"/>
        <v>359</v>
      </c>
      <c r="M416" s="369"/>
      <c r="N416" s="369"/>
      <c r="O416" s="369"/>
      <c r="P416" s="385">
        <f>P417+P418+P419+P420+P421+P422</f>
        <v>17394.400000000001</v>
      </c>
      <c r="Q416" s="385"/>
      <c r="R416" s="385"/>
      <c r="S416" s="385">
        <f>S417+S418+S419+S420+S421+S422</f>
        <v>17394.400000000001</v>
      </c>
      <c r="T416" s="363">
        <f>S416/S415</f>
        <v>9.7019234287417558E-2</v>
      </c>
      <c r="U416" s="363">
        <f t="shared" ref="U416:U423" si="268">IF($J416&gt;U$5,0,IF($K416&lt;U$5,1,IF(U$5=$K416,1,((U$5-$J416+1)/($K416-$J416+1)))))</f>
        <v>1</v>
      </c>
      <c r="V416" s="363">
        <f t="shared" ref="V416:V423" si="269">IFERROR(O416/N416,0)</f>
        <v>0</v>
      </c>
      <c r="W416" s="363">
        <f>W417+W418+W419+W420+W421+W422</f>
        <v>1</v>
      </c>
      <c r="X416" s="363">
        <f>X417+X418+X419+X420+X421+X422</f>
        <v>0.49732603596559799</v>
      </c>
      <c r="Y416" s="198">
        <f t="shared" si="253"/>
        <v>0</v>
      </c>
      <c r="Z416" s="435"/>
      <c r="AC416" s="267"/>
    </row>
    <row r="417" spans="8:29" x14ac:dyDescent="0.25">
      <c r="H417" s="268" t="s">
        <v>796</v>
      </c>
      <c r="I417" s="397" t="s">
        <v>797</v>
      </c>
      <c r="J417" s="372">
        <v>44706</v>
      </c>
      <c r="K417" s="372">
        <v>44929</v>
      </c>
      <c r="L417" s="268">
        <f t="shared" ref="L417:L480" si="270">K417-J417+1</f>
        <v>224</v>
      </c>
      <c r="M417" s="268" t="s">
        <v>1183</v>
      </c>
      <c r="N417" s="268">
        <v>100</v>
      </c>
      <c r="O417" s="268">
        <v>25</v>
      </c>
      <c r="P417" s="269">
        <f t="shared" ref="P417:P422" si="271">L417*Q417*R417</f>
        <v>3046.4</v>
      </c>
      <c r="Q417" s="269">
        <v>8</v>
      </c>
      <c r="R417" s="269">
        <v>1.7</v>
      </c>
      <c r="S417" s="269">
        <f t="shared" ref="S417:S422" si="272">P417</f>
        <v>3046.4</v>
      </c>
      <c r="T417" s="357">
        <f>S417/$S$416</f>
        <v>0.17513682564503519</v>
      </c>
      <c r="U417" s="361">
        <f t="shared" si="268"/>
        <v>1</v>
      </c>
      <c r="V417" s="357">
        <f t="shared" si="269"/>
        <v>0.25</v>
      </c>
      <c r="W417" s="357">
        <f t="shared" ref="W417:X422" si="273">U417*$T417</f>
        <v>0.17513682564503519</v>
      </c>
      <c r="X417" s="357">
        <f t="shared" si="273"/>
        <v>4.3784206411258797E-2</v>
      </c>
      <c r="Y417" s="198">
        <f t="shared" si="253"/>
        <v>100</v>
      </c>
      <c r="Z417" s="435"/>
      <c r="AC417" s="267"/>
    </row>
    <row r="418" spans="8:29" x14ac:dyDescent="0.25">
      <c r="H418" s="268" t="s">
        <v>798</v>
      </c>
      <c r="I418" s="397" t="s">
        <v>1191</v>
      </c>
      <c r="J418" s="372">
        <v>44745</v>
      </c>
      <c r="K418" s="372">
        <v>44984</v>
      </c>
      <c r="L418" s="268">
        <f t="shared" si="270"/>
        <v>240</v>
      </c>
      <c r="M418" s="268" t="s">
        <v>1183</v>
      </c>
      <c r="N418" s="268">
        <v>100</v>
      </c>
      <c r="O418" s="268">
        <v>90.5</v>
      </c>
      <c r="P418" s="269">
        <f t="shared" si="271"/>
        <v>3264</v>
      </c>
      <c r="Q418" s="269">
        <v>8</v>
      </c>
      <c r="R418" s="269">
        <v>1.7</v>
      </c>
      <c r="S418" s="269">
        <f t="shared" si="272"/>
        <v>3264</v>
      </c>
      <c r="T418" s="357">
        <f t="shared" ref="T418:T422" si="274">S418/$S$416</f>
        <v>0.18764659890539481</v>
      </c>
      <c r="U418" s="361">
        <f t="shared" si="268"/>
        <v>1</v>
      </c>
      <c r="V418" s="357">
        <f t="shared" si="269"/>
        <v>0.90500000000000003</v>
      </c>
      <c r="W418" s="357">
        <f t="shared" si="273"/>
        <v>0.18764659890539481</v>
      </c>
      <c r="X418" s="357">
        <f t="shared" si="273"/>
        <v>0.16982017200938232</v>
      </c>
      <c r="Y418" s="198">
        <f t="shared" si="253"/>
        <v>100</v>
      </c>
      <c r="Z418" s="435"/>
      <c r="AC418" s="267"/>
    </row>
    <row r="419" spans="8:29" x14ac:dyDescent="0.25">
      <c r="H419" s="268" t="s">
        <v>799</v>
      </c>
      <c r="I419" s="397" t="s">
        <v>1192</v>
      </c>
      <c r="J419" s="372">
        <v>44745</v>
      </c>
      <c r="K419" s="372">
        <v>44895</v>
      </c>
      <c r="L419" s="268">
        <f t="shared" si="270"/>
        <v>151</v>
      </c>
      <c r="M419" s="268" t="s">
        <v>1183</v>
      </c>
      <c r="N419" s="268">
        <v>100</v>
      </c>
      <c r="O419" s="268">
        <v>80</v>
      </c>
      <c r="P419" s="269">
        <f t="shared" si="271"/>
        <v>2053.6</v>
      </c>
      <c r="Q419" s="269">
        <v>8</v>
      </c>
      <c r="R419" s="269">
        <v>1.7</v>
      </c>
      <c r="S419" s="269">
        <f t="shared" si="272"/>
        <v>2053.6</v>
      </c>
      <c r="T419" s="357">
        <f t="shared" si="274"/>
        <v>0.11806098514464423</v>
      </c>
      <c r="U419" s="361">
        <f t="shared" si="268"/>
        <v>1</v>
      </c>
      <c r="V419" s="357">
        <f t="shared" si="269"/>
        <v>0.8</v>
      </c>
      <c r="W419" s="357">
        <f t="shared" si="273"/>
        <v>0.11806098514464423</v>
      </c>
      <c r="X419" s="357">
        <f t="shared" si="273"/>
        <v>9.4448788115715387E-2</v>
      </c>
      <c r="Y419" s="198">
        <f t="shared" si="253"/>
        <v>100</v>
      </c>
      <c r="Z419" s="435"/>
      <c r="AC419" s="267"/>
    </row>
    <row r="420" spans="8:29" x14ac:dyDescent="0.25">
      <c r="H420" s="268" t="s">
        <v>800</v>
      </c>
      <c r="I420" s="397" t="s">
        <v>801</v>
      </c>
      <c r="J420" s="372">
        <v>44866</v>
      </c>
      <c r="K420" s="372">
        <v>44986</v>
      </c>
      <c r="L420" s="268">
        <f t="shared" si="270"/>
        <v>121</v>
      </c>
      <c r="M420" s="268" t="s">
        <v>1183</v>
      </c>
      <c r="N420" s="268">
        <v>100</v>
      </c>
      <c r="O420" s="268">
        <v>43</v>
      </c>
      <c r="P420" s="269">
        <f t="shared" si="271"/>
        <v>1645.6</v>
      </c>
      <c r="Q420" s="269">
        <v>8</v>
      </c>
      <c r="R420" s="269">
        <v>1.7</v>
      </c>
      <c r="S420" s="269">
        <f t="shared" si="272"/>
        <v>1645.6</v>
      </c>
      <c r="T420" s="357">
        <f t="shared" si="274"/>
        <v>9.4605160281469883E-2</v>
      </c>
      <c r="U420" s="361">
        <f t="shared" si="268"/>
        <v>1</v>
      </c>
      <c r="V420" s="357">
        <f t="shared" si="269"/>
        <v>0.43</v>
      </c>
      <c r="W420" s="357">
        <f t="shared" si="273"/>
        <v>9.4605160281469883E-2</v>
      </c>
      <c r="X420" s="357">
        <f t="shared" si="273"/>
        <v>4.0680218921032046E-2</v>
      </c>
      <c r="Y420" s="198">
        <f t="shared" si="253"/>
        <v>100</v>
      </c>
      <c r="Z420" s="435"/>
      <c r="AC420" s="267"/>
    </row>
    <row r="421" spans="8:29" x14ac:dyDescent="0.25">
      <c r="H421" s="268" t="s">
        <v>802</v>
      </c>
      <c r="I421" s="397" t="s">
        <v>803</v>
      </c>
      <c r="J421" s="372">
        <v>44706</v>
      </c>
      <c r="K421" s="372">
        <v>45049</v>
      </c>
      <c r="L421" s="268">
        <f t="shared" si="270"/>
        <v>344</v>
      </c>
      <c r="M421" s="268" t="s">
        <v>1183</v>
      </c>
      <c r="N421" s="268">
        <v>100</v>
      </c>
      <c r="O421" s="268">
        <v>35</v>
      </c>
      <c r="P421" s="269">
        <f t="shared" si="271"/>
        <v>4678.3999999999996</v>
      </c>
      <c r="Q421" s="269">
        <v>8</v>
      </c>
      <c r="R421" s="269">
        <v>1.7</v>
      </c>
      <c r="S421" s="269">
        <f t="shared" si="272"/>
        <v>4678.3999999999996</v>
      </c>
      <c r="T421" s="357">
        <f t="shared" si="274"/>
        <v>0.26896012509773254</v>
      </c>
      <c r="U421" s="361">
        <f t="shared" si="268"/>
        <v>1</v>
      </c>
      <c r="V421" s="357">
        <f t="shared" si="269"/>
        <v>0.35</v>
      </c>
      <c r="W421" s="357">
        <f t="shared" si="273"/>
        <v>0.26896012509773254</v>
      </c>
      <c r="X421" s="357">
        <f t="shared" si="273"/>
        <v>9.4136043784206383E-2</v>
      </c>
      <c r="Y421" s="198">
        <f t="shared" si="253"/>
        <v>100</v>
      </c>
      <c r="Z421" s="435"/>
      <c r="AC421" s="267"/>
    </row>
    <row r="422" spans="8:29" x14ac:dyDescent="0.25">
      <c r="H422" s="268" t="s">
        <v>804</v>
      </c>
      <c r="I422" s="397" t="s">
        <v>805</v>
      </c>
      <c r="J422" s="372">
        <v>44866</v>
      </c>
      <c r="K422" s="372">
        <v>45064</v>
      </c>
      <c r="L422" s="268">
        <f t="shared" si="270"/>
        <v>199</v>
      </c>
      <c r="M422" s="268" t="s">
        <v>1183</v>
      </c>
      <c r="N422" s="268">
        <v>100</v>
      </c>
      <c r="O422" s="268">
        <v>35</v>
      </c>
      <c r="P422" s="269">
        <f t="shared" si="271"/>
        <v>2706.4</v>
      </c>
      <c r="Q422" s="269">
        <v>8</v>
      </c>
      <c r="R422" s="269">
        <v>1.7</v>
      </c>
      <c r="S422" s="269">
        <f t="shared" si="272"/>
        <v>2706.4</v>
      </c>
      <c r="T422" s="357">
        <f t="shared" si="274"/>
        <v>0.15559030492572321</v>
      </c>
      <c r="U422" s="361">
        <f t="shared" si="268"/>
        <v>1</v>
      </c>
      <c r="V422" s="357">
        <f t="shared" si="269"/>
        <v>0.35</v>
      </c>
      <c r="W422" s="357">
        <f t="shared" si="273"/>
        <v>0.15559030492572321</v>
      </c>
      <c r="X422" s="357">
        <f t="shared" si="273"/>
        <v>5.4456606724003119E-2</v>
      </c>
      <c r="Y422" s="198">
        <f t="shared" si="253"/>
        <v>100</v>
      </c>
      <c r="Z422" s="435"/>
      <c r="AC422" s="267"/>
    </row>
    <row r="423" spans="8:29" x14ac:dyDescent="0.25">
      <c r="H423" s="526" t="s">
        <v>806</v>
      </c>
      <c r="I423" s="527"/>
      <c r="J423" s="370">
        <v>44996</v>
      </c>
      <c r="K423" s="370">
        <v>45199</v>
      </c>
      <c r="L423" s="369">
        <f t="shared" si="270"/>
        <v>204</v>
      </c>
      <c r="M423" s="369"/>
      <c r="N423" s="369"/>
      <c r="O423" s="369"/>
      <c r="P423" s="385">
        <f>P424+P426+P548</f>
        <v>161893.75999999998</v>
      </c>
      <c r="Q423" s="385"/>
      <c r="R423" s="385"/>
      <c r="S423" s="385">
        <f>S424+S426+S548</f>
        <v>161893.75999999998</v>
      </c>
      <c r="T423" s="371">
        <f>S423/S415</f>
        <v>0.90298076571258246</v>
      </c>
      <c r="U423" s="363">
        <f t="shared" si="268"/>
        <v>1</v>
      </c>
      <c r="V423" s="371">
        <f t="shared" si="269"/>
        <v>0</v>
      </c>
      <c r="W423" s="371">
        <f>W424*T424+W426*T426+W548*T548</f>
        <v>0.99999999999999978</v>
      </c>
      <c r="X423" s="371">
        <f>X424*T424+X426*T426+X548*T548</f>
        <v>0</v>
      </c>
      <c r="Y423" s="198">
        <f t="shared" si="253"/>
        <v>0</v>
      </c>
      <c r="Z423" s="435"/>
      <c r="AC423" s="267"/>
    </row>
    <row r="424" spans="8:29" x14ac:dyDescent="0.25">
      <c r="H424" s="520" t="s">
        <v>807</v>
      </c>
      <c r="I424" s="521"/>
      <c r="J424" s="375">
        <v>44996</v>
      </c>
      <c r="K424" s="375">
        <v>45064</v>
      </c>
      <c r="L424" s="374">
        <f t="shared" si="270"/>
        <v>69</v>
      </c>
      <c r="M424" s="374"/>
      <c r="N424" s="374"/>
      <c r="O424" s="374"/>
      <c r="P424" s="386">
        <f>P425</f>
        <v>2060</v>
      </c>
      <c r="Q424" s="386"/>
      <c r="R424" s="386"/>
      <c r="S424" s="386">
        <f>S425</f>
        <v>2060</v>
      </c>
      <c r="T424" s="394">
        <f>S424/$S$423</f>
        <v>1.2724394071766572E-2</v>
      </c>
      <c r="U424" s="380"/>
      <c r="V424" s="376"/>
      <c r="W424" s="376">
        <f>W425</f>
        <v>1</v>
      </c>
      <c r="X424" s="376">
        <f>X425</f>
        <v>0</v>
      </c>
      <c r="Y424" s="198">
        <f t="shared" si="253"/>
        <v>0</v>
      </c>
      <c r="Z424" s="435"/>
      <c r="AC424" s="267"/>
    </row>
    <row r="425" spans="8:29" x14ac:dyDescent="0.25">
      <c r="H425" s="268" t="s">
        <v>808</v>
      </c>
      <c r="I425" s="397" t="s">
        <v>809</v>
      </c>
      <c r="J425" s="372">
        <v>44996</v>
      </c>
      <c r="K425" s="372">
        <v>45064</v>
      </c>
      <c r="L425" s="268">
        <f t="shared" si="270"/>
        <v>69</v>
      </c>
      <c r="M425" s="268" t="s">
        <v>1182</v>
      </c>
      <c r="N425" s="268">
        <f>N433+N456+N477+N502+N527</f>
        <v>1030</v>
      </c>
      <c r="O425" s="268"/>
      <c r="P425" s="269">
        <f t="shared" ref="P425" si="275">L425*Q425*R425</f>
        <v>2060</v>
      </c>
      <c r="Q425" s="269">
        <v>10</v>
      </c>
      <c r="R425" s="269">
        <f>((N425/L425)/10)*(1+1)</f>
        <v>2.9855072463768115</v>
      </c>
      <c r="S425" s="269">
        <f>P425</f>
        <v>2060</v>
      </c>
      <c r="T425" s="357">
        <f>S425/S424</f>
        <v>1</v>
      </c>
      <c r="U425" s="361">
        <f t="shared" ref="U425" si="276">IF($J425&gt;U$5,0,IF($K425&lt;U$5,1,IF(U$5=$K425,1,((U$5-$J425+1)/($K425-$J425+1)))))</f>
        <v>1</v>
      </c>
      <c r="V425" s="357">
        <f>IFERROR(O425/N425,0)</f>
        <v>0</v>
      </c>
      <c r="W425" s="357">
        <f t="shared" ref="W425:X425" si="277">U425*$T425</f>
        <v>1</v>
      </c>
      <c r="X425" s="357">
        <f t="shared" si="277"/>
        <v>0</v>
      </c>
      <c r="Y425" s="198">
        <f t="shared" si="253"/>
        <v>1030</v>
      </c>
      <c r="Z425" s="435"/>
      <c r="AC425" s="267"/>
    </row>
    <row r="426" spans="8:29" x14ac:dyDescent="0.25">
      <c r="H426" s="520" t="s">
        <v>810</v>
      </c>
      <c r="I426" s="521"/>
      <c r="J426" s="375">
        <v>45007</v>
      </c>
      <c r="K426" s="375">
        <v>45196</v>
      </c>
      <c r="L426" s="374">
        <f t="shared" si="270"/>
        <v>190</v>
      </c>
      <c r="M426" s="374"/>
      <c r="N426" s="374"/>
      <c r="O426" s="374"/>
      <c r="P426" s="386">
        <f>P427+P450+P473+P498+P523</f>
        <v>159833.75999999998</v>
      </c>
      <c r="Q426" s="386"/>
      <c r="R426" s="386"/>
      <c r="S426" s="386">
        <f>S427+S450+S473+S498+S523</f>
        <v>159833.75999999998</v>
      </c>
      <c r="T426" s="376">
        <f>S426/$S$423</f>
        <v>0.98727560592823338</v>
      </c>
      <c r="U426" s="380"/>
      <c r="V426" s="376"/>
      <c r="W426" s="376">
        <f>W427*T427+W450*T450+W473*T473+W498*T498+W523*T523</f>
        <v>0.99999999999999978</v>
      </c>
      <c r="X426" s="376">
        <f>X427*T427+X450*T450+X473*T473+X498*T498+X523*T523</f>
        <v>0</v>
      </c>
      <c r="Y426" s="198">
        <f t="shared" si="253"/>
        <v>0</v>
      </c>
      <c r="Z426" s="435"/>
      <c r="AC426" s="267"/>
    </row>
    <row r="427" spans="8:29" x14ac:dyDescent="0.25">
      <c r="H427" s="522" t="s">
        <v>811</v>
      </c>
      <c r="I427" s="523"/>
      <c r="J427" s="378">
        <v>45007</v>
      </c>
      <c r="K427" s="378">
        <v>45187</v>
      </c>
      <c r="L427" s="377">
        <f t="shared" si="270"/>
        <v>181</v>
      </c>
      <c r="M427" s="377"/>
      <c r="N427" s="377"/>
      <c r="O427" s="377"/>
      <c r="P427" s="387">
        <f>P428+P443</f>
        <v>51394.533333333333</v>
      </c>
      <c r="Q427" s="387"/>
      <c r="R427" s="387"/>
      <c r="S427" s="387">
        <f>S428+S443</f>
        <v>51394.533333333333</v>
      </c>
      <c r="T427" s="379">
        <f>S427/$S$426</f>
        <v>0.32154992370406188</v>
      </c>
      <c r="U427" s="382"/>
      <c r="V427" s="379"/>
      <c r="W427" s="379">
        <f>W428*T428+W443*T443</f>
        <v>0.99999999999999989</v>
      </c>
      <c r="X427" s="379">
        <f>X428*T428+X443*T443</f>
        <v>0</v>
      </c>
      <c r="Y427" s="198">
        <f t="shared" si="253"/>
        <v>0</v>
      </c>
      <c r="Z427" s="435"/>
      <c r="AC427" s="267"/>
    </row>
    <row r="428" spans="8:29" x14ac:dyDescent="0.25">
      <c r="H428" s="528" t="s">
        <v>812</v>
      </c>
      <c r="I428" s="529"/>
      <c r="J428" s="384">
        <v>45007</v>
      </c>
      <c r="K428" s="384">
        <v>45187</v>
      </c>
      <c r="L428" s="383">
        <f t="shared" si="270"/>
        <v>181</v>
      </c>
      <c r="M428" s="383"/>
      <c r="N428" s="383"/>
      <c r="O428" s="383"/>
      <c r="P428" s="391">
        <f>SUM(P429:P442)</f>
        <v>44683.199999999997</v>
      </c>
      <c r="Q428" s="391"/>
      <c r="R428" s="391"/>
      <c r="S428" s="391">
        <f>SUM(S429:S442)</f>
        <v>44683.199999999997</v>
      </c>
      <c r="T428" s="388">
        <f>S428/S427</f>
        <v>0.8694154242085409</v>
      </c>
      <c r="U428" s="383"/>
      <c r="V428" s="388"/>
      <c r="W428" s="388">
        <f>SUM(W429:W442)</f>
        <v>1</v>
      </c>
      <c r="X428" s="388">
        <f>SUM(X429:X442)</f>
        <v>0</v>
      </c>
      <c r="Y428" s="198">
        <f t="shared" si="253"/>
        <v>0</v>
      </c>
      <c r="Z428" s="435"/>
      <c r="AC428" s="267"/>
    </row>
    <row r="429" spans="8:29" x14ac:dyDescent="0.25">
      <c r="H429" s="268" t="s">
        <v>813</v>
      </c>
      <c r="I429" s="397" t="s">
        <v>814</v>
      </c>
      <c r="J429" s="372">
        <v>45010</v>
      </c>
      <c r="K429" s="372">
        <v>45012</v>
      </c>
      <c r="L429" s="268">
        <f t="shared" si="270"/>
        <v>3</v>
      </c>
      <c r="M429" s="268" t="s">
        <v>1187</v>
      </c>
      <c r="N429" s="268">
        <v>400</v>
      </c>
      <c r="O429" s="268"/>
      <c r="P429" s="269">
        <f t="shared" ref="P429:P442" si="278">L429*Q429*R429</f>
        <v>100.00000000000001</v>
      </c>
      <c r="Q429" s="269">
        <v>10</v>
      </c>
      <c r="R429" s="269">
        <f>((N429/L429)/400)*(2+2+6)</f>
        <v>3.3333333333333339</v>
      </c>
      <c r="S429" s="269">
        <f t="shared" ref="S429:S442" si="279">P429</f>
        <v>100.00000000000001</v>
      </c>
      <c r="T429" s="362">
        <f>S429/$S$428</f>
        <v>2.2379775844165151E-3</v>
      </c>
      <c r="U429" s="361">
        <f t="shared" ref="U429:U442" si="280">IF($J429&gt;U$5,0,IF($K429&lt;U$5,1,IF(U$5=$K429,1,((U$5-$J429+1)/($K429-$J429+1)))))</f>
        <v>1</v>
      </c>
      <c r="V429" s="357">
        <f t="shared" ref="V429:V442" si="281">IFERROR(O429/N429,0)</f>
        <v>0</v>
      </c>
      <c r="W429" s="357">
        <f t="shared" ref="W429:X442" si="282">U429*$T429</f>
        <v>2.2379775844165151E-3</v>
      </c>
      <c r="X429" s="357">
        <f t="shared" si="282"/>
        <v>0</v>
      </c>
      <c r="Y429" s="198">
        <f t="shared" si="253"/>
        <v>400</v>
      </c>
      <c r="Z429" s="435"/>
      <c r="AC429" s="267"/>
    </row>
    <row r="430" spans="8:29" x14ac:dyDescent="0.25">
      <c r="H430" s="268" t="s">
        <v>815</v>
      </c>
      <c r="I430" s="397" t="s">
        <v>816</v>
      </c>
      <c r="J430" s="372">
        <v>45013</v>
      </c>
      <c r="K430" s="372">
        <v>45028</v>
      </c>
      <c r="L430" s="268">
        <f t="shared" si="270"/>
        <v>16</v>
      </c>
      <c r="M430" s="268" t="s">
        <v>1193</v>
      </c>
      <c r="N430" s="268">
        <v>1500</v>
      </c>
      <c r="O430" s="268"/>
      <c r="P430" s="269">
        <f t="shared" si="278"/>
        <v>600</v>
      </c>
      <c r="Q430" s="269">
        <v>10</v>
      </c>
      <c r="R430" s="269">
        <f>((N430/L430)/100)*(4)</f>
        <v>3.75</v>
      </c>
      <c r="S430" s="269">
        <f t="shared" si="279"/>
        <v>600</v>
      </c>
      <c r="T430" s="357">
        <f t="shared" ref="T430:T442" si="283">S430/$S$428</f>
        <v>1.3427865506499088E-2</v>
      </c>
      <c r="U430" s="361">
        <f t="shared" si="280"/>
        <v>1</v>
      </c>
      <c r="V430" s="357">
        <f t="shared" si="281"/>
        <v>0</v>
      </c>
      <c r="W430" s="357">
        <f t="shared" si="282"/>
        <v>1.3427865506499088E-2</v>
      </c>
      <c r="X430" s="357">
        <f t="shared" si="282"/>
        <v>0</v>
      </c>
      <c r="Y430" s="198">
        <f t="shared" si="253"/>
        <v>1500</v>
      </c>
      <c r="Z430" s="435"/>
      <c r="AC430" s="267"/>
    </row>
    <row r="431" spans="8:29" x14ac:dyDescent="0.25">
      <c r="H431" s="268" t="s">
        <v>817</v>
      </c>
      <c r="I431" s="397" t="s">
        <v>818</v>
      </c>
      <c r="J431" s="372">
        <v>45031</v>
      </c>
      <c r="K431" s="372">
        <v>45039</v>
      </c>
      <c r="L431" s="268">
        <f t="shared" si="270"/>
        <v>9</v>
      </c>
      <c r="M431" s="268" t="s">
        <v>1183</v>
      </c>
      <c r="N431" s="268">
        <v>100</v>
      </c>
      <c r="O431" s="268"/>
      <c r="P431" s="269">
        <f t="shared" si="278"/>
        <v>900</v>
      </c>
      <c r="Q431" s="269">
        <v>10</v>
      </c>
      <c r="R431" s="269">
        <v>10</v>
      </c>
      <c r="S431" s="269">
        <f t="shared" si="279"/>
        <v>900</v>
      </c>
      <c r="T431" s="357">
        <f t="shared" si="283"/>
        <v>2.0141798259748631E-2</v>
      </c>
      <c r="U431" s="361">
        <f t="shared" si="280"/>
        <v>1</v>
      </c>
      <c r="V431" s="357">
        <f t="shared" si="281"/>
        <v>0</v>
      </c>
      <c r="W431" s="357">
        <f t="shared" si="282"/>
        <v>2.0141798259748631E-2</v>
      </c>
      <c r="X431" s="357">
        <f t="shared" si="282"/>
        <v>0</v>
      </c>
      <c r="Y431" s="198">
        <f t="shared" si="253"/>
        <v>100</v>
      </c>
      <c r="Z431" s="435"/>
      <c r="AC431" s="267"/>
    </row>
    <row r="432" spans="8:29" x14ac:dyDescent="0.25">
      <c r="H432" s="268" t="s">
        <v>819</v>
      </c>
      <c r="I432" s="397" t="s">
        <v>820</v>
      </c>
      <c r="J432" s="372">
        <v>45025</v>
      </c>
      <c r="K432" s="372">
        <v>45040</v>
      </c>
      <c r="L432" s="268">
        <f t="shared" si="270"/>
        <v>16</v>
      </c>
      <c r="M432" s="268" t="s">
        <v>1193</v>
      </c>
      <c r="N432" s="268">
        <v>3000</v>
      </c>
      <c r="O432" s="268"/>
      <c r="P432" s="269">
        <f t="shared" si="278"/>
        <v>7200</v>
      </c>
      <c r="Q432" s="269">
        <v>24</v>
      </c>
      <c r="R432" s="269">
        <f>((N432/L432)/25)*(1+1.5)</f>
        <v>18.75</v>
      </c>
      <c r="S432" s="269">
        <f t="shared" si="279"/>
        <v>7200</v>
      </c>
      <c r="T432" s="357">
        <f t="shared" si="283"/>
        <v>0.16113438607798905</v>
      </c>
      <c r="U432" s="361">
        <f t="shared" si="280"/>
        <v>1</v>
      </c>
      <c r="V432" s="357">
        <f t="shared" si="281"/>
        <v>0</v>
      </c>
      <c r="W432" s="357">
        <f t="shared" si="282"/>
        <v>0.16113438607798905</v>
      </c>
      <c r="X432" s="357">
        <f t="shared" si="282"/>
        <v>0</v>
      </c>
      <c r="Y432" s="198">
        <f t="shared" si="253"/>
        <v>3000</v>
      </c>
      <c r="Z432" s="435"/>
      <c r="AC432" s="267"/>
    </row>
    <row r="433" spans="8:29" x14ac:dyDescent="0.25">
      <c r="H433" s="268" t="s">
        <v>821</v>
      </c>
      <c r="I433" s="397" t="s">
        <v>822</v>
      </c>
      <c r="J433" s="372">
        <v>45007</v>
      </c>
      <c r="K433" s="372">
        <v>45041</v>
      </c>
      <c r="L433" s="268">
        <f t="shared" si="270"/>
        <v>35</v>
      </c>
      <c r="M433" s="268" t="s">
        <v>1182</v>
      </c>
      <c r="N433" s="268">
        <v>380</v>
      </c>
      <c r="O433" s="268"/>
      <c r="P433" s="269">
        <f t="shared" si="278"/>
        <v>1050</v>
      </c>
      <c r="Q433" s="269">
        <v>10</v>
      </c>
      <c r="R433" s="269">
        <v>3</v>
      </c>
      <c r="S433" s="269">
        <f t="shared" si="279"/>
        <v>1050</v>
      </c>
      <c r="T433" s="357">
        <f t="shared" si="283"/>
        <v>2.3498764636373404E-2</v>
      </c>
      <c r="U433" s="361">
        <f t="shared" si="280"/>
        <v>1</v>
      </c>
      <c r="V433" s="357">
        <f t="shared" si="281"/>
        <v>0</v>
      </c>
      <c r="W433" s="357">
        <f t="shared" si="282"/>
        <v>2.3498764636373404E-2</v>
      </c>
      <c r="X433" s="357">
        <f t="shared" si="282"/>
        <v>0</v>
      </c>
      <c r="Y433" s="198">
        <f t="shared" si="253"/>
        <v>380</v>
      </c>
      <c r="Z433" s="435"/>
      <c r="AC433" s="267"/>
    </row>
    <row r="434" spans="8:29" x14ac:dyDescent="0.25">
      <c r="H434" s="268" t="s">
        <v>823</v>
      </c>
      <c r="I434" s="397" t="s">
        <v>824</v>
      </c>
      <c r="J434" s="372">
        <v>45041</v>
      </c>
      <c r="K434" s="372">
        <v>45092</v>
      </c>
      <c r="L434" s="268">
        <f t="shared" si="270"/>
        <v>52</v>
      </c>
      <c r="M434" s="268" t="s">
        <v>1193</v>
      </c>
      <c r="N434" s="268">
        <v>4468</v>
      </c>
      <c r="O434" s="268"/>
      <c r="P434" s="269">
        <f t="shared" si="278"/>
        <v>2234</v>
      </c>
      <c r="Q434" s="269">
        <v>10</v>
      </c>
      <c r="R434" s="269">
        <f>((N434/L434)/80)*(4)</f>
        <v>4.296153846153846</v>
      </c>
      <c r="S434" s="269">
        <f t="shared" si="279"/>
        <v>2234</v>
      </c>
      <c r="T434" s="357">
        <f t="shared" si="283"/>
        <v>4.9996419235864939E-2</v>
      </c>
      <c r="U434" s="361">
        <f t="shared" si="280"/>
        <v>1</v>
      </c>
      <c r="V434" s="357">
        <f t="shared" si="281"/>
        <v>0</v>
      </c>
      <c r="W434" s="357">
        <f t="shared" si="282"/>
        <v>4.9996419235864939E-2</v>
      </c>
      <c r="X434" s="357">
        <f t="shared" si="282"/>
        <v>0</v>
      </c>
      <c r="Y434" s="198">
        <f t="shared" si="253"/>
        <v>4468</v>
      </c>
      <c r="Z434" s="435"/>
      <c r="AC434" s="267"/>
    </row>
    <row r="435" spans="8:29" x14ac:dyDescent="0.25">
      <c r="H435" s="268" t="s">
        <v>825</v>
      </c>
      <c r="I435" s="397" t="s">
        <v>826</v>
      </c>
      <c r="J435" s="372">
        <v>45064</v>
      </c>
      <c r="K435" s="372">
        <v>45111</v>
      </c>
      <c r="L435" s="268">
        <f t="shared" si="270"/>
        <v>48</v>
      </c>
      <c r="M435" s="268" t="s">
        <v>1193</v>
      </c>
      <c r="N435" s="268">
        <v>9583</v>
      </c>
      <c r="O435" s="268"/>
      <c r="P435" s="269">
        <f t="shared" si="278"/>
        <v>22999.200000000001</v>
      </c>
      <c r="Q435" s="269">
        <v>24</v>
      </c>
      <c r="R435" s="269">
        <f>((N435/L435)/25)*(1+1.5)</f>
        <v>19.964583333333334</v>
      </c>
      <c r="S435" s="269">
        <f t="shared" si="279"/>
        <v>22999.200000000001</v>
      </c>
      <c r="T435" s="357">
        <f t="shared" si="283"/>
        <v>0.51471694059512307</v>
      </c>
      <c r="U435" s="361">
        <f t="shared" si="280"/>
        <v>1</v>
      </c>
      <c r="V435" s="357">
        <f t="shared" si="281"/>
        <v>0</v>
      </c>
      <c r="W435" s="357">
        <f t="shared" si="282"/>
        <v>0.51471694059512307</v>
      </c>
      <c r="X435" s="357">
        <f t="shared" si="282"/>
        <v>0</v>
      </c>
      <c r="Y435" s="198">
        <f t="shared" si="253"/>
        <v>9583</v>
      </c>
      <c r="Z435" s="435"/>
      <c r="AC435" s="267"/>
    </row>
    <row r="436" spans="8:29" x14ac:dyDescent="0.25">
      <c r="H436" s="268" t="s">
        <v>827</v>
      </c>
      <c r="I436" s="397" t="s">
        <v>828</v>
      </c>
      <c r="J436" s="372">
        <v>45042</v>
      </c>
      <c r="K436" s="372">
        <v>45117</v>
      </c>
      <c r="L436" s="268">
        <f t="shared" si="270"/>
        <v>76</v>
      </c>
      <c r="M436" s="268" t="s">
        <v>1193</v>
      </c>
      <c r="N436" s="268">
        <v>1360</v>
      </c>
      <c r="O436" s="268"/>
      <c r="P436" s="269">
        <f t="shared" si="278"/>
        <v>1360</v>
      </c>
      <c r="Q436" s="269">
        <v>10</v>
      </c>
      <c r="R436" s="269">
        <f>((N436/L436)/25)*(1+1.5)</f>
        <v>1.7894736842105263</v>
      </c>
      <c r="S436" s="269">
        <f t="shared" si="279"/>
        <v>1360</v>
      </c>
      <c r="T436" s="357">
        <f t="shared" si="283"/>
        <v>3.04364951480646E-2</v>
      </c>
      <c r="U436" s="361">
        <f t="shared" si="280"/>
        <v>1</v>
      </c>
      <c r="V436" s="357">
        <f t="shared" si="281"/>
        <v>0</v>
      </c>
      <c r="W436" s="357">
        <f t="shared" si="282"/>
        <v>3.04364951480646E-2</v>
      </c>
      <c r="X436" s="357">
        <f t="shared" si="282"/>
        <v>0</v>
      </c>
      <c r="Y436" s="198">
        <f t="shared" si="253"/>
        <v>1360</v>
      </c>
      <c r="Z436" s="435"/>
      <c r="AC436" s="267"/>
    </row>
    <row r="437" spans="8:29" x14ac:dyDescent="0.25">
      <c r="H437" s="268" t="s">
        <v>829</v>
      </c>
      <c r="I437" s="397" t="s">
        <v>830</v>
      </c>
      <c r="J437" s="372">
        <v>45112</v>
      </c>
      <c r="K437" s="372">
        <v>45119</v>
      </c>
      <c r="L437" s="268">
        <f t="shared" si="270"/>
        <v>8</v>
      </c>
      <c r="M437" s="268" t="s">
        <v>1193</v>
      </c>
      <c r="N437" s="268">
        <v>2000</v>
      </c>
      <c r="O437" s="268"/>
      <c r="P437" s="269">
        <f t="shared" si="278"/>
        <v>3333.3333333333339</v>
      </c>
      <c r="Q437" s="269">
        <v>10</v>
      </c>
      <c r="R437" s="269">
        <f>((N437/L437)/15)*(1+1.5)</f>
        <v>41.666666666666671</v>
      </c>
      <c r="S437" s="269">
        <f t="shared" si="279"/>
        <v>3333.3333333333339</v>
      </c>
      <c r="T437" s="357">
        <f t="shared" si="283"/>
        <v>7.459925281388384E-2</v>
      </c>
      <c r="U437" s="361">
        <f t="shared" si="280"/>
        <v>1</v>
      </c>
      <c r="V437" s="357">
        <f t="shared" si="281"/>
        <v>0</v>
      </c>
      <c r="W437" s="357">
        <f t="shared" si="282"/>
        <v>7.459925281388384E-2</v>
      </c>
      <c r="X437" s="357">
        <f t="shared" si="282"/>
        <v>0</v>
      </c>
      <c r="Y437" s="198">
        <f t="shared" si="253"/>
        <v>2000</v>
      </c>
      <c r="Z437" s="435"/>
      <c r="AC437" s="267"/>
    </row>
    <row r="438" spans="8:29" x14ac:dyDescent="0.25">
      <c r="H438" s="268" t="s">
        <v>831</v>
      </c>
      <c r="I438" s="397" t="s">
        <v>832</v>
      </c>
      <c r="J438" s="372">
        <v>45120</v>
      </c>
      <c r="K438" s="372">
        <v>45122</v>
      </c>
      <c r="L438" s="268">
        <f t="shared" si="270"/>
        <v>3</v>
      </c>
      <c r="M438" s="268" t="s">
        <v>1183</v>
      </c>
      <c r="N438" s="268">
        <v>100</v>
      </c>
      <c r="O438" s="268"/>
      <c r="P438" s="269">
        <f t="shared" si="278"/>
        <v>300</v>
      </c>
      <c r="Q438" s="269">
        <v>10</v>
      </c>
      <c r="R438" s="269">
        <v>10</v>
      </c>
      <c r="S438" s="269">
        <f t="shared" si="279"/>
        <v>300</v>
      </c>
      <c r="T438" s="357">
        <f t="shared" si="283"/>
        <v>6.713932753249544E-3</v>
      </c>
      <c r="U438" s="361">
        <f t="shared" si="280"/>
        <v>1</v>
      </c>
      <c r="V438" s="357">
        <f t="shared" si="281"/>
        <v>0</v>
      </c>
      <c r="W438" s="357">
        <f t="shared" si="282"/>
        <v>6.713932753249544E-3</v>
      </c>
      <c r="X438" s="357">
        <f t="shared" si="282"/>
        <v>0</v>
      </c>
      <c r="Y438" s="198">
        <f t="shared" si="253"/>
        <v>100</v>
      </c>
      <c r="Z438" s="435"/>
      <c r="AC438" s="267"/>
    </row>
    <row r="439" spans="8:29" x14ac:dyDescent="0.25">
      <c r="H439" s="268" t="s">
        <v>833</v>
      </c>
      <c r="I439" s="397" t="s">
        <v>834</v>
      </c>
      <c r="J439" s="372">
        <v>45161</v>
      </c>
      <c r="K439" s="372">
        <v>45172</v>
      </c>
      <c r="L439" s="268">
        <f t="shared" si="270"/>
        <v>12</v>
      </c>
      <c r="M439" s="268" t="s">
        <v>1190</v>
      </c>
      <c r="N439" s="268">
        <v>980</v>
      </c>
      <c r="O439" s="268"/>
      <c r="P439" s="269">
        <f t="shared" si="278"/>
        <v>3266.666666666667</v>
      </c>
      <c r="Q439" s="269">
        <v>10</v>
      </c>
      <c r="R439" s="269">
        <f>((N439/L439)/24)*(8)</f>
        <v>27.222222222222225</v>
      </c>
      <c r="S439" s="269">
        <f t="shared" si="279"/>
        <v>3266.666666666667</v>
      </c>
      <c r="T439" s="357">
        <f t="shared" si="283"/>
        <v>7.3107267757606148E-2</v>
      </c>
      <c r="U439" s="361">
        <f t="shared" si="280"/>
        <v>1</v>
      </c>
      <c r="V439" s="357">
        <f t="shared" si="281"/>
        <v>0</v>
      </c>
      <c r="W439" s="357">
        <f t="shared" si="282"/>
        <v>7.3107267757606148E-2</v>
      </c>
      <c r="X439" s="357">
        <f t="shared" si="282"/>
        <v>0</v>
      </c>
      <c r="Y439" s="198">
        <f t="shared" si="253"/>
        <v>980</v>
      </c>
      <c r="Z439" s="435"/>
      <c r="AC439" s="267"/>
    </row>
    <row r="440" spans="8:29" x14ac:dyDescent="0.25">
      <c r="H440" s="268" t="s">
        <v>835</v>
      </c>
      <c r="I440" s="397" t="s">
        <v>836</v>
      </c>
      <c r="J440" s="372">
        <v>45168</v>
      </c>
      <c r="K440" s="372">
        <v>45175</v>
      </c>
      <c r="L440" s="268">
        <f t="shared" si="270"/>
        <v>8</v>
      </c>
      <c r="M440" s="268" t="s">
        <v>1183</v>
      </c>
      <c r="N440" s="268">
        <v>100</v>
      </c>
      <c r="O440" s="268"/>
      <c r="P440" s="269">
        <f t="shared" si="278"/>
        <v>560</v>
      </c>
      <c r="Q440" s="269">
        <v>10</v>
      </c>
      <c r="R440" s="269">
        <v>7</v>
      </c>
      <c r="S440" s="269">
        <f t="shared" si="279"/>
        <v>560</v>
      </c>
      <c r="T440" s="357">
        <f t="shared" si="283"/>
        <v>1.2532674472732482E-2</v>
      </c>
      <c r="U440" s="361">
        <f t="shared" si="280"/>
        <v>1</v>
      </c>
      <c r="V440" s="357">
        <f t="shared" si="281"/>
        <v>0</v>
      </c>
      <c r="W440" s="357">
        <f t="shared" si="282"/>
        <v>1.2532674472732482E-2</v>
      </c>
      <c r="X440" s="357">
        <f t="shared" si="282"/>
        <v>0</v>
      </c>
      <c r="Y440" s="198">
        <f t="shared" si="253"/>
        <v>100</v>
      </c>
      <c r="Z440" s="435"/>
      <c r="AC440" s="267"/>
    </row>
    <row r="441" spans="8:29" x14ac:dyDescent="0.25">
      <c r="H441" s="268" t="s">
        <v>837</v>
      </c>
      <c r="I441" s="397" t="s">
        <v>838</v>
      </c>
      <c r="J441" s="372">
        <v>45176</v>
      </c>
      <c r="K441" s="372">
        <v>45181</v>
      </c>
      <c r="L441" s="268">
        <f t="shared" si="270"/>
        <v>6</v>
      </c>
      <c r="M441" s="268" t="s">
        <v>1183</v>
      </c>
      <c r="N441" s="268">
        <v>100</v>
      </c>
      <c r="O441" s="268"/>
      <c r="P441" s="269">
        <f t="shared" si="278"/>
        <v>600</v>
      </c>
      <c r="Q441" s="269">
        <v>10</v>
      </c>
      <c r="R441" s="269">
        <v>10</v>
      </c>
      <c r="S441" s="269">
        <f t="shared" si="279"/>
        <v>600</v>
      </c>
      <c r="T441" s="357">
        <f t="shared" si="283"/>
        <v>1.3427865506499088E-2</v>
      </c>
      <c r="U441" s="361">
        <f t="shared" si="280"/>
        <v>1</v>
      </c>
      <c r="V441" s="357">
        <f t="shared" si="281"/>
        <v>0</v>
      </c>
      <c r="W441" s="357">
        <f t="shared" si="282"/>
        <v>1.3427865506499088E-2</v>
      </c>
      <c r="X441" s="357">
        <f t="shared" si="282"/>
        <v>0</v>
      </c>
      <c r="Y441" s="198">
        <f t="shared" si="253"/>
        <v>100</v>
      </c>
      <c r="Z441" s="435"/>
      <c r="AC441" s="267"/>
    </row>
    <row r="442" spans="8:29" x14ac:dyDescent="0.25">
      <c r="H442" s="268" t="s">
        <v>839</v>
      </c>
      <c r="I442" s="397" t="s">
        <v>840</v>
      </c>
      <c r="J442" s="372">
        <v>45182</v>
      </c>
      <c r="K442" s="372">
        <v>45187</v>
      </c>
      <c r="L442" s="268">
        <f t="shared" si="270"/>
        <v>6</v>
      </c>
      <c r="M442" s="268" t="s">
        <v>1183</v>
      </c>
      <c r="N442" s="268">
        <v>100</v>
      </c>
      <c r="O442" s="268"/>
      <c r="P442" s="269">
        <f t="shared" si="278"/>
        <v>180</v>
      </c>
      <c r="Q442" s="269">
        <v>10</v>
      </c>
      <c r="R442" s="269">
        <v>3</v>
      </c>
      <c r="S442" s="269">
        <f t="shared" si="279"/>
        <v>180</v>
      </c>
      <c r="T442" s="357">
        <f t="shared" si="283"/>
        <v>4.0283596519497264E-3</v>
      </c>
      <c r="U442" s="361">
        <f t="shared" si="280"/>
        <v>1</v>
      </c>
      <c r="V442" s="357">
        <f t="shared" si="281"/>
        <v>0</v>
      </c>
      <c r="W442" s="357">
        <f t="shared" si="282"/>
        <v>4.0283596519497264E-3</v>
      </c>
      <c r="X442" s="357">
        <f t="shared" si="282"/>
        <v>0</v>
      </c>
      <c r="Y442" s="198">
        <f t="shared" si="253"/>
        <v>100</v>
      </c>
      <c r="Z442" s="435"/>
      <c r="AC442" s="267"/>
    </row>
    <row r="443" spans="8:29" x14ac:dyDescent="0.25">
      <c r="H443" s="528" t="s">
        <v>841</v>
      </c>
      <c r="I443" s="529"/>
      <c r="J443" s="384">
        <v>45123</v>
      </c>
      <c r="K443" s="384">
        <v>45160</v>
      </c>
      <c r="L443" s="383">
        <f t="shared" si="270"/>
        <v>38</v>
      </c>
      <c r="M443" s="383"/>
      <c r="N443" s="383"/>
      <c r="O443" s="383"/>
      <c r="P443" s="391">
        <f>P444+P445+P446+P447+P448+P449</f>
        <v>6711.333333333333</v>
      </c>
      <c r="Q443" s="391"/>
      <c r="R443" s="391"/>
      <c r="S443" s="391">
        <f>S444+S445+S446+S447+S448+S449</f>
        <v>6711.333333333333</v>
      </c>
      <c r="T443" s="388">
        <f>S443/S427</f>
        <v>0.13058457579145902</v>
      </c>
      <c r="U443" s="383"/>
      <c r="V443" s="388"/>
      <c r="W443" s="388">
        <f>W444+W445+W446+W447+W448+W449</f>
        <v>1</v>
      </c>
      <c r="X443" s="388">
        <f>X444+X445+X446+X447+X448+X449</f>
        <v>0</v>
      </c>
      <c r="Y443" s="198">
        <f t="shared" si="253"/>
        <v>0</v>
      </c>
      <c r="Z443" s="435"/>
      <c r="AC443" s="267"/>
    </row>
    <row r="444" spans="8:29" x14ac:dyDescent="0.25">
      <c r="H444" s="268" t="s">
        <v>842</v>
      </c>
      <c r="I444" s="397" t="s">
        <v>843</v>
      </c>
      <c r="J444" s="372">
        <v>45123</v>
      </c>
      <c r="K444" s="372">
        <v>45124</v>
      </c>
      <c r="L444" s="268">
        <f t="shared" si="270"/>
        <v>2</v>
      </c>
      <c r="M444" s="268" t="s">
        <v>1183</v>
      </c>
      <c r="N444" s="268">
        <v>100</v>
      </c>
      <c r="O444" s="268"/>
      <c r="P444" s="269">
        <f t="shared" ref="P444:P449" si="284">L444*Q444*R444</f>
        <v>160</v>
      </c>
      <c r="Q444" s="269">
        <v>10</v>
      </c>
      <c r="R444" s="269">
        <v>8</v>
      </c>
      <c r="S444" s="269">
        <f t="shared" ref="S444:S449" si="285">P444</f>
        <v>160</v>
      </c>
      <c r="T444" s="357">
        <f>S444/$S$443</f>
        <v>2.384027018972882E-2</v>
      </c>
      <c r="U444" s="361">
        <f t="shared" ref="U444:U449" si="286">IF($J444&gt;U$5,0,IF($K444&lt;U$5,1,IF(U$5=$K444,1,((U$5-$J444+1)/($K444-$J444+1)))))</f>
        <v>1</v>
      </c>
      <c r="V444" s="357">
        <f t="shared" ref="V444:V449" si="287">IFERROR(O444/N444,0)</f>
        <v>0</v>
      </c>
      <c r="W444" s="357">
        <f t="shared" ref="W444:X449" si="288">U444*$T444</f>
        <v>2.384027018972882E-2</v>
      </c>
      <c r="X444" s="357">
        <f t="shared" si="288"/>
        <v>0</v>
      </c>
      <c r="Y444" s="198">
        <f t="shared" si="253"/>
        <v>100</v>
      </c>
      <c r="Z444" s="435"/>
      <c r="AC444" s="267"/>
    </row>
    <row r="445" spans="8:29" x14ac:dyDescent="0.25">
      <c r="H445" s="268" t="s">
        <v>844</v>
      </c>
      <c r="I445" s="397" t="s">
        <v>845</v>
      </c>
      <c r="J445" s="372">
        <v>45125</v>
      </c>
      <c r="K445" s="372">
        <v>45136</v>
      </c>
      <c r="L445" s="268">
        <f t="shared" si="270"/>
        <v>12</v>
      </c>
      <c r="M445" s="268" t="s">
        <v>1186</v>
      </c>
      <c r="N445" s="268">
        <v>5000</v>
      </c>
      <c r="O445" s="268"/>
      <c r="P445" s="269">
        <f t="shared" si="284"/>
        <v>288</v>
      </c>
      <c r="Q445" s="269">
        <v>24</v>
      </c>
      <c r="R445" s="269">
        <v>1</v>
      </c>
      <c r="S445" s="269">
        <f t="shared" si="285"/>
        <v>288</v>
      </c>
      <c r="T445" s="357">
        <f t="shared" ref="T445:T449" si="289">S445/$S$443</f>
        <v>4.2912486341511874E-2</v>
      </c>
      <c r="U445" s="361">
        <f t="shared" si="286"/>
        <v>1</v>
      </c>
      <c r="V445" s="357">
        <f t="shared" si="287"/>
        <v>0</v>
      </c>
      <c r="W445" s="357">
        <f t="shared" si="288"/>
        <v>4.2912486341511874E-2</v>
      </c>
      <c r="X445" s="357">
        <f t="shared" si="288"/>
        <v>0</v>
      </c>
      <c r="Y445" s="198">
        <f t="shared" si="253"/>
        <v>5000</v>
      </c>
      <c r="Z445" s="435"/>
      <c r="AC445" s="267"/>
    </row>
    <row r="446" spans="8:29" x14ac:dyDescent="0.25">
      <c r="H446" s="268" t="s">
        <v>846</v>
      </c>
      <c r="I446" s="397" t="s">
        <v>847</v>
      </c>
      <c r="J446" s="372">
        <v>45137</v>
      </c>
      <c r="K446" s="372">
        <v>45138</v>
      </c>
      <c r="L446" s="268">
        <f t="shared" si="270"/>
        <v>2</v>
      </c>
      <c r="M446" s="268" t="s">
        <v>1183</v>
      </c>
      <c r="N446" s="268">
        <v>100</v>
      </c>
      <c r="O446" s="268"/>
      <c r="P446" s="269">
        <f t="shared" si="284"/>
        <v>160</v>
      </c>
      <c r="Q446" s="269">
        <v>10</v>
      </c>
      <c r="R446" s="269">
        <v>8</v>
      </c>
      <c r="S446" s="269">
        <f t="shared" si="285"/>
        <v>160</v>
      </c>
      <c r="T446" s="357">
        <f t="shared" si="289"/>
        <v>2.384027018972882E-2</v>
      </c>
      <c r="U446" s="361">
        <f t="shared" si="286"/>
        <v>1</v>
      </c>
      <c r="V446" s="357">
        <f t="shared" si="287"/>
        <v>0</v>
      </c>
      <c r="W446" s="357">
        <f t="shared" si="288"/>
        <v>2.384027018972882E-2</v>
      </c>
      <c r="X446" s="357">
        <f t="shared" si="288"/>
        <v>0</v>
      </c>
      <c r="Y446" s="198">
        <f t="shared" si="253"/>
        <v>100</v>
      </c>
      <c r="Z446" s="435"/>
      <c r="AC446" s="267"/>
    </row>
    <row r="447" spans="8:29" x14ac:dyDescent="0.25">
      <c r="H447" s="268" t="s">
        <v>848</v>
      </c>
      <c r="I447" s="397" t="s">
        <v>849</v>
      </c>
      <c r="J447" s="372">
        <v>45139</v>
      </c>
      <c r="K447" s="372">
        <v>45140</v>
      </c>
      <c r="L447" s="268">
        <f t="shared" si="270"/>
        <v>2</v>
      </c>
      <c r="M447" s="268" t="s">
        <v>1183</v>
      </c>
      <c r="N447" s="268">
        <v>100</v>
      </c>
      <c r="O447" s="268"/>
      <c r="P447" s="269">
        <f t="shared" si="284"/>
        <v>160</v>
      </c>
      <c r="Q447" s="269">
        <v>10</v>
      </c>
      <c r="R447" s="269">
        <v>8</v>
      </c>
      <c r="S447" s="269">
        <f t="shared" si="285"/>
        <v>160</v>
      </c>
      <c r="T447" s="357">
        <f t="shared" si="289"/>
        <v>2.384027018972882E-2</v>
      </c>
      <c r="U447" s="361">
        <f t="shared" si="286"/>
        <v>1</v>
      </c>
      <c r="V447" s="357">
        <f t="shared" si="287"/>
        <v>0</v>
      </c>
      <c r="W447" s="357">
        <f t="shared" si="288"/>
        <v>2.384027018972882E-2</v>
      </c>
      <c r="X447" s="357">
        <f t="shared" si="288"/>
        <v>0</v>
      </c>
      <c r="Y447" s="198">
        <f t="shared" si="253"/>
        <v>100</v>
      </c>
      <c r="Z447" s="435"/>
      <c r="AC447" s="267"/>
    </row>
    <row r="448" spans="8:29" x14ac:dyDescent="0.25">
      <c r="H448" s="268" t="s">
        <v>850</v>
      </c>
      <c r="I448" s="397" t="s">
        <v>851</v>
      </c>
      <c r="J448" s="372">
        <v>45139</v>
      </c>
      <c r="K448" s="372">
        <v>45146</v>
      </c>
      <c r="L448" s="268">
        <f t="shared" si="270"/>
        <v>8</v>
      </c>
      <c r="M448" s="268" t="s">
        <v>1183</v>
      </c>
      <c r="N448" s="268">
        <v>100</v>
      </c>
      <c r="O448" s="268"/>
      <c r="P448" s="269">
        <f t="shared" si="284"/>
        <v>640</v>
      </c>
      <c r="Q448" s="269">
        <v>10</v>
      </c>
      <c r="R448" s="269">
        <v>8</v>
      </c>
      <c r="S448" s="269">
        <f t="shared" si="285"/>
        <v>640</v>
      </c>
      <c r="T448" s="357">
        <f t="shared" si="289"/>
        <v>9.5361080758915279E-2</v>
      </c>
      <c r="U448" s="361">
        <f t="shared" si="286"/>
        <v>1</v>
      </c>
      <c r="V448" s="357">
        <f t="shared" si="287"/>
        <v>0</v>
      </c>
      <c r="W448" s="357">
        <f t="shared" si="288"/>
        <v>9.5361080758915279E-2</v>
      </c>
      <c r="X448" s="357">
        <f t="shared" si="288"/>
        <v>0</v>
      </c>
      <c r="Y448" s="198">
        <f t="shared" si="253"/>
        <v>100</v>
      </c>
      <c r="Z448" s="435"/>
      <c r="AC448" s="267"/>
    </row>
    <row r="449" spans="8:29" x14ac:dyDescent="0.25">
      <c r="H449" s="268" t="s">
        <v>852</v>
      </c>
      <c r="I449" s="397" t="s">
        <v>853</v>
      </c>
      <c r="J449" s="372">
        <v>45147</v>
      </c>
      <c r="K449" s="372">
        <v>45160</v>
      </c>
      <c r="L449" s="268">
        <f t="shared" si="270"/>
        <v>14</v>
      </c>
      <c r="M449" s="268" t="s">
        <v>1187</v>
      </c>
      <c r="N449" s="268">
        <v>7955</v>
      </c>
      <c r="O449" s="268"/>
      <c r="P449" s="269">
        <f t="shared" si="284"/>
        <v>5303.333333333333</v>
      </c>
      <c r="Q449" s="269">
        <v>10</v>
      </c>
      <c r="R449" s="269">
        <f>((N449/L449)/150)*(2+2+6)</f>
        <v>37.88095238095238</v>
      </c>
      <c r="S449" s="269">
        <f t="shared" si="285"/>
        <v>5303.333333333333</v>
      </c>
      <c r="T449" s="357">
        <f t="shared" si="289"/>
        <v>0.79020562233038638</v>
      </c>
      <c r="U449" s="361">
        <f t="shared" si="286"/>
        <v>1</v>
      </c>
      <c r="V449" s="357">
        <f t="shared" si="287"/>
        <v>0</v>
      </c>
      <c r="W449" s="357">
        <f t="shared" si="288"/>
        <v>0.79020562233038638</v>
      </c>
      <c r="X449" s="357">
        <f t="shared" si="288"/>
        <v>0</v>
      </c>
      <c r="Y449" s="198">
        <f t="shared" si="253"/>
        <v>7955</v>
      </c>
      <c r="Z449" s="435"/>
      <c r="AC449" s="267"/>
    </row>
    <row r="450" spans="8:29" x14ac:dyDescent="0.25">
      <c r="H450" s="522" t="s">
        <v>854</v>
      </c>
      <c r="I450" s="523"/>
      <c r="J450" s="378">
        <v>45017</v>
      </c>
      <c r="K450" s="378">
        <v>45196</v>
      </c>
      <c r="L450" s="377">
        <f t="shared" si="270"/>
        <v>180</v>
      </c>
      <c r="M450" s="377"/>
      <c r="N450" s="377"/>
      <c r="O450" s="377"/>
      <c r="P450" s="387">
        <f>P451+P466</f>
        <v>51514.533333333333</v>
      </c>
      <c r="Q450" s="387"/>
      <c r="R450" s="387"/>
      <c r="S450" s="387">
        <f>S451+S466</f>
        <v>51514.533333333333</v>
      </c>
      <c r="T450" s="379">
        <f>S450/$S$426</f>
        <v>0.32230070376454473</v>
      </c>
      <c r="U450" s="382"/>
      <c r="V450" s="379"/>
      <c r="W450" s="379">
        <f>W451*T451+W466*T466</f>
        <v>0.99999999999999989</v>
      </c>
      <c r="X450" s="379">
        <f>X451*T451+X466*T466</f>
        <v>0</v>
      </c>
      <c r="Y450" s="198">
        <f t="shared" si="253"/>
        <v>0</v>
      </c>
      <c r="Z450" s="435"/>
      <c r="AC450" s="267"/>
    </row>
    <row r="451" spans="8:29" x14ac:dyDescent="0.25">
      <c r="H451" s="528" t="s">
        <v>855</v>
      </c>
      <c r="I451" s="529"/>
      <c r="J451" s="384">
        <v>45017</v>
      </c>
      <c r="K451" s="384">
        <v>45196</v>
      </c>
      <c r="L451" s="383">
        <f t="shared" si="270"/>
        <v>180</v>
      </c>
      <c r="M451" s="383"/>
      <c r="N451" s="383"/>
      <c r="O451" s="383"/>
      <c r="P451" s="391">
        <f>SUM(P452:P465)</f>
        <v>44423.199999999997</v>
      </c>
      <c r="Q451" s="391"/>
      <c r="R451" s="391"/>
      <c r="S451" s="391">
        <f>SUM(S452:S465)</f>
        <v>44423.199999999997</v>
      </c>
      <c r="T451" s="388">
        <f>S451/S450</f>
        <v>0.86234305399900091</v>
      </c>
      <c r="U451" s="383"/>
      <c r="V451" s="388"/>
      <c r="W451" s="388">
        <f>SUM(W452:W465)</f>
        <v>0.99999999999999989</v>
      </c>
      <c r="X451" s="388">
        <f>SUM(X452:X465)</f>
        <v>0</v>
      </c>
      <c r="Y451" s="198">
        <f t="shared" si="253"/>
        <v>0</v>
      </c>
      <c r="Z451" s="435"/>
      <c r="AC451" s="267"/>
    </row>
    <row r="452" spans="8:29" x14ac:dyDescent="0.25">
      <c r="H452" s="268" t="s">
        <v>856</v>
      </c>
      <c r="I452" s="397" t="s">
        <v>814</v>
      </c>
      <c r="J452" s="372">
        <v>45019</v>
      </c>
      <c r="K452" s="372">
        <v>45021</v>
      </c>
      <c r="L452" s="268">
        <f t="shared" si="270"/>
        <v>3</v>
      </c>
      <c r="M452" s="268" t="s">
        <v>1187</v>
      </c>
      <c r="N452" s="268">
        <v>400</v>
      </c>
      <c r="O452" s="268"/>
      <c r="P452" s="269">
        <f t="shared" ref="P452:P465" si="290">L452*Q452*R452</f>
        <v>100.00000000000001</v>
      </c>
      <c r="Q452" s="269">
        <v>10</v>
      </c>
      <c r="R452" s="269">
        <f>((N452/L452)/400)*(2+2+6)</f>
        <v>3.3333333333333339</v>
      </c>
      <c r="S452" s="269">
        <f t="shared" ref="S452:S465" si="291">P452</f>
        <v>100.00000000000001</v>
      </c>
      <c r="T452" s="357">
        <f>S452/$S$451</f>
        <v>2.2510760143348526E-3</v>
      </c>
      <c r="U452" s="361">
        <f t="shared" ref="U452:U465" si="292">IF($J452&gt;U$5,0,IF($K452&lt;U$5,1,IF(U$5=$K452,1,((U$5-$J452+1)/($K452-$J452+1)))))</f>
        <v>1</v>
      </c>
      <c r="V452" s="357">
        <f t="shared" ref="V452:V465" si="293">IFERROR(O452/N452,0)</f>
        <v>0</v>
      </c>
      <c r="W452" s="357">
        <f t="shared" ref="W452:X465" si="294">U452*$T452</f>
        <v>2.2510760143348526E-3</v>
      </c>
      <c r="X452" s="357">
        <f t="shared" si="294"/>
        <v>0</v>
      </c>
      <c r="Y452" s="198">
        <f t="shared" si="253"/>
        <v>400</v>
      </c>
      <c r="Z452" s="435"/>
      <c r="AC452" s="267"/>
    </row>
    <row r="453" spans="8:29" x14ac:dyDescent="0.25">
      <c r="H453" s="268" t="s">
        <v>857</v>
      </c>
      <c r="I453" s="397" t="s">
        <v>816</v>
      </c>
      <c r="J453" s="372">
        <v>45022</v>
      </c>
      <c r="K453" s="372">
        <v>45038</v>
      </c>
      <c r="L453" s="268">
        <f t="shared" si="270"/>
        <v>17</v>
      </c>
      <c r="M453" s="268" t="s">
        <v>1193</v>
      </c>
      <c r="N453" s="268">
        <v>1500</v>
      </c>
      <c r="O453" s="268"/>
      <c r="P453" s="269">
        <f t="shared" si="290"/>
        <v>600</v>
      </c>
      <c r="Q453" s="269">
        <v>10</v>
      </c>
      <c r="R453" s="269">
        <f>((N453/L453)/100)*(4)</f>
        <v>3.5294117647058822</v>
      </c>
      <c r="S453" s="269">
        <f t="shared" si="291"/>
        <v>600</v>
      </c>
      <c r="T453" s="357">
        <f t="shared" ref="T453:T465" si="295">S453/$S$451</f>
        <v>1.3506456086009113E-2</v>
      </c>
      <c r="U453" s="361">
        <f t="shared" si="292"/>
        <v>1</v>
      </c>
      <c r="V453" s="357">
        <f t="shared" si="293"/>
        <v>0</v>
      </c>
      <c r="W453" s="357">
        <f t="shared" si="294"/>
        <v>1.3506456086009113E-2</v>
      </c>
      <c r="X453" s="357">
        <f t="shared" si="294"/>
        <v>0</v>
      </c>
      <c r="Y453" s="198">
        <f t="shared" si="253"/>
        <v>1500</v>
      </c>
      <c r="Z453" s="435"/>
      <c r="AC453" s="267"/>
    </row>
    <row r="454" spans="8:29" x14ac:dyDescent="0.25">
      <c r="H454" s="268" t="s">
        <v>858</v>
      </c>
      <c r="I454" s="397" t="s">
        <v>818</v>
      </c>
      <c r="J454" s="372">
        <v>45040</v>
      </c>
      <c r="K454" s="372">
        <v>45048</v>
      </c>
      <c r="L454" s="268">
        <f t="shared" si="270"/>
        <v>9</v>
      </c>
      <c r="M454" s="268" t="s">
        <v>1183</v>
      </c>
      <c r="N454" s="268">
        <v>100</v>
      </c>
      <c r="O454" s="268"/>
      <c r="P454" s="269">
        <f t="shared" si="290"/>
        <v>900</v>
      </c>
      <c r="Q454" s="269">
        <v>10</v>
      </c>
      <c r="R454" s="269">
        <v>10</v>
      </c>
      <c r="S454" s="269">
        <f t="shared" si="291"/>
        <v>900</v>
      </c>
      <c r="T454" s="357">
        <f t="shared" si="295"/>
        <v>2.0259684129013671E-2</v>
      </c>
      <c r="U454" s="361">
        <f t="shared" si="292"/>
        <v>1</v>
      </c>
      <c r="V454" s="357">
        <f t="shared" si="293"/>
        <v>0</v>
      </c>
      <c r="W454" s="357">
        <f t="shared" si="294"/>
        <v>2.0259684129013671E-2</v>
      </c>
      <c r="X454" s="357">
        <f t="shared" si="294"/>
        <v>0</v>
      </c>
      <c r="Y454" s="198">
        <f t="shared" si="253"/>
        <v>100</v>
      </c>
      <c r="Z454" s="435"/>
      <c r="AC454" s="267"/>
    </row>
    <row r="455" spans="8:29" x14ac:dyDescent="0.25">
      <c r="H455" s="268" t="s">
        <v>859</v>
      </c>
      <c r="I455" s="397" t="s">
        <v>820</v>
      </c>
      <c r="J455" s="372">
        <v>45034</v>
      </c>
      <c r="K455" s="372">
        <v>45049</v>
      </c>
      <c r="L455" s="268">
        <f t="shared" si="270"/>
        <v>16</v>
      </c>
      <c r="M455" s="268" t="s">
        <v>1193</v>
      </c>
      <c r="N455" s="268">
        <v>3000</v>
      </c>
      <c r="O455" s="268"/>
      <c r="P455" s="269">
        <f t="shared" si="290"/>
        <v>7200</v>
      </c>
      <c r="Q455" s="269">
        <v>24</v>
      </c>
      <c r="R455" s="269">
        <f>((N455/L455)/25)*(1+1.5)</f>
        <v>18.75</v>
      </c>
      <c r="S455" s="269">
        <f t="shared" si="291"/>
        <v>7200</v>
      </c>
      <c r="T455" s="357">
        <f t="shared" si="295"/>
        <v>0.16207747303210937</v>
      </c>
      <c r="U455" s="361">
        <f t="shared" si="292"/>
        <v>1</v>
      </c>
      <c r="V455" s="357">
        <f t="shared" si="293"/>
        <v>0</v>
      </c>
      <c r="W455" s="357">
        <f t="shared" si="294"/>
        <v>0.16207747303210937</v>
      </c>
      <c r="X455" s="357">
        <f t="shared" si="294"/>
        <v>0</v>
      </c>
      <c r="Y455" s="198">
        <f t="shared" si="253"/>
        <v>3000</v>
      </c>
      <c r="Z455" s="435"/>
      <c r="AC455" s="267"/>
    </row>
    <row r="456" spans="8:29" x14ac:dyDescent="0.25">
      <c r="H456" s="268" t="s">
        <v>860</v>
      </c>
      <c r="I456" s="397" t="s">
        <v>822</v>
      </c>
      <c r="J456" s="372">
        <v>45017</v>
      </c>
      <c r="K456" s="372">
        <v>45050</v>
      </c>
      <c r="L456" s="268">
        <f t="shared" si="270"/>
        <v>34</v>
      </c>
      <c r="M456" s="268" t="s">
        <v>1182</v>
      </c>
      <c r="N456" s="268">
        <v>380</v>
      </c>
      <c r="O456" s="268"/>
      <c r="P456" s="269">
        <f t="shared" si="290"/>
        <v>1020</v>
      </c>
      <c r="Q456" s="269">
        <v>10</v>
      </c>
      <c r="R456" s="269">
        <v>3</v>
      </c>
      <c r="S456" s="269">
        <f t="shared" si="291"/>
        <v>1020</v>
      </c>
      <c r="T456" s="357">
        <f t="shared" si="295"/>
        <v>2.2960975346215492E-2</v>
      </c>
      <c r="U456" s="361">
        <f t="shared" si="292"/>
        <v>1</v>
      </c>
      <c r="V456" s="357">
        <f t="shared" si="293"/>
        <v>0</v>
      </c>
      <c r="W456" s="357">
        <f t="shared" si="294"/>
        <v>2.2960975346215492E-2</v>
      </c>
      <c r="X456" s="357">
        <f t="shared" si="294"/>
        <v>0</v>
      </c>
      <c r="Y456" s="198">
        <f t="shared" si="253"/>
        <v>380</v>
      </c>
      <c r="Z456" s="435"/>
      <c r="AC456" s="267"/>
    </row>
    <row r="457" spans="8:29" x14ac:dyDescent="0.25">
      <c r="H457" s="268" t="s">
        <v>861</v>
      </c>
      <c r="I457" s="397" t="s">
        <v>824</v>
      </c>
      <c r="J457" s="372">
        <v>45050</v>
      </c>
      <c r="K457" s="372">
        <v>45102</v>
      </c>
      <c r="L457" s="268">
        <f t="shared" si="270"/>
        <v>53</v>
      </c>
      <c r="M457" s="268" t="s">
        <v>1193</v>
      </c>
      <c r="N457" s="268">
        <v>4468</v>
      </c>
      <c r="O457" s="268"/>
      <c r="P457" s="269">
        <f t="shared" si="290"/>
        <v>2234</v>
      </c>
      <c r="Q457" s="269">
        <v>10</v>
      </c>
      <c r="R457" s="269">
        <f>((N457/L457)/80)*(4)</f>
        <v>4.2150943396226417</v>
      </c>
      <c r="S457" s="269">
        <f t="shared" si="291"/>
        <v>2234</v>
      </c>
      <c r="T457" s="357">
        <f t="shared" si="295"/>
        <v>5.02890381602406E-2</v>
      </c>
      <c r="U457" s="361">
        <f t="shared" si="292"/>
        <v>1</v>
      </c>
      <c r="V457" s="357">
        <f t="shared" si="293"/>
        <v>0</v>
      </c>
      <c r="W457" s="357">
        <f t="shared" si="294"/>
        <v>5.02890381602406E-2</v>
      </c>
      <c r="X457" s="357">
        <f t="shared" si="294"/>
        <v>0</v>
      </c>
      <c r="Y457" s="198">
        <f t="shared" si="253"/>
        <v>4468</v>
      </c>
      <c r="Z457" s="435"/>
      <c r="AC457" s="267"/>
    </row>
    <row r="458" spans="8:29" x14ac:dyDescent="0.25">
      <c r="H458" s="268" t="s">
        <v>862</v>
      </c>
      <c r="I458" s="397" t="s">
        <v>826</v>
      </c>
      <c r="J458" s="372">
        <v>45074</v>
      </c>
      <c r="K458" s="372">
        <v>45120</v>
      </c>
      <c r="L458" s="268">
        <f t="shared" si="270"/>
        <v>47</v>
      </c>
      <c r="M458" s="268" t="s">
        <v>1193</v>
      </c>
      <c r="N458" s="268">
        <v>9583</v>
      </c>
      <c r="O458" s="268"/>
      <c r="P458" s="269">
        <f t="shared" si="290"/>
        <v>22999.199999999997</v>
      </c>
      <c r="Q458" s="269">
        <v>24</v>
      </c>
      <c r="R458" s="269">
        <f>((N458/L458)/25)*(1+1.5)</f>
        <v>20.389361702127658</v>
      </c>
      <c r="S458" s="269">
        <f t="shared" si="291"/>
        <v>22999.199999999997</v>
      </c>
      <c r="T458" s="357">
        <f t="shared" si="295"/>
        <v>0.51772947468890129</v>
      </c>
      <c r="U458" s="361">
        <f t="shared" si="292"/>
        <v>1</v>
      </c>
      <c r="V458" s="357">
        <f t="shared" si="293"/>
        <v>0</v>
      </c>
      <c r="W458" s="357">
        <f t="shared" si="294"/>
        <v>0.51772947468890129</v>
      </c>
      <c r="X458" s="357">
        <f t="shared" si="294"/>
        <v>0</v>
      </c>
      <c r="Y458" s="198">
        <f t="shared" ref="Y458:Y521" si="296">+U458*N458</f>
        <v>9583</v>
      </c>
      <c r="Z458" s="435"/>
      <c r="AA458" s="438"/>
      <c r="AB458" s="438"/>
      <c r="AC458" s="267"/>
    </row>
    <row r="459" spans="8:29" x14ac:dyDescent="0.25">
      <c r="H459" s="268" t="s">
        <v>863</v>
      </c>
      <c r="I459" s="397" t="s">
        <v>828</v>
      </c>
      <c r="J459" s="372">
        <v>45052</v>
      </c>
      <c r="K459" s="372">
        <v>45126</v>
      </c>
      <c r="L459" s="268">
        <f t="shared" si="270"/>
        <v>75</v>
      </c>
      <c r="M459" s="268" t="s">
        <v>1193</v>
      </c>
      <c r="N459" s="268">
        <v>1360</v>
      </c>
      <c r="O459" s="268"/>
      <c r="P459" s="269">
        <f t="shared" si="290"/>
        <v>1360</v>
      </c>
      <c r="Q459" s="269">
        <v>10</v>
      </c>
      <c r="R459" s="269">
        <f>((N459/L459)/25)*(1+1.5)</f>
        <v>1.8133333333333332</v>
      </c>
      <c r="S459" s="269">
        <f t="shared" si="291"/>
        <v>1360</v>
      </c>
      <c r="T459" s="357">
        <f t="shared" si="295"/>
        <v>3.061463379495399E-2</v>
      </c>
      <c r="U459" s="361">
        <f t="shared" si="292"/>
        <v>1</v>
      </c>
      <c r="V459" s="357">
        <f t="shared" si="293"/>
        <v>0</v>
      </c>
      <c r="W459" s="357">
        <f t="shared" si="294"/>
        <v>3.061463379495399E-2</v>
      </c>
      <c r="X459" s="357">
        <f t="shared" si="294"/>
        <v>0</v>
      </c>
      <c r="Y459" s="198">
        <f t="shared" si="296"/>
        <v>1360</v>
      </c>
      <c r="Z459" s="435"/>
      <c r="AC459" s="267"/>
    </row>
    <row r="460" spans="8:29" x14ac:dyDescent="0.25">
      <c r="H460" s="268" t="s">
        <v>864</v>
      </c>
      <c r="I460" s="397" t="s">
        <v>830</v>
      </c>
      <c r="J460" s="372">
        <v>45122</v>
      </c>
      <c r="K460" s="372">
        <v>45129</v>
      </c>
      <c r="L460" s="268">
        <f t="shared" si="270"/>
        <v>8</v>
      </c>
      <c r="M460" s="268" t="s">
        <v>1193</v>
      </c>
      <c r="N460" s="268">
        <v>2000</v>
      </c>
      <c r="O460" s="268"/>
      <c r="P460" s="269">
        <f t="shared" si="290"/>
        <v>3333.3333333333339</v>
      </c>
      <c r="Q460" s="269">
        <v>10</v>
      </c>
      <c r="R460" s="269">
        <f>((N460/L460)/15)*(1+1.5)</f>
        <v>41.666666666666671</v>
      </c>
      <c r="S460" s="269">
        <f t="shared" si="291"/>
        <v>3333.3333333333339</v>
      </c>
      <c r="T460" s="357">
        <f t="shared" si="295"/>
        <v>7.5035867144495089E-2</v>
      </c>
      <c r="U460" s="361">
        <f t="shared" si="292"/>
        <v>1</v>
      </c>
      <c r="V460" s="357">
        <f t="shared" si="293"/>
        <v>0</v>
      </c>
      <c r="W460" s="357">
        <f t="shared" si="294"/>
        <v>7.5035867144495089E-2</v>
      </c>
      <c r="X460" s="357">
        <f t="shared" si="294"/>
        <v>0</v>
      </c>
      <c r="Y460" s="198">
        <f t="shared" si="296"/>
        <v>2000</v>
      </c>
      <c r="Z460" s="435"/>
      <c r="AC460" s="267"/>
    </row>
    <row r="461" spans="8:29" x14ac:dyDescent="0.25">
      <c r="H461" s="268" t="s">
        <v>865</v>
      </c>
      <c r="I461" s="397" t="s">
        <v>832</v>
      </c>
      <c r="J461" s="372">
        <v>45130</v>
      </c>
      <c r="K461" s="372">
        <v>45131</v>
      </c>
      <c r="L461" s="268">
        <f t="shared" si="270"/>
        <v>2</v>
      </c>
      <c r="M461" s="268" t="s">
        <v>1183</v>
      </c>
      <c r="N461" s="268">
        <v>100</v>
      </c>
      <c r="O461" s="268"/>
      <c r="P461" s="269">
        <f t="shared" si="290"/>
        <v>200</v>
      </c>
      <c r="Q461" s="269">
        <v>10</v>
      </c>
      <c r="R461" s="269">
        <v>10</v>
      </c>
      <c r="S461" s="269">
        <f t="shared" si="291"/>
        <v>200</v>
      </c>
      <c r="T461" s="357">
        <f t="shared" si="295"/>
        <v>4.5021520286697043E-3</v>
      </c>
      <c r="U461" s="361">
        <f t="shared" si="292"/>
        <v>1</v>
      </c>
      <c r="V461" s="357">
        <f t="shared" si="293"/>
        <v>0</v>
      </c>
      <c r="W461" s="357">
        <f t="shared" si="294"/>
        <v>4.5021520286697043E-3</v>
      </c>
      <c r="X461" s="357">
        <f t="shared" si="294"/>
        <v>0</v>
      </c>
      <c r="Y461" s="198">
        <f t="shared" si="296"/>
        <v>100</v>
      </c>
      <c r="Z461" s="435"/>
      <c r="AC461" s="267"/>
    </row>
    <row r="462" spans="8:29" x14ac:dyDescent="0.25">
      <c r="H462" s="268" t="s">
        <v>866</v>
      </c>
      <c r="I462" s="397" t="s">
        <v>834</v>
      </c>
      <c r="J462" s="372">
        <v>45171</v>
      </c>
      <c r="K462" s="372">
        <v>45181</v>
      </c>
      <c r="L462" s="268">
        <f t="shared" si="270"/>
        <v>11</v>
      </c>
      <c r="M462" s="268" t="s">
        <v>1190</v>
      </c>
      <c r="N462" s="268">
        <v>980</v>
      </c>
      <c r="O462" s="268"/>
      <c r="P462" s="269">
        <f t="shared" si="290"/>
        <v>3266.666666666667</v>
      </c>
      <c r="Q462" s="269">
        <v>10</v>
      </c>
      <c r="R462" s="269">
        <f>((N462/L462)/24)*(8)</f>
        <v>29.696969696969699</v>
      </c>
      <c r="S462" s="269">
        <f t="shared" si="291"/>
        <v>3266.666666666667</v>
      </c>
      <c r="T462" s="357">
        <f t="shared" si="295"/>
        <v>7.3535149801605179E-2</v>
      </c>
      <c r="U462" s="361">
        <f t="shared" si="292"/>
        <v>1</v>
      </c>
      <c r="V462" s="357">
        <f t="shared" si="293"/>
        <v>0</v>
      </c>
      <c r="W462" s="357">
        <f t="shared" si="294"/>
        <v>7.3535149801605179E-2</v>
      </c>
      <c r="X462" s="357">
        <f t="shared" si="294"/>
        <v>0</v>
      </c>
      <c r="Y462" s="198">
        <f t="shared" si="296"/>
        <v>980</v>
      </c>
      <c r="Z462" s="435"/>
      <c r="AC462" s="267"/>
    </row>
    <row r="463" spans="8:29" x14ac:dyDescent="0.25">
      <c r="H463" s="268" t="s">
        <v>867</v>
      </c>
      <c r="I463" s="397" t="s">
        <v>836</v>
      </c>
      <c r="J463" s="372">
        <v>45178</v>
      </c>
      <c r="K463" s="372">
        <v>45185</v>
      </c>
      <c r="L463" s="268">
        <f t="shared" si="270"/>
        <v>8</v>
      </c>
      <c r="M463" s="268" t="s">
        <v>1183</v>
      </c>
      <c r="N463" s="268">
        <v>100</v>
      </c>
      <c r="O463" s="268"/>
      <c r="P463" s="269">
        <f t="shared" si="290"/>
        <v>560</v>
      </c>
      <c r="Q463" s="269">
        <v>10</v>
      </c>
      <c r="R463" s="269">
        <v>7</v>
      </c>
      <c r="S463" s="269">
        <f t="shared" si="291"/>
        <v>560</v>
      </c>
      <c r="T463" s="357">
        <f t="shared" si="295"/>
        <v>1.2606025680275173E-2</v>
      </c>
      <c r="U463" s="361">
        <f t="shared" si="292"/>
        <v>1</v>
      </c>
      <c r="V463" s="357">
        <f t="shared" si="293"/>
        <v>0</v>
      </c>
      <c r="W463" s="357">
        <f t="shared" si="294"/>
        <v>1.2606025680275173E-2</v>
      </c>
      <c r="X463" s="357">
        <f t="shared" si="294"/>
        <v>0</v>
      </c>
      <c r="Y463" s="198">
        <f t="shared" si="296"/>
        <v>100</v>
      </c>
      <c r="Z463" s="435"/>
      <c r="AC463" s="267"/>
    </row>
    <row r="464" spans="8:29" x14ac:dyDescent="0.25">
      <c r="H464" s="268" t="s">
        <v>868</v>
      </c>
      <c r="I464" s="397" t="s">
        <v>838</v>
      </c>
      <c r="J464" s="372">
        <v>45186</v>
      </c>
      <c r="K464" s="372">
        <v>45190</v>
      </c>
      <c r="L464" s="268">
        <f t="shared" si="270"/>
        <v>5</v>
      </c>
      <c r="M464" s="268" t="s">
        <v>1183</v>
      </c>
      <c r="N464" s="268">
        <v>100</v>
      </c>
      <c r="O464" s="268"/>
      <c r="P464" s="269">
        <f t="shared" si="290"/>
        <v>500</v>
      </c>
      <c r="Q464" s="269">
        <v>10</v>
      </c>
      <c r="R464" s="269">
        <v>10</v>
      </c>
      <c r="S464" s="269">
        <f t="shared" si="291"/>
        <v>500</v>
      </c>
      <c r="T464" s="357">
        <f t="shared" si="295"/>
        <v>1.1255380071674261E-2</v>
      </c>
      <c r="U464" s="361">
        <f t="shared" si="292"/>
        <v>1</v>
      </c>
      <c r="V464" s="357">
        <f t="shared" si="293"/>
        <v>0</v>
      </c>
      <c r="W464" s="357">
        <f t="shared" si="294"/>
        <v>1.1255380071674261E-2</v>
      </c>
      <c r="X464" s="357">
        <f t="shared" si="294"/>
        <v>0</v>
      </c>
      <c r="Y464" s="198">
        <f t="shared" si="296"/>
        <v>100</v>
      </c>
      <c r="Z464" s="435"/>
      <c r="AC464" s="267"/>
    </row>
    <row r="465" spans="8:29" x14ac:dyDescent="0.25">
      <c r="H465" s="268" t="s">
        <v>869</v>
      </c>
      <c r="I465" s="397" t="s">
        <v>840</v>
      </c>
      <c r="J465" s="372">
        <v>45192</v>
      </c>
      <c r="K465" s="372">
        <v>45196</v>
      </c>
      <c r="L465" s="268">
        <f t="shared" si="270"/>
        <v>5</v>
      </c>
      <c r="M465" s="268" t="s">
        <v>1183</v>
      </c>
      <c r="N465" s="268">
        <v>100</v>
      </c>
      <c r="O465" s="268"/>
      <c r="P465" s="269">
        <f t="shared" si="290"/>
        <v>150</v>
      </c>
      <c r="Q465" s="269">
        <v>10</v>
      </c>
      <c r="R465" s="269">
        <v>3</v>
      </c>
      <c r="S465" s="269">
        <f t="shared" si="291"/>
        <v>150</v>
      </c>
      <c r="T465" s="357">
        <f t="shared" si="295"/>
        <v>3.3766140215022783E-3</v>
      </c>
      <c r="U465" s="361">
        <f t="shared" si="292"/>
        <v>1</v>
      </c>
      <c r="V465" s="357">
        <f t="shared" si="293"/>
        <v>0</v>
      </c>
      <c r="W465" s="357">
        <f t="shared" si="294"/>
        <v>3.3766140215022783E-3</v>
      </c>
      <c r="X465" s="357">
        <f t="shared" si="294"/>
        <v>0</v>
      </c>
      <c r="Y465" s="198">
        <f t="shared" si="296"/>
        <v>100</v>
      </c>
      <c r="Z465" s="435"/>
      <c r="AC465" s="267"/>
    </row>
    <row r="466" spans="8:29" x14ac:dyDescent="0.25">
      <c r="H466" s="528" t="s">
        <v>870</v>
      </c>
      <c r="I466" s="529"/>
      <c r="J466" s="384">
        <v>45132</v>
      </c>
      <c r="K466" s="384">
        <v>45169</v>
      </c>
      <c r="L466" s="383">
        <f t="shared" si="270"/>
        <v>38</v>
      </c>
      <c r="M466" s="383"/>
      <c r="N466" s="383"/>
      <c r="O466" s="383"/>
      <c r="P466" s="391">
        <f>P467+P468+P469+P470+P471+P472</f>
        <v>7091.333333333333</v>
      </c>
      <c r="Q466" s="391"/>
      <c r="R466" s="391"/>
      <c r="S466" s="391">
        <f>S467+S468+S469+S470+S471+S472</f>
        <v>7091.333333333333</v>
      </c>
      <c r="T466" s="388">
        <f>S466/S450</f>
        <v>0.13765694600099906</v>
      </c>
      <c r="U466" s="383"/>
      <c r="V466" s="388"/>
      <c r="W466" s="388">
        <f>W467+W468+W469+W470+W471+W472</f>
        <v>1</v>
      </c>
      <c r="X466" s="388">
        <f>X467+X468+X469+X470+X471+X472</f>
        <v>0</v>
      </c>
      <c r="Y466" s="198">
        <f t="shared" si="296"/>
        <v>0</v>
      </c>
      <c r="Z466" s="435"/>
      <c r="AC466" s="267"/>
    </row>
    <row r="467" spans="8:29" x14ac:dyDescent="0.25">
      <c r="H467" s="268" t="s">
        <v>871</v>
      </c>
      <c r="I467" s="397" t="s">
        <v>843</v>
      </c>
      <c r="J467" s="372">
        <v>45132</v>
      </c>
      <c r="K467" s="372">
        <v>45133</v>
      </c>
      <c r="L467" s="268">
        <f t="shared" si="270"/>
        <v>2</v>
      </c>
      <c r="M467" s="268" t="s">
        <v>1183</v>
      </c>
      <c r="N467" s="268">
        <v>100</v>
      </c>
      <c r="O467" s="268"/>
      <c r="P467" s="269">
        <f t="shared" ref="P467:P472" si="297">L467*Q467*R467</f>
        <v>200</v>
      </c>
      <c r="Q467" s="269">
        <v>10</v>
      </c>
      <c r="R467" s="269">
        <v>10</v>
      </c>
      <c r="S467" s="269">
        <f t="shared" ref="S467:S472" si="298">P467</f>
        <v>200</v>
      </c>
      <c r="T467" s="357">
        <f>S467/$S$466</f>
        <v>2.8203440819780014E-2</v>
      </c>
      <c r="U467" s="361">
        <f t="shared" ref="U467:U472" si="299">IF($J467&gt;U$5,0,IF($K467&lt;U$5,1,IF(U$5=$K467,1,((U$5-$J467+1)/($K467-$J467+1)))))</f>
        <v>1</v>
      </c>
      <c r="V467" s="357">
        <f t="shared" ref="V467:V472" si="300">IFERROR(O467/N467,0)</f>
        <v>0</v>
      </c>
      <c r="W467" s="357">
        <f t="shared" ref="W467:X472" si="301">U467*$T467</f>
        <v>2.8203440819780014E-2</v>
      </c>
      <c r="X467" s="357">
        <f t="shared" si="301"/>
        <v>0</v>
      </c>
      <c r="Y467" s="198">
        <f t="shared" si="296"/>
        <v>100</v>
      </c>
      <c r="Z467" s="435"/>
      <c r="AC467" s="267"/>
    </row>
    <row r="468" spans="8:29" x14ac:dyDescent="0.25">
      <c r="H468" s="268" t="s">
        <v>872</v>
      </c>
      <c r="I468" s="397" t="s">
        <v>845</v>
      </c>
      <c r="J468" s="372">
        <v>45134</v>
      </c>
      <c r="K468" s="372">
        <v>45145</v>
      </c>
      <c r="L468" s="268">
        <f t="shared" si="270"/>
        <v>12</v>
      </c>
      <c r="M468" s="268" t="s">
        <v>1186</v>
      </c>
      <c r="N468" s="268">
        <v>5000</v>
      </c>
      <c r="O468" s="268"/>
      <c r="P468" s="269">
        <f t="shared" si="297"/>
        <v>288</v>
      </c>
      <c r="Q468" s="269">
        <v>24</v>
      </c>
      <c r="R468" s="269">
        <v>1</v>
      </c>
      <c r="S468" s="269">
        <f t="shared" si="298"/>
        <v>288</v>
      </c>
      <c r="T468" s="357">
        <f t="shared" ref="T468:T472" si="302">S468/$S$466</f>
        <v>4.0612954780483219E-2</v>
      </c>
      <c r="U468" s="361">
        <f t="shared" si="299"/>
        <v>1</v>
      </c>
      <c r="V468" s="357">
        <f t="shared" si="300"/>
        <v>0</v>
      </c>
      <c r="W468" s="357">
        <f t="shared" si="301"/>
        <v>4.0612954780483219E-2</v>
      </c>
      <c r="X468" s="357">
        <f t="shared" si="301"/>
        <v>0</v>
      </c>
      <c r="Y468" s="198">
        <f t="shared" si="296"/>
        <v>5000</v>
      </c>
      <c r="Z468" s="435"/>
      <c r="AC468" s="267"/>
    </row>
    <row r="469" spans="8:29" x14ac:dyDescent="0.25">
      <c r="H469" s="268" t="s">
        <v>873</v>
      </c>
      <c r="I469" s="397" t="s">
        <v>847</v>
      </c>
      <c r="J469" s="372">
        <v>45146</v>
      </c>
      <c r="K469" s="372">
        <v>45147</v>
      </c>
      <c r="L469" s="268">
        <f t="shared" si="270"/>
        <v>2</v>
      </c>
      <c r="M469" s="268" t="s">
        <v>1183</v>
      </c>
      <c r="N469" s="268">
        <v>100</v>
      </c>
      <c r="O469" s="268"/>
      <c r="P469" s="269">
        <f t="shared" si="297"/>
        <v>200</v>
      </c>
      <c r="Q469" s="269">
        <v>10</v>
      </c>
      <c r="R469" s="269">
        <v>10</v>
      </c>
      <c r="S469" s="269">
        <f t="shared" si="298"/>
        <v>200</v>
      </c>
      <c r="T469" s="357">
        <f t="shared" si="302"/>
        <v>2.8203440819780014E-2</v>
      </c>
      <c r="U469" s="361">
        <f t="shared" si="299"/>
        <v>1</v>
      </c>
      <c r="V469" s="357">
        <f t="shared" si="300"/>
        <v>0</v>
      </c>
      <c r="W469" s="357">
        <f t="shared" si="301"/>
        <v>2.8203440819780014E-2</v>
      </c>
      <c r="X469" s="357">
        <f t="shared" si="301"/>
        <v>0</v>
      </c>
      <c r="Y469" s="198">
        <f t="shared" si="296"/>
        <v>100</v>
      </c>
      <c r="Z469" s="435"/>
      <c r="AC469" s="267"/>
    </row>
    <row r="470" spans="8:29" x14ac:dyDescent="0.25">
      <c r="H470" s="268" t="s">
        <v>874</v>
      </c>
      <c r="I470" s="397" t="s">
        <v>849</v>
      </c>
      <c r="J470" s="372">
        <v>45148</v>
      </c>
      <c r="K470" s="372">
        <v>45150</v>
      </c>
      <c r="L470" s="268">
        <f t="shared" si="270"/>
        <v>3</v>
      </c>
      <c r="M470" s="268" t="s">
        <v>1183</v>
      </c>
      <c r="N470" s="268">
        <v>100</v>
      </c>
      <c r="O470" s="268"/>
      <c r="P470" s="269">
        <f t="shared" si="297"/>
        <v>300</v>
      </c>
      <c r="Q470" s="269">
        <v>10</v>
      </c>
      <c r="R470" s="269">
        <v>10</v>
      </c>
      <c r="S470" s="269">
        <f t="shared" si="298"/>
        <v>300</v>
      </c>
      <c r="T470" s="357">
        <f t="shared" si="302"/>
        <v>4.230516122967002E-2</v>
      </c>
      <c r="U470" s="361">
        <f t="shared" si="299"/>
        <v>1</v>
      </c>
      <c r="V470" s="357">
        <f t="shared" si="300"/>
        <v>0</v>
      </c>
      <c r="W470" s="357">
        <f t="shared" si="301"/>
        <v>4.230516122967002E-2</v>
      </c>
      <c r="X470" s="357">
        <f t="shared" si="301"/>
        <v>0</v>
      </c>
      <c r="Y470" s="198">
        <f t="shared" si="296"/>
        <v>100</v>
      </c>
      <c r="Z470" s="435"/>
      <c r="AC470" s="267"/>
    </row>
    <row r="471" spans="8:29" x14ac:dyDescent="0.25">
      <c r="H471" s="268" t="s">
        <v>875</v>
      </c>
      <c r="I471" s="397" t="s">
        <v>851</v>
      </c>
      <c r="J471" s="372">
        <v>45148</v>
      </c>
      <c r="K471" s="372">
        <v>45155</v>
      </c>
      <c r="L471" s="268">
        <f t="shared" si="270"/>
        <v>8</v>
      </c>
      <c r="M471" s="268" t="s">
        <v>1183</v>
      </c>
      <c r="N471" s="268">
        <v>100</v>
      </c>
      <c r="O471" s="268"/>
      <c r="P471" s="269">
        <f t="shared" si="297"/>
        <v>800</v>
      </c>
      <c r="Q471" s="269">
        <v>10</v>
      </c>
      <c r="R471" s="269">
        <v>10</v>
      </c>
      <c r="S471" s="269">
        <f t="shared" si="298"/>
        <v>800</v>
      </c>
      <c r="T471" s="357">
        <f t="shared" si="302"/>
        <v>0.11281376327912006</v>
      </c>
      <c r="U471" s="361">
        <f t="shared" si="299"/>
        <v>1</v>
      </c>
      <c r="V471" s="357">
        <f t="shared" si="300"/>
        <v>0</v>
      </c>
      <c r="W471" s="357">
        <f t="shared" si="301"/>
        <v>0.11281376327912006</v>
      </c>
      <c r="X471" s="357">
        <f t="shared" si="301"/>
        <v>0</v>
      </c>
      <c r="Y471" s="198">
        <f t="shared" si="296"/>
        <v>100</v>
      </c>
      <c r="Z471" s="435"/>
      <c r="AC471" s="267"/>
    </row>
    <row r="472" spans="8:29" x14ac:dyDescent="0.25">
      <c r="H472" s="268" t="s">
        <v>876</v>
      </c>
      <c r="I472" s="397" t="s">
        <v>853</v>
      </c>
      <c r="J472" s="372">
        <v>45157</v>
      </c>
      <c r="K472" s="372">
        <v>45169</v>
      </c>
      <c r="L472" s="268">
        <f t="shared" si="270"/>
        <v>13</v>
      </c>
      <c r="M472" s="268" t="s">
        <v>1187</v>
      </c>
      <c r="N472" s="268">
        <v>7955</v>
      </c>
      <c r="O472" s="268"/>
      <c r="P472" s="269">
        <f t="shared" si="297"/>
        <v>5303.333333333333</v>
      </c>
      <c r="Q472" s="269">
        <v>10</v>
      </c>
      <c r="R472" s="269">
        <f>((N472/L472)/150)*(2+2+6)</f>
        <v>40.794871794871796</v>
      </c>
      <c r="S472" s="269">
        <f t="shared" si="298"/>
        <v>5303.333333333333</v>
      </c>
      <c r="T472" s="357">
        <f t="shared" si="302"/>
        <v>0.74786123907116664</v>
      </c>
      <c r="U472" s="361">
        <f t="shared" si="299"/>
        <v>1</v>
      </c>
      <c r="V472" s="357">
        <f t="shared" si="300"/>
        <v>0</v>
      </c>
      <c r="W472" s="357">
        <f t="shared" si="301"/>
        <v>0.74786123907116664</v>
      </c>
      <c r="X472" s="357">
        <f t="shared" si="301"/>
        <v>0</v>
      </c>
      <c r="Y472" s="198">
        <f t="shared" si="296"/>
        <v>7955</v>
      </c>
      <c r="Z472" s="435"/>
      <c r="AC472" s="267"/>
    </row>
    <row r="473" spans="8:29" x14ac:dyDescent="0.25">
      <c r="H473" s="522" t="s">
        <v>877</v>
      </c>
      <c r="I473" s="523"/>
      <c r="J473" s="378">
        <v>45017</v>
      </c>
      <c r="K473" s="378">
        <v>45174</v>
      </c>
      <c r="L473" s="377">
        <f t="shared" si="270"/>
        <v>158</v>
      </c>
      <c r="M473" s="377"/>
      <c r="N473" s="377"/>
      <c r="O473" s="377"/>
      <c r="P473" s="377">
        <f>P474+P491</f>
        <v>21681</v>
      </c>
      <c r="Q473" s="377"/>
      <c r="R473" s="377"/>
      <c r="S473" s="387">
        <f>S474+S491</f>
        <v>21681</v>
      </c>
      <c r="T473" s="379">
        <f>S473/$S$426</f>
        <v>0.13564718742773743</v>
      </c>
      <c r="U473" s="382"/>
      <c r="V473" s="379"/>
      <c r="W473" s="379">
        <f>W474*T474+W491*T491</f>
        <v>0.99999999999999989</v>
      </c>
      <c r="X473" s="379">
        <f>X474*T474+X491*T491</f>
        <v>0</v>
      </c>
      <c r="Y473" s="198">
        <f t="shared" si="296"/>
        <v>0</v>
      </c>
      <c r="Z473" s="435"/>
      <c r="AC473" s="267"/>
    </row>
    <row r="474" spans="8:29" x14ac:dyDescent="0.25">
      <c r="H474" s="528" t="s">
        <v>878</v>
      </c>
      <c r="I474" s="529"/>
      <c r="J474" s="384">
        <v>45017</v>
      </c>
      <c r="K474" s="384">
        <v>45174</v>
      </c>
      <c r="L474" s="383">
        <f t="shared" si="270"/>
        <v>158</v>
      </c>
      <c r="M474" s="383"/>
      <c r="N474" s="383"/>
      <c r="O474" s="383"/>
      <c r="P474" s="391">
        <f>SUM(P475:P490)</f>
        <v>19061</v>
      </c>
      <c r="Q474" s="391"/>
      <c r="R474" s="391"/>
      <c r="S474" s="391">
        <f>SUM(S475:S490)</f>
        <v>19061</v>
      </c>
      <c r="T474" s="388">
        <f>S474/S473</f>
        <v>0.87915686545823535</v>
      </c>
      <c r="U474" s="383"/>
      <c r="V474" s="388"/>
      <c r="W474" s="388">
        <f>SUM(W475:W490)</f>
        <v>0.99999999999999989</v>
      </c>
      <c r="X474" s="388">
        <f>SUM(X475:X490)</f>
        <v>0</v>
      </c>
      <c r="Y474" s="198">
        <f t="shared" si="296"/>
        <v>0</v>
      </c>
      <c r="Z474" s="435"/>
      <c r="AC474" s="267"/>
    </row>
    <row r="475" spans="8:29" x14ac:dyDescent="0.25">
      <c r="H475" s="268" t="s">
        <v>879</v>
      </c>
      <c r="I475" s="397" t="s">
        <v>814</v>
      </c>
      <c r="J475" s="372">
        <v>45019</v>
      </c>
      <c r="K475" s="372">
        <v>45021</v>
      </c>
      <c r="L475" s="268">
        <f t="shared" si="270"/>
        <v>3</v>
      </c>
      <c r="M475" s="268" t="s">
        <v>1187</v>
      </c>
      <c r="N475" s="268">
        <v>180</v>
      </c>
      <c r="O475" s="268"/>
      <c r="P475" s="269">
        <f t="shared" ref="P475:P490" si="303">L475*Q475*R475</f>
        <v>45</v>
      </c>
      <c r="Q475" s="269">
        <v>10</v>
      </c>
      <c r="R475" s="269">
        <f>((N475/L475)/400)*(2+2+6)</f>
        <v>1.5</v>
      </c>
      <c r="S475" s="269">
        <f t="shared" ref="S475:S490" si="304">P475</f>
        <v>45</v>
      </c>
      <c r="T475" s="357">
        <f>S475/$S$474</f>
        <v>2.3608415088400398E-3</v>
      </c>
      <c r="U475" s="361">
        <f t="shared" ref="U475:U490" si="305">IF($J475&gt;U$5,0,IF($K475&lt;U$5,1,IF(U$5=$K475,1,((U$5-$J475+1)/($K475-$J475+1)))))</f>
        <v>1</v>
      </c>
      <c r="V475" s="357">
        <f t="shared" ref="V475:V490" si="306">IFERROR(O475/N475,0)</f>
        <v>0</v>
      </c>
      <c r="W475" s="357">
        <f t="shared" ref="W475:X490" si="307">U475*$T475</f>
        <v>2.3608415088400398E-3</v>
      </c>
      <c r="X475" s="357">
        <f t="shared" si="307"/>
        <v>0</v>
      </c>
      <c r="Y475" s="198">
        <f t="shared" si="296"/>
        <v>180</v>
      </c>
      <c r="Z475" s="435"/>
      <c r="AC475" s="267"/>
    </row>
    <row r="476" spans="8:29" x14ac:dyDescent="0.25">
      <c r="H476" s="268" t="s">
        <v>880</v>
      </c>
      <c r="I476" s="397" t="s">
        <v>816</v>
      </c>
      <c r="J476" s="372">
        <v>45022</v>
      </c>
      <c r="K476" s="372">
        <v>45033</v>
      </c>
      <c r="L476" s="268">
        <f t="shared" si="270"/>
        <v>12</v>
      </c>
      <c r="M476" s="268" t="s">
        <v>1193</v>
      </c>
      <c r="N476" s="268">
        <v>800</v>
      </c>
      <c r="O476" s="268"/>
      <c r="P476" s="269">
        <f t="shared" si="303"/>
        <v>320.00000000000006</v>
      </c>
      <c r="Q476" s="269">
        <v>10</v>
      </c>
      <c r="R476" s="269">
        <f>((N476/L476)/100)*(4)</f>
        <v>2.666666666666667</v>
      </c>
      <c r="S476" s="269">
        <f t="shared" si="304"/>
        <v>320.00000000000006</v>
      </c>
      <c r="T476" s="357">
        <f t="shared" ref="T476:T490" si="308">S476/$S$474</f>
        <v>1.678820628508473E-2</v>
      </c>
      <c r="U476" s="361">
        <f t="shared" si="305"/>
        <v>1</v>
      </c>
      <c r="V476" s="357">
        <f t="shared" si="306"/>
        <v>0</v>
      </c>
      <c r="W476" s="357">
        <f t="shared" si="307"/>
        <v>1.678820628508473E-2</v>
      </c>
      <c r="X476" s="357">
        <f t="shared" si="307"/>
        <v>0</v>
      </c>
      <c r="Y476" s="198">
        <f t="shared" si="296"/>
        <v>800</v>
      </c>
      <c r="Z476" s="435"/>
      <c r="AC476" s="267"/>
    </row>
    <row r="477" spans="8:29" x14ac:dyDescent="0.25">
      <c r="H477" s="268" t="s">
        <v>881</v>
      </c>
      <c r="I477" s="397" t="s">
        <v>822</v>
      </c>
      <c r="J477" s="372">
        <v>45017</v>
      </c>
      <c r="K477" s="372">
        <v>45045</v>
      </c>
      <c r="L477" s="268">
        <f t="shared" si="270"/>
        <v>29</v>
      </c>
      <c r="M477" s="268" t="s">
        <v>1182</v>
      </c>
      <c r="N477" s="268">
        <v>120</v>
      </c>
      <c r="O477" s="268"/>
      <c r="P477" s="269">
        <f t="shared" si="303"/>
        <v>870</v>
      </c>
      <c r="Q477" s="269">
        <v>10</v>
      </c>
      <c r="R477" s="269">
        <v>3</v>
      </c>
      <c r="S477" s="269">
        <f t="shared" si="304"/>
        <v>870</v>
      </c>
      <c r="T477" s="357">
        <f t="shared" si="308"/>
        <v>4.5642935837574103E-2</v>
      </c>
      <c r="U477" s="361">
        <f t="shared" si="305"/>
        <v>1</v>
      </c>
      <c r="V477" s="357">
        <f t="shared" si="306"/>
        <v>0</v>
      </c>
      <c r="W477" s="357">
        <f t="shared" si="307"/>
        <v>4.5642935837574103E-2</v>
      </c>
      <c r="X477" s="357">
        <f t="shared" si="307"/>
        <v>0</v>
      </c>
      <c r="Y477" s="198">
        <f t="shared" si="296"/>
        <v>120</v>
      </c>
      <c r="Z477" s="435"/>
      <c r="AC477" s="267"/>
    </row>
    <row r="478" spans="8:29" x14ac:dyDescent="0.25">
      <c r="H478" s="268" t="s">
        <v>882</v>
      </c>
      <c r="I478" s="397" t="s">
        <v>883</v>
      </c>
      <c r="J478" s="372">
        <v>45034</v>
      </c>
      <c r="K478" s="372">
        <v>45080</v>
      </c>
      <c r="L478" s="268">
        <f t="shared" si="270"/>
        <v>47</v>
      </c>
      <c r="M478" s="268" t="s">
        <v>1193</v>
      </c>
      <c r="N478" s="268">
        <v>4115</v>
      </c>
      <c r="O478" s="268"/>
      <c r="P478" s="269">
        <f t="shared" si="303"/>
        <v>9876</v>
      </c>
      <c r="Q478" s="269">
        <v>24</v>
      </c>
      <c r="R478" s="269">
        <f>((N478/L478)/25)*(1+1.5)</f>
        <v>8.7553191489361701</v>
      </c>
      <c r="S478" s="269">
        <f t="shared" si="304"/>
        <v>9876</v>
      </c>
      <c r="T478" s="357">
        <f t="shared" si="308"/>
        <v>0.51812601647342738</v>
      </c>
      <c r="U478" s="361">
        <f t="shared" si="305"/>
        <v>1</v>
      </c>
      <c r="V478" s="357">
        <f t="shared" si="306"/>
        <v>0</v>
      </c>
      <c r="W478" s="357">
        <f t="shared" si="307"/>
        <v>0.51812601647342738</v>
      </c>
      <c r="X478" s="357">
        <f t="shared" si="307"/>
        <v>0</v>
      </c>
      <c r="Y478" s="198">
        <f t="shared" si="296"/>
        <v>4115</v>
      </c>
      <c r="Z478" s="435"/>
      <c r="AA478" s="438"/>
      <c r="AC478" s="267"/>
    </row>
    <row r="479" spans="8:29" x14ac:dyDescent="0.25">
      <c r="H479" s="268" t="s">
        <v>884</v>
      </c>
      <c r="I479" s="397" t="s">
        <v>818</v>
      </c>
      <c r="J479" s="372">
        <v>45042</v>
      </c>
      <c r="K479" s="372">
        <v>45082</v>
      </c>
      <c r="L479" s="268">
        <f t="shared" si="270"/>
        <v>41</v>
      </c>
      <c r="M479" s="268" t="s">
        <v>1183</v>
      </c>
      <c r="N479" s="268">
        <v>100</v>
      </c>
      <c r="O479" s="268"/>
      <c r="P479" s="269">
        <f t="shared" si="303"/>
        <v>2870</v>
      </c>
      <c r="Q479" s="269">
        <v>10</v>
      </c>
      <c r="R479" s="269">
        <v>7</v>
      </c>
      <c r="S479" s="269">
        <f t="shared" si="304"/>
        <v>2870</v>
      </c>
      <c r="T479" s="357">
        <f t="shared" si="308"/>
        <v>0.15056922511935367</v>
      </c>
      <c r="U479" s="361">
        <f t="shared" si="305"/>
        <v>1</v>
      </c>
      <c r="V479" s="357">
        <f t="shared" si="306"/>
        <v>0</v>
      </c>
      <c r="W479" s="357">
        <f t="shared" si="307"/>
        <v>0.15056922511935367</v>
      </c>
      <c r="X479" s="357">
        <f t="shared" si="307"/>
        <v>0</v>
      </c>
      <c r="Y479" s="198">
        <f t="shared" si="296"/>
        <v>100</v>
      </c>
      <c r="Z479" s="435"/>
      <c r="AC479" s="267"/>
    </row>
    <row r="480" spans="8:29" x14ac:dyDescent="0.25">
      <c r="H480" s="268" t="s">
        <v>885</v>
      </c>
      <c r="I480" s="397" t="s">
        <v>886</v>
      </c>
      <c r="J480" s="372">
        <v>45081</v>
      </c>
      <c r="K480" s="372">
        <v>45088</v>
      </c>
      <c r="L480" s="268">
        <f t="shared" si="270"/>
        <v>8</v>
      </c>
      <c r="M480" s="268" t="s">
        <v>1193</v>
      </c>
      <c r="N480" s="268">
        <v>300</v>
      </c>
      <c r="O480" s="268"/>
      <c r="P480" s="269">
        <f t="shared" si="303"/>
        <v>150</v>
      </c>
      <c r="Q480" s="269">
        <v>10</v>
      </c>
      <c r="R480" s="269">
        <f>((N480/L480)/80)*(4)</f>
        <v>1.875</v>
      </c>
      <c r="S480" s="269">
        <f t="shared" si="304"/>
        <v>150</v>
      </c>
      <c r="T480" s="357">
        <f t="shared" si="308"/>
        <v>7.8694716961334663E-3</v>
      </c>
      <c r="U480" s="361">
        <f t="shared" si="305"/>
        <v>1</v>
      </c>
      <c r="V480" s="357">
        <f t="shared" si="306"/>
        <v>0</v>
      </c>
      <c r="W480" s="357">
        <f t="shared" si="307"/>
        <v>7.8694716961334663E-3</v>
      </c>
      <c r="X480" s="357">
        <f t="shared" si="307"/>
        <v>0</v>
      </c>
      <c r="Y480" s="198">
        <f t="shared" si="296"/>
        <v>300</v>
      </c>
      <c r="Z480" s="435"/>
      <c r="AC480" s="267"/>
    </row>
    <row r="481" spans="8:29" x14ac:dyDescent="0.25">
      <c r="H481" s="268" t="s">
        <v>887</v>
      </c>
      <c r="I481" s="397" t="s">
        <v>888</v>
      </c>
      <c r="J481" s="372">
        <v>45062</v>
      </c>
      <c r="K481" s="372">
        <v>45090</v>
      </c>
      <c r="L481" s="268">
        <f t="shared" ref="L481:L544" si="309">K481-J481+1</f>
        <v>29</v>
      </c>
      <c r="M481" s="268" t="s">
        <v>1193</v>
      </c>
      <c r="N481" s="268">
        <f>750/2</f>
        <v>375</v>
      </c>
      <c r="O481" s="268"/>
      <c r="P481" s="269">
        <f t="shared" si="303"/>
        <v>187.5</v>
      </c>
      <c r="Q481" s="269">
        <v>10</v>
      </c>
      <c r="R481" s="269">
        <f>((N481/L481)/80)*(4)</f>
        <v>0.64655172413793105</v>
      </c>
      <c r="S481" s="269">
        <f t="shared" si="304"/>
        <v>187.5</v>
      </c>
      <c r="T481" s="357">
        <f t="shared" si="308"/>
        <v>9.8368396201668328E-3</v>
      </c>
      <c r="U481" s="361">
        <f t="shared" si="305"/>
        <v>1</v>
      </c>
      <c r="V481" s="357">
        <f t="shared" si="306"/>
        <v>0</v>
      </c>
      <c r="W481" s="357">
        <f t="shared" si="307"/>
        <v>9.8368396201668328E-3</v>
      </c>
      <c r="X481" s="357">
        <f t="shared" si="307"/>
        <v>0</v>
      </c>
      <c r="Y481" s="198">
        <f t="shared" si="296"/>
        <v>375</v>
      </c>
      <c r="Z481" s="435"/>
      <c r="AC481" s="267"/>
    </row>
    <row r="482" spans="8:29" x14ac:dyDescent="0.25">
      <c r="H482" s="268" t="s">
        <v>889</v>
      </c>
      <c r="I482" s="397" t="s">
        <v>890</v>
      </c>
      <c r="J482" s="372">
        <v>45091</v>
      </c>
      <c r="K482" s="372">
        <v>45092</v>
      </c>
      <c r="L482" s="268">
        <f t="shared" si="309"/>
        <v>2</v>
      </c>
      <c r="M482" s="268" t="s">
        <v>1193</v>
      </c>
      <c r="N482" s="268">
        <v>300</v>
      </c>
      <c r="O482" s="268"/>
      <c r="P482" s="269">
        <f t="shared" si="303"/>
        <v>150</v>
      </c>
      <c r="Q482" s="269">
        <v>10</v>
      </c>
      <c r="R482" s="269">
        <f>((N482/L482)/80)*(4)</f>
        <v>7.5</v>
      </c>
      <c r="S482" s="269">
        <f t="shared" si="304"/>
        <v>150</v>
      </c>
      <c r="T482" s="357">
        <f t="shared" si="308"/>
        <v>7.8694716961334663E-3</v>
      </c>
      <c r="U482" s="361">
        <f t="shared" si="305"/>
        <v>1</v>
      </c>
      <c r="V482" s="357">
        <f t="shared" si="306"/>
        <v>0</v>
      </c>
      <c r="W482" s="357">
        <f t="shared" si="307"/>
        <v>7.8694716961334663E-3</v>
      </c>
      <c r="X482" s="357">
        <f t="shared" si="307"/>
        <v>0</v>
      </c>
      <c r="Y482" s="198">
        <f t="shared" si="296"/>
        <v>300</v>
      </c>
      <c r="Z482" s="435"/>
      <c r="AC482" s="267"/>
    </row>
    <row r="483" spans="8:29" x14ac:dyDescent="0.25">
      <c r="H483" s="268" t="s">
        <v>891</v>
      </c>
      <c r="I483" s="397" t="s">
        <v>830</v>
      </c>
      <c r="J483" s="372">
        <v>45081</v>
      </c>
      <c r="K483" s="372">
        <v>45097</v>
      </c>
      <c r="L483" s="268">
        <f t="shared" si="309"/>
        <v>17</v>
      </c>
      <c r="M483" s="268" t="s">
        <v>1193</v>
      </c>
      <c r="N483" s="268">
        <v>775</v>
      </c>
      <c r="O483" s="268"/>
      <c r="P483" s="269">
        <f t="shared" si="303"/>
        <v>1291.6666666666665</v>
      </c>
      <c r="Q483" s="269">
        <v>10</v>
      </c>
      <c r="R483" s="269">
        <f>((N483/L483)/15)*(1+1.5)</f>
        <v>7.5980392156862742</v>
      </c>
      <c r="S483" s="269">
        <f t="shared" si="304"/>
        <v>1291.6666666666665</v>
      </c>
      <c r="T483" s="357">
        <f t="shared" si="308"/>
        <v>6.776489516114928E-2</v>
      </c>
      <c r="U483" s="361">
        <f t="shared" si="305"/>
        <v>1</v>
      </c>
      <c r="V483" s="357">
        <f t="shared" si="306"/>
        <v>0</v>
      </c>
      <c r="W483" s="357">
        <f t="shared" si="307"/>
        <v>6.776489516114928E-2</v>
      </c>
      <c r="X483" s="357">
        <f t="shared" si="307"/>
        <v>0</v>
      </c>
      <c r="Y483" s="198">
        <f t="shared" si="296"/>
        <v>775</v>
      </c>
      <c r="Z483" s="435"/>
      <c r="AC483" s="267"/>
    </row>
    <row r="484" spans="8:29" x14ac:dyDescent="0.25">
      <c r="H484" s="268" t="s">
        <v>892</v>
      </c>
      <c r="I484" s="397" t="s">
        <v>828</v>
      </c>
      <c r="J484" s="372">
        <v>45081</v>
      </c>
      <c r="K484" s="372">
        <v>45097</v>
      </c>
      <c r="L484" s="268">
        <f t="shared" si="309"/>
        <v>17</v>
      </c>
      <c r="M484" s="268" t="s">
        <v>1190</v>
      </c>
      <c r="N484" s="268">
        <v>1200</v>
      </c>
      <c r="O484" s="268"/>
      <c r="P484" s="269">
        <f t="shared" si="303"/>
        <v>1200.0000000000002</v>
      </c>
      <c r="Q484" s="269">
        <v>10</v>
      </c>
      <c r="R484" s="269">
        <f>((N484/L484)/25)*(1+1.5)</f>
        <v>7.0588235294117654</v>
      </c>
      <c r="S484" s="269">
        <f t="shared" si="304"/>
        <v>1200.0000000000002</v>
      </c>
      <c r="T484" s="357">
        <f t="shared" si="308"/>
        <v>6.2955773569067744E-2</v>
      </c>
      <c r="U484" s="361">
        <f t="shared" si="305"/>
        <v>1</v>
      </c>
      <c r="V484" s="357">
        <f t="shared" si="306"/>
        <v>0</v>
      </c>
      <c r="W484" s="357">
        <f t="shared" si="307"/>
        <v>6.2955773569067744E-2</v>
      </c>
      <c r="X484" s="357">
        <f t="shared" si="307"/>
        <v>0</v>
      </c>
      <c r="Y484" s="198">
        <f t="shared" si="296"/>
        <v>1200</v>
      </c>
      <c r="Z484" s="435"/>
      <c r="AC484" s="267"/>
    </row>
    <row r="485" spans="8:29" x14ac:dyDescent="0.25">
      <c r="H485" s="268" t="s">
        <v>893</v>
      </c>
      <c r="I485" s="397" t="s">
        <v>894</v>
      </c>
      <c r="J485" s="372">
        <v>45094</v>
      </c>
      <c r="K485" s="372">
        <v>45116</v>
      </c>
      <c r="L485" s="268">
        <f t="shared" si="309"/>
        <v>23</v>
      </c>
      <c r="M485" s="268" t="s">
        <v>1193</v>
      </c>
      <c r="N485" s="268">
        <f>N481</f>
        <v>375</v>
      </c>
      <c r="O485" s="268"/>
      <c r="P485" s="269">
        <f t="shared" si="303"/>
        <v>187.50000000000003</v>
      </c>
      <c r="Q485" s="269">
        <v>10</v>
      </c>
      <c r="R485" s="269">
        <f>((N485/L485)/80)*(4)</f>
        <v>0.81521739130434789</v>
      </c>
      <c r="S485" s="269">
        <f t="shared" si="304"/>
        <v>187.50000000000003</v>
      </c>
      <c r="T485" s="357">
        <f t="shared" si="308"/>
        <v>9.8368396201668346E-3</v>
      </c>
      <c r="U485" s="361">
        <f t="shared" si="305"/>
        <v>1</v>
      </c>
      <c r="V485" s="357">
        <f t="shared" si="306"/>
        <v>0</v>
      </c>
      <c r="W485" s="357">
        <f t="shared" si="307"/>
        <v>9.8368396201668346E-3</v>
      </c>
      <c r="X485" s="357">
        <f t="shared" si="307"/>
        <v>0</v>
      </c>
      <c r="Y485" s="198">
        <f t="shared" si="296"/>
        <v>375</v>
      </c>
      <c r="Z485" s="435"/>
      <c r="AC485" s="267"/>
    </row>
    <row r="486" spans="8:29" x14ac:dyDescent="0.25">
      <c r="H486" s="268" t="s">
        <v>895</v>
      </c>
      <c r="I486" s="397" t="s">
        <v>832</v>
      </c>
      <c r="J486" s="372">
        <v>45117</v>
      </c>
      <c r="K486" s="372">
        <v>45122</v>
      </c>
      <c r="L486" s="268">
        <f t="shared" si="309"/>
        <v>6</v>
      </c>
      <c r="M486" s="268" t="s">
        <v>1183</v>
      </c>
      <c r="N486" s="268">
        <v>100</v>
      </c>
      <c r="O486" s="268"/>
      <c r="P486" s="269">
        <f t="shared" si="303"/>
        <v>0</v>
      </c>
      <c r="Q486" s="269">
        <v>10</v>
      </c>
      <c r="R486" s="269"/>
      <c r="S486" s="269">
        <f t="shared" si="304"/>
        <v>0</v>
      </c>
      <c r="T486" s="357">
        <f t="shared" si="308"/>
        <v>0</v>
      </c>
      <c r="U486" s="361">
        <f t="shared" si="305"/>
        <v>1</v>
      </c>
      <c r="V486" s="357">
        <f t="shared" si="306"/>
        <v>0</v>
      </c>
      <c r="W486" s="357">
        <f t="shared" si="307"/>
        <v>0</v>
      </c>
      <c r="X486" s="357">
        <f t="shared" si="307"/>
        <v>0</v>
      </c>
      <c r="Y486" s="198">
        <f t="shared" si="296"/>
        <v>100</v>
      </c>
      <c r="Z486" s="435"/>
      <c r="AC486" s="267"/>
    </row>
    <row r="487" spans="8:29" x14ac:dyDescent="0.25">
      <c r="H487" s="268" t="s">
        <v>896</v>
      </c>
      <c r="I487" s="397" t="s">
        <v>834</v>
      </c>
      <c r="J487" s="372">
        <v>45152</v>
      </c>
      <c r="K487" s="372">
        <v>45159</v>
      </c>
      <c r="L487" s="268">
        <f t="shared" si="309"/>
        <v>8</v>
      </c>
      <c r="M487" s="268" t="s">
        <v>1190</v>
      </c>
      <c r="N487" s="268">
        <v>310</v>
      </c>
      <c r="O487" s="268"/>
      <c r="P487" s="269">
        <f t="shared" si="303"/>
        <v>1033.3333333333333</v>
      </c>
      <c r="Q487" s="269">
        <v>10</v>
      </c>
      <c r="R487" s="269">
        <f>((N487/L487)/24)*(8)</f>
        <v>12.916666666666666</v>
      </c>
      <c r="S487" s="269">
        <f t="shared" si="304"/>
        <v>1033.3333333333333</v>
      </c>
      <c r="T487" s="357">
        <f t="shared" si="308"/>
        <v>5.421191612891943E-2</v>
      </c>
      <c r="U487" s="361">
        <f t="shared" si="305"/>
        <v>1</v>
      </c>
      <c r="V487" s="357">
        <f t="shared" si="306"/>
        <v>0</v>
      </c>
      <c r="W487" s="357">
        <f t="shared" si="307"/>
        <v>5.421191612891943E-2</v>
      </c>
      <c r="X487" s="357">
        <f t="shared" si="307"/>
        <v>0</v>
      </c>
      <c r="Y487" s="198">
        <f t="shared" si="296"/>
        <v>310</v>
      </c>
      <c r="Z487" s="435"/>
      <c r="AC487" s="267"/>
    </row>
    <row r="488" spans="8:29" x14ac:dyDescent="0.25">
      <c r="H488" s="268" t="s">
        <v>897</v>
      </c>
      <c r="I488" s="397" t="s">
        <v>836</v>
      </c>
      <c r="J488" s="372">
        <v>45158</v>
      </c>
      <c r="K488" s="372">
        <v>45162</v>
      </c>
      <c r="L488" s="268">
        <f t="shared" si="309"/>
        <v>5</v>
      </c>
      <c r="M488" s="268" t="s">
        <v>1183</v>
      </c>
      <c r="N488" s="268">
        <v>100</v>
      </c>
      <c r="O488" s="268"/>
      <c r="P488" s="269">
        <f t="shared" si="303"/>
        <v>350</v>
      </c>
      <c r="Q488" s="269">
        <v>10</v>
      </c>
      <c r="R488" s="269">
        <v>7</v>
      </c>
      <c r="S488" s="269">
        <f t="shared" si="304"/>
        <v>350</v>
      </c>
      <c r="T488" s="357">
        <f t="shared" si="308"/>
        <v>1.8362100624311421E-2</v>
      </c>
      <c r="U488" s="361">
        <f t="shared" si="305"/>
        <v>1</v>
      </c>
      <c r="V488" s="357">
        <f t="shared" si="306"/>
        <v>0</v>
      </c>
      <c r="W488" s="357">
        <f t="shared" si="307"/>
        <v>1.8362100624311421E-2</v>
      </c>
      <c r="X488" s="357">
        <f t="shared" si="307"/>
        <v>0</v>
      </c>
      <c r="Y488" s="198">
        <f t="shared" si="296"/>
        <v>100</v>
      </c>
      <c r="Z488" s="435"/>
      <c r="AC488" s="267"/>
    </row>
    <row r="489" spans="8:29" x14ac:dyDescent="0.25">
      <c r="H489" s="268" t="s">
        <v>898</v>
      </c>
      <c r="I489" s="397" t="s">
        <v>838</v>
      </c>
      <c r="J489" s="372">
        <v>45164</v>
      </c>
      <c r="K489" s="372">
        <v>45168</v>
      </c>
      <c r="L489" s="268">
        <f t="shared" si="309"/>
        <v>5</v>
      </c>
      <c r="M489" s="268" t="s">
        <v>1183</v>
      </c>
      <c r="N489" s="268">
        <v>100</v>
      </c>
      <c r="O489" s="268"/>
      <c r="P489" s="269">
        <f t="shared" si="303"/>
        <v>350</v>
      </c>
      <c r="Q489" s="269">
        <v>10</v>
      </c>
      <c r="R489" s="269">
        <v>7</v>
      </c>
      <c r="S489" s="269">
        <f t="shared" si="304"/>
        <v>350</v>
      </c>
      <c r="T489" s="357">
        <f t="shared" si="308"/>
        <v>1.8362100624311421E-2</v>
      </c>
      <c r="U489" s="361">
        <f t="shared" si="305"/>
        <v>1</v>
      </c>
      <c r="V489" s="357">
        <f t="shared" si="306"/>
        <v>0</v>
      </c>
      <c r="W489" s="357">
        <f t="shared" si="307"/>
        <v>1.8362100624311421E-2</v>
      </c>
      <c r="X489" s="357">
        <f t="shared" si="307"/>
        <v>0</v>
      </c>
      <c r="Y489" s="198">
        <f t="shared" si="296"/>
        <v>100</v>
      </c>
      <c r="Z489" s="435"/>
      <c r="AC489" s="267"/>
    </row>
    <row r="490" spans="8:29" x14ac:dyDescent="0.25">
      <c r="H490" s="268" t="s">
        <v>899</v>
      </c>
      <c r="I490" s="397" t="s">
        <v>840</v>
      </c>
      <c r="J490" s="372">
        <v>45169</v>
      </c>
      <c r="K490" s="372">
        <v>45174</v>
      </c>
      <c r="L490" s="268">
        <f t="shared" si="309"/>
        <v>6</v>
      </c>
      <c r="M490" s="268" t="s">
        <v>1183</v>
      </c>
      <c r="N490" s="268">
        <v>100</v>
      </c>
      <c r="O490" s="268"/>
      <c r="P490" s="269">
        <f t="shared" si="303"/>
        <v>180</v>
      </c>
      <c r="Q490" s="269">
        <v>10</v>
      </c>
      <c r="R490" s="269">
        <v>3</v>
      </c>
      <c r="S490" s="269">
        <f t="shared" si="304"/>
        <v>180</v>
      </c>
      <c r="T490" s="357">
        <f t="shared" si="308"/>
        <v>9.4433660353601592E-3</v>
      </c>
      <c r="U490" s="361">
        <f t="shared" si="305"/>
        <v>1</v>
      </c>
      <c r="V490" s="357">
        <f t="shared" si="306"/>
        <v>0</v>
      </c>
      <c r="W490" s="357">
        <f t="shared" si="307"/>
        <v>9.4433660353601592E-3</v>
      </c>
      <c r="X490" s="357">
        <f t="shared" si="307"/>
        <v>0</v>
      </c>
      <c r="Y490" s="198">
        <f t="shared" si="296"/>
        <v>100</v>
      </c>
      <c r="Z490" s="435"/>
      <c r="AC490" s="267"/>
    </row>
    <row r="491" spans="8:29" x14ac:dyDescent="0.25">
      <c r="H491" s="528" t="s">
        <v>900</v>
      </c>
      <c r="I491" s="529"/>
      <c r="J491" s="384">
        <v>45123</v>
      </c>
      <c r="K491" s="384">
        <v>45151</v>
      </c>
      <c r="L491" s="383">
        <f t="shared" si="309"/>
        <v>29</v>
      </c>
      <c r="M491" s="383"/>
      <c r="N491" s="383"/>
      <c r="O491" s="383"/>
      <c r="P491" s="391">
        <f>P492+P493+P494+P495+P496+P497</f>
        <v>2620</v>
      </c>
      <c r="Q491" s="391"/>
      <c r="R491" s="391"/>
      <c r="S491" s="391">
        <f>S492+S493+S494+S495+S496+S497</f>
        <v>2620</v>
      </c>
      <c r="T491" s="388">
        <f>S491/S473</f>
        <v>0.12084313454176468</v>
      </c>
      <c r="U491" s="383"/>
      <c r="V491" s="388"/>
      <c r="W491" s="388">
        <f>W492+W493+W494+W495+W496+W497</f>
        <v>0.99999999999999989</v>
      </c>
      <c r="X491" s="388">
        <f>X492+X493+X494+X495+X496+X497</f>
        <v>0</v>
      </c>
      <c r="Y491" s="198">
        <f t="shared" si="296"/>
        <v>0</v>
      </c>
      <c r="Z491" s="435"/>
      <c r="AC491" s="267"/>
    </row>
    <row r="492" spans="8:29" x14ac:dyDescent="0.25">
      <c r="H492" s="268" t="s">
        <v>901</v>
      </c>
      <c r="I492" s="397" t="s">
        <v>843</v>
      </c>
      <c r="J492" s="372">
        <v>45123</v>
      </c>
      <c r="K492" s="372">
        <v>45124</v>
      </c>
      <c r="L492" s="268">
        <f t="shared" si="309"/>
        <v>2</v>
      </c>
      <c r="M492" s="268" t="s">
        <v>1183</v>
      </c>
      <c r="N492" s="268">
        <v>100</v>
      </c>
      <c r="O492" s="268"/>
      <c r="P492" s="269">
        <f t="shared" ref="P492:P497" si="310">L492*Q492*R492</f>
        <v>160</v>
      </c>
      <c r="Q492" s="269">
        <v>10</v>
      </c>
      <c r="R492" s="269">
        <v>8</v>
      </c>
      <c r="S492" s="269">
        <f t="shared" ref="S492:S497" si="311">P492</f>
        <v>160</v>
      </c>
      <c r="T492" s="357">
        <f>S492/$S$491</f>
        <v>6.1068702290076333E-2</v>
      </c>
      <c r="U492" s="361">
        <f t="shared" ref="U492:U497" si="312">IF($J492&gt;U$5,0,IF($K492&lt;U$5,1,IF(U$5=$K492,1,((U$5-$J492+1)/($K492-$J492+1)))))</f>
        <v>1</v>
      </c>
      <c r="V492" s="357">
        <f t="shared" ref="V492:V497" si="313">IFERROR(O492/N492,0)</f>
        <v>0</v>
      </c>
      <c r="W492" s="357">
        <f t="shared" ref="W492:X497" si="314">U492*$T492</f>
        <v>6.1068702290076333E-2</v>
      </c>
      <c r="X492" s="357">
        <f t="shared" si="314"/>
        <v>0</v>
      </c>
      <c r="Y492" s="198">
        <f t="shared" si="296"/>
        <v>100</v>
      </c>
      <c r="Z492" s="435"/>
      <c r="AC492" s="267"/>
    </row>
    <row r="493" spans="8:29" x14ac:dyDescent="0.25">
      <c r="H493" s="268" t="s">
        <v>902</v>
      </c>
      <c r="I493" s="397" t="s">
        <v>845</v>
      </c>
      <c r="J493" s="372">
        <v>45126</v>
      </c>
      <c r="K493" s="372">
        <v>45132</v>
      </c>
      <c r="L493" s="268">
        <f t="shared" si="309"/>
        <v>7</v>
      </c>
      <c r="M493" s="268" t="s">
        <v>1186</v>
      </c>
      <c r="N493" s="268">
        <v>1200</v>
      </c>
      <c r="O493" s="268"/>
      <c r="P493" s="269">
        <f t="shared" si="310"/>
        <v>70</v>
      </c>
      <c r="Q493" s="269">
        <v>10</v>
      </c>
      <c r="R493" s="269">
        <v>1</v>
      </c>
      <c r="S493" s="269">
        <f t="shared" si="311"/>
        <v>70</v>
      </c>
      <c r="T493" s="357">
        <f t="shared" ref="T493:T497" si="315">S493/$S$491</f>
        <v>2.6717557251908396E-2</v>
      </c>
      <c r="U493" s="361">
        <f t="shared" si="312"/>
        <v>1</v>
      </c>
      <c r="V493" s="357">
        <f t="shared" si="313"/>
        <v>0</v>
      </c>
      <c r="W493" s="357">
        <f t="shared" si="314"/>
        <v>2.6717557251908396E-2</v>
      </c>
      <c r="X493" s="357">
        <f t="shared" si="314"/>
        <v>0</v>
      </c>
      <c r="Y493" s="198">
        <f t="shared" si="296"/>
        <v>1200</v>
      </c>
      <c r="Z493" s="435"/>
      <c r="AC493" s="267"/>
    </row>
    <row r="494" spans="8:29" x14ac:dyDescent="0.25">
      <c r="H494" s="268" t="s">
        <v>903</v>
      </c>
      <c r="I494" s="397" t="s">
        <v>847</v>
      </c>
      <c r="J494" s="372">
        <v>45133</v>
      </c>
      <c r="K494" s="372">
        <v>45134</v>
      </c>
      <c r="L494" s="268">
        <f t="shared" si="309"/>
        <v>2</v>
      </c>
      <c r="M494" s="268" t="s">
        <v>1183</v>
      </c>
      <c r="N494" s="268">
        <v>100</v>
      </c>
      <c r="O494" s="268"/>
      <c r="P494" s="269">
        <f t="shared" si="310"/>
        <v>160</v>
      </c>
      <c r="Q494" s="269">
        <v>10</v>
      </c>
      <c r="R494" s="269">
        <v>8</v>
      </c>
      <c r="S494" s="269">
        <f t="shared" si="311"/>
        <v>160</v>
      </c>
      <c r="T494" s="357">
        <f t="shared" si="315"/>
        <v>6.1068702290076333E-2</v>
      </c>
      <c r="U494" s="361">
        <f t="shared" si="312"/>
        <v>1</v>
      </c>
      <c r="V494" s="357">
        <f t="shared" si="313"/>
        <v>0</v>
      </c>
      <c r="W494" s="357">
        <f t="shared" si="314"/>
        <v>6.1068702290076333E-2</v>
      </c>
      <c r="X494" s="357">
        <f t="shared" si="314"/>
        <v>0</v>
      </c>
      <c r="Y494" s="198">
        <f t="shared" si="296"/>
        <v>100</v>
      </c>
      <c r="Z494" s="435"/>
      <c r="AC494" s="267"/>
    </row>
    <row r="495" spans="8:29" x14ac:dyDescent="0.25">
      <c r="H495" s="268" t="s">
        <v>904</v>
      </c>
      <c r="I495" s="397" t="s">
        <v>849</v>
      </c>
      <c r="J495" s="372">
        <v>45136</v>
      </c>
      <c r="K495" s="372">
        <v>45137</v>
      </c>
      <c r="L495" s="268">
        <f t="shared" si="309"/>
        <v>2</v>
      </c>
      <c r="M495" s="268" t="s">
        <v>1183</v>
      </c>
      <c r="N495" s="268">
        <v>100</v>
      </c>
      <c r="O495" s="268"/>
      <c r="P495" s="269">
        <f t="shared" si="310"/>
        <v>160</v>
      </c>
      <c r="Q495" s="269">
        <v>10</v>
      </c>
      <c r="R495" s="269">
        <v>8</v>
      </c>
      <c r="S495" s="269">
        <f t="shared" si="311"/>
        <v>160</v>
      </c>
      <c r="T495" s="357">
        <f t="shared" si="315"/>
        <v>6.1068702290076333E-2</v>
      </c>
      <c r="U495" s="361">
        <f t="shared" si="312"/>
        <v>1</v>
      </c>
      <c r="V495" s="357">
        <f t="shared" si="313"/>
        <v>0</v>
      </c>
      <c r="W495" s="357">
        <f t="shared" si="314"/>
        <v>6.1068702290076333E-2</v>
      </c>
      <c r="X495" s="357">
        <f t="shared" si="314"/>
        <v>0</v>
      </c>
      <c r="Y495" s="198">
        <f t="shared" si="296"/>
        <v>100</v>
      </c>
      <c r="Z495" s="435"/>
      <c r="AC495" s="267"/>
    </row>
    <row r="496" spans="8:29" x14ac:dyDescent="0.25">
      <c r="H496" s="268" t="s">
        <v>905</v>
      </c>
      <c r="I496" s="397" t="s">
        <v>851</v>
      </c>
      <c r="J496" s="372">
        <v>45136</v>
      </c>
      <c r="K496" s="372">
        <v>45140</v>
      </c>
      <c r="L496" s="268">
        <f t="shared" si="309"/>
        <v>5</v>
      </c>
      <c r="M496" s="268" t="s">
        <v>1183</v>
      </c>
      <c r="N496" s="268">
        <v>100</v>
      </c>
      <c r="O496" s="268"/>
      <c r="P496" s="269">
        <f t="shared" si="310"/>
        <v>350</v>
      </c>
      <c r="Q496" s="269">
        <v>10</v>
      </c>
      <c r="R496" s="269">
        <v>7</v>
      </c>
      <c r="S496" s="269">
        <f t="shared" si="311"/>
        <v>350</v>
      </c>
      <c r="T496" s="357">
        <f t="shared" si="315"/>
        <v>0.13358778625954199</v>
      </c>
      <c r="U496" s="361">
        <f t="shared" si="312"/>
        <v>1</v>
      </c>
      <c r="V496" s="357">
        <f t="shared" si="313"/>
        <v>0</v>
      </c>
      <c r="W496" s="357">
        <f t="shared" si="314"/>
        <v>0.13358778625954199</v>
      </c>
      <c r="X496" s="357">
        <f t="shared" si="314"/>
        <v>0</v>
      </c>
      <c r="Y496" s="198">
        <f t="shared" si="296"/>
        <v>100</v>
      </c>
      <c r="Z496" s="435"/>
      <c r="AC496" s="267"/>
    </row>
    <row r="497" spans="8:29" x14ac:dyDescent="0.25">
      <c r="H497" s="268" t="s">
        <v>906</v>
      </c>
      <c r="I497" s="397" t="s">
        <v>853</v>
      </c>
      <c r="J497" s="372">
        <v>45141</v>
      </c>
      <c r="K497" s="372">
        <v>45151</v>
      </c>
      <c r="L497" s="268">
        <f t="shared" si="309"/>
        <v>11</v>
      </c>
      <c r="M497" s="268" t="s">
        <v>1187</v>
      </c>
      <c r="N497" s="268">
        <v>2580</v>
      </c>
      <c r="O497" s="268"/>
      <c r="P497" s="269">
        <f t="shared" si="310"/>
        <v>1719.9999999999998</v>
      </c>
      <c r="Q497" s="269">
        <v>10</v>
      </c>
      <c r="R497" s="269">
        <f>((N497/L497)/150)*(2+2+6)</f>
        <v>15.636363636363635</v>
      </c>
      <c r="S497" s="269">
        <f t="shared" si="311"/>
        <v>1719.9999999999998</v>
      </c>
      <c r="T497" s="357">
        <f t="shared" si="315"/>
        <v>0.65648854961832048</v>
      </c>
      <c r="U497" s="361">
        <f t="shared" si="312"/>
        <v>1</v>
      </c>
      <c r="V497" s="357">
        <f t="shared" si="313"/>
        <v>0</v>
      </c>
      <c r="W497" s="357">
        <f t="shared" si="314"/>
        <v>0.65648854961832048</v>
      </c>
      <c r="X497" s="357">
        <f t="shared" si="314"/>
        <v>0</v>
      </c>
      <c r="Y497" s="198">
        <f t="shared" si="296"/>
        <v>2580</v>
      </c>
      <c r="Z497" s="435"/>
      <c r="AC497" s="267"/>
    </row>
    <row r="498" spans="8:29" x14ac:dyDescent="0.25">
      <c r="H498" s="522" t="s">
        <v>907</v>
      </c>
      <c r="I498" s="523"/>
      <c r="J498" s="378">
        <v>45024</v>
      </c>
      <c r="K498" s="378">
        <v>45180</v>
      </c>
      <c r="L498" s="377">
        <f t="shared" si="309"/>
        <v>157</v>
      </c>
      <c r="M498" s="377"/>
      <c r="N498" s="377"/>
      <c r="O498" s="377"/>
      <c r="P498" s="387">
        <f>P499+P516</f>
        <v>21901</v>
      </c>
      <c r="Q498" s="387"/>
      <c r="R498" s="387"/>
      <c r="S498" s="387">
        <f>S499+S516</f>
        <v>21901</v>
      </c>
      <c r="T498" s="379">
        <f>S498/$S$426</f>
        <v>0.13702361753862263</v>
      </c>
      <c r="U498" s="382"/>
      <c r="V498" s="379"/>
      <c r="W498" s="379">
        <f>W499*T499+W516*T516</f>
        <v>0.99999999999999978</v>
      </c>
      <c r="X498" s="379">
        <f>X499*T499+X516*T516</f>
        <v>0</v>
      </c>
      <c r="Y498" s="198">
        <f t="shared" si="296"/>
        <v>0</v>
      </c>
      <c r="Z498" s="435"/>
      <c r="AC498" s="267"/>
    </row>
    <row r="499" spans="8:29" x14ac:dyDescent="0.25">
      <c r="H499" s="528" t="s">
        <v>908</v>
      </c>
      <c r="I499" s="529"/>
      <c r="J499" s="384">
        <v>45024</v>
      </c>
      <c r="K499" s="384">
        <v>45180</v>
      </c>
      <c r="L499" s="383">
        <f t="shared" si="309"/>
        <v>157</v>
      </c>
      <c r="M499" s="383"/>
      <c r="N499" s="383"/>
      <c r="O499" s="383"/>
      <c r="P499" s="383">
        <f>SUM(P500:P515)</f>
        <v>19131</v>
      </c>
      <c r="Q499" s="383"/>
      <c r="R499" s="383"/>
      <c r="S499" s="391">
        <f>SUM(S500:S515)</f>
        <v>19131</v>
      </c>
      <c r="T499" s="388">
        <f>S499/S498</f>
        <v>0.87352175699739742</v>
      </c>
      <c r="U499" s="383"/>
      <c r="V499" s="388"/>
      <c r="W499" s="388">
        <f>SUM(W500:W515)</f>
        <v>0.99999999999999978</v>
      </c>
      <c r="X499" s="388">
        <f>SUM(X500:X515)</f>
        <v>0</v>
      </c>
      <c r="Y499" s="198">
        <f t="shared" si="296"/>
        <v>0</v>
      </c>
      <c r="Z499" s="435"/>
      <c r="AC499" s="267"/>
    </row>
    <row r="500" spans="8:29" x14ac:dyDescent="0.25">
      <c r="H500" s="268" t="s">
        <v>909</v>
      </c>
      <c r="I500" s="397" t="s">
        <v>814</v>
      </c>
      <c r="J500" s="372">
        <v>45026</v>
      </c>
      <c r="K500" s="372">
        <v>45028</v>
      </c>
      <c r="L500" s="268">
        <f t="shared" si="309"/>
        <v>3</v>
      </c>
      <c r="M500" s="268" t="s">
        <v>1187</v>
      </c>
      <c r="N500" s="268">
        <v>180</v>
      </c>
      <c r="O500" s="268"/>
      <c r="P500" s="269">
        <f t="shared" ref="P500:P515" si="316">L500*Q500*R500</f>
        <v>45</v>
      </c>
      <c r="Q500" s="269">
        <v>10</v>
      </c>
      <c r="R500" s="269">
        <f>((N500/L500)/400)*(2+2+6)</f>
        <v>1.5</v>
      </c>
      <c r="S500" s="269">
        <f t="shared" ref="S500:S515" si="317">P500</f>
        <v>45</v>
      </c>
      <c r="T500" s="357">
        <f>S500/$S$499</f>
        <v>2.3522032303591031E-3</v>
      </c>
      <c r="U500" s="361">
        <f t="shared" ref="U500:U515" si="318">IF($J500&gt;U$5,0,IF($K500&lt;U$5,1,IF(U$5=$K500,1,((U$5-$J500+1)/($K500-$J500+1)))))</f>
        <v>1</v>
      </c>
      <c r="V500" s="357">
        <f t="shared" ref="V500:V515" si="319">IFERROR(O500/N500,0)</f>
        <v>0</v>
      </c>
      <c r="W500" s="357">
        <f t="shared" ref="W500:X515" si="320">U500*$T500</f>
        <v>2.3522032303591031E-3</v>
      </c>
      <c r="X500" s="357">
        <f t="shared" si="320"/>
        <v>0</v>
      </c>
      <c r="Y500" s="198">
        <f t="shared" si="296"/>
        <v>180</v>
      </c>
      <c r="Z500" s="435"/>
      <c r="AC500" s="267"/>
    </row>
    <row r="501" spans="8:29" x14ac:dyDescent="0.25">
      <c r="H501" s="268" t="s">
        <v>910</v>
      </c>
      <c r="I501" s="397" t="s">
        <v>816</v>
      </c>
      <c r="J501" s="372">
        <v>45029</v>
      </c>
      <c r="K501" s="372">
        <v>45040</v>
      </c>
      <c r="L501" s="268">
        <f t="shared" si="309"/>
        <v>12</v>
      </c>
      <c r="M501" s="268" t="s">
        <v>1193</v>
      </c>
      <c r="N501" s="268">
        <v>800</v>
      </c>
      <c r="O501" s="268"/>
      <c r="P501" s="269">
        <f t="shared" si="316"/>
        <v>320.00000000000006</v>
      </c>
      <c r="Q501" s="269">
        <v>10</v>
      </c>
      <c r="R501" s="269">
        <f>((N501/L501)/100)*(4)</f>
        <v>2.666666666666667</v>
      </c>
      <c r="S501" s="269">
        <f t="shared" si="317"/>
        <v>320.00000000000006</v>
      </c>
      <c r="T501" s="357">
        <f t="shared" ref="T501:T515" si="321">S501/$S$499</f>
        <v>1.6726778526998068E-2</v>
      </c>
      <c r="U501" s="361">
        <f t="shared" si="318"/>
        <v>1</v>
      </c>
      <c r="V501" s="357">
        <f t="shared" si="319"/>
        <v>0</v>
      </c>
      <c r="W501" s="357">
        <f t="shared" si="320"/>
        <v>1.6726778526998068E-2</v>
      </c>
      <c r="X501" s="357">
        <f t="shared" si="320"/>
        <v>0</v>
      </c>
      <c r="Y501" s="198">
        <f t="shared" si="296"/>
        <v>800</v>
      </c>
      <c r="Z501" s="435"/>
      <c r="AC501" s="267"/>
    </row>
    <row r="502" spans="8:29" x14ac:dyDescent="0.25">
      <c r="H502" s="268" t="s">
        <v>911</v>
      </c>
      <c r="I502" s="397" t="s">
        <v>822</v>
      </c>
      <c r="J502" s="372">
        <v>45024</v>
      </c>
      <c r="K502" s="372">
        <v>45052</v>
      </c>
      <c r="L502" s="268">
        <f t="shared" si="309"/>
        <v>29</v>
      </c>
      <c r="M502" s="268" t="s">
        <v>1182</v>
      </c>
      <c r="N502" s="268">
        <v>120</v>
      </c>
      <c r="O502" s="268"/>
      <c r="P502" s="269">
        <f t="shared" si="316"/>
        <v>870</v>
      </c>
      <c r="Q502" s="269">
        <v>10</v>
      </c>
      <c r="R502" s="269">
        <v>3</v>
      </c>
      <c r="S502" s="269">
        <f t="shared" si="317"/>
        <v>870</v>
      </c>
      <c r="T502" s="357">
        <f t="shared" si="321"/>
        <v>4.5475929120275989E-2</v>
      </c>
      <c r="U502" s="361">
        <f t="shared" si="318"/>
        <v>1</v>
      </c>
      <c r="V502" s="357">
        <f t="shared" si="319"/>
        <v>0</v>
      </c>
      <c r="W502" s="357">
        <f t="shared" si="320"/>
        <v>4.5475929120275989E-2</v>
      </c>
      <c r="X502" s="357">
        <f t="shared" si="320"/>
        <v>0</v>
      </c>
      <c r="Y502" s="198">
        <f t="shared" si="296"/>
        <v>120</v>
      </c>
      <c r="Z502" s="435"/>
      <c r="AC502" s="267"/>
    </row>
    <row r="503" spans="8:29" x14ac:dyDescent="0.25">
      <c r="H503" s="268" t="s">
        <v>912</v>
      </c>
      <c r="I503" s="397" t="s">
        <v>883</v>
      </c>
      <c r="J503" s="372">
        <v>45041</v>
      </c>
      <c r="K503" s="372">
        <v>45087</v>
      </c>
      <c r="L503" s="268">
        <f t="shared" si="309"/>
        <v>47</v>
      </c>
      <c r="M503" s="268" t="s">
        <v>1193</v>
      </c>
      <c r="N503" s="268">
        <v>4115</v>
      </c>
      <c r="O503" s="268"/>
      <c r="P503" s="269">
        <f t="shared" si="316"/>
        <v>9876</v>
      </c>
      <c r="Q503" s="269">
        <v>24</v>
      </c>
      <c r="R503" s="269">
        <f>((N503/L503)/25)*(1+1.5)</f>
        <v>8.7553191489361701</v>
      </c>
      <c r="S503" s="269">
        <f t="shared" si="317"/>
        <v>9876</v>
      </c>
      <c r="T503" s="357">
        <f t="shared" si="321"/>
        <v>0.5162302022894778</v>
      </c>
      <c r="U503" s="361">
        <f t="shared" si="318"/>
        <v>1</v>
      </c>
      <c r="V503" s="357">
        <f t="shared" si="319"/>
        <v>0</v>
      </c>
      <c r="W503" s="357">
        <f t="shared" si="320"/>
        <v>0.5162302022894778</v>
      </c>
      <c r="X503" s="357">
        <f t="shared" si="320"/>
        <v>0</v>
      </c>
      <c r="Y503" s="198">
        <f t="shared" si="296"/>
        <v>4115</v>
      </c>
      <c r="Z503" s="435"/>
      <c r="AC503" s="267"/>
    </row>
    <row r="504" spans="8:29" x14ac:dyDescent="0.25">
      <c r="H504" s="268" t="s">
        <v>913</v>
      </c>
      <c r="I504" s="397" t="s">
        <v>818</v>
      </c>
      <c r="J504" s="372">
        <v>45049</v>
      </c>
      <c r="K504" s="372">
        <v>45089</v>
      </c>
      <c r="L504" s="268">
        <f t="shared" si="309"/>
        <v>41</v>
      </c>
      <c r="M504" s="268" t="s">
        <v>1183</v>
      </c>
      <c r="N504" s="268">
        <v>100</v>
      </c>
      <c r="O504" s="268"/>
      <c r="P504" s="269">
        <f t="shared" si="316"/>
        <v>2870</v>
      </c>
      <c r="Q504" s="269">
        <v>10</v>
      </c>
      <c r="R504" s="269">
        <v>7</v>
      </c>
      <c r="S504" s="269">
        <f t="shared" si="317"/>
        <v>2870</v>
      </c>
      <c r="T504" s="357">
        <f t="shared" si="321"/>
        <v>0.15001829491401392</v>
      </c>
      <c r="U504" s="361">
        <f t="shared" si="318"/>
        <v>1</v>
      </c>
      <c r="V504" s="357">
        <f t="shared" si="319"/>
        <v>0</v>
      </c>
      <c r="W504" s="357">
        <f t="shared" si="320"/>
        <v>0.15001829491401392</v>
      </c>
      <c r="X504" s="357">
        <f t="shared" si="320"/>
        <v>0</v>
      </c>
      <c r="Y504" s="198">
        <f t="shared" si="296"/>
        <v>100</v>
      </c>
      <c r="Z504" s="435"/>
      <c r="AC504" s="267"/>
    </row>
    <row r="505" spans="8:29" x14ac:dyDescent="0.25">
      <c r="H505" s="268" t="s">
        <v>914</v>
      </c>
      <c r="I505" s="397" t="s">
        <v>886</v>
      </c>
      <c r="J505" s="372">
        <v>45088</v>
      </c>
      <c r="K505" s="372">
        <v>45095</v>
      </c>
      <c r="L505" s="268">
        <f t="shared" si="309"/>
        <v>8</v>
      </c>
      <c r="M505" s="268" t="s">
        <v>1193</v>
      </c>
      <c r="N505" s="268">
        <v>300</v>
      </c>
      <c r="O505" s="268"/>
      <c r="P505" s="269">
        <f t="shared" si="316"/>
        <v>150</v>
      </c>
      <c r="Q505" s="269">
        <v>10</v>
      </c>
      <c r="R505" s="269">
        <f>((N505/L505)/80)*(4)</f>
        <v>1.875</v>
      </c>
      <c r="S505" s="269">
        <f t="shared" si="317"/>
        <v>150</v>
      </c>
      <c r="T505" s="357">
        <f t="shared" si="321"/>
        <v>7.840677434530343E-3</v>
      </c>
      <c r="U505" s="361">
        <f t="shared" si="318"/>
        <v>1</v>
      </c>
      <c r="V505" s="357">
        <f t="shared" si="319"/>
        <v>0</v>
      </c>
      <c r="W505" s="357">
        <f t="shared" si="320"/>
        <v>7.840677434530343E-3</v>
      </c>
      <c r="X505" s="357">
        <f t="shared" si="320"/>
        <v>0</v>
      </c>
      <c r="Y505" s="198">
        <f t="shared" si="296"/>
        <v>300</v>
      </c>
      <c r="Z505" s="435"/>
      <c r="AC505" s="267"/>
    </row>
    <row r="506" spans="8:29" x14ac:dyDescent="0.25">
      <c r="H506" s="268" t="s">
        <v>915</v>
      </c>
      <c r="I506" s="397" t="s">
        <v>888</v>
      </c>
      <c r="J506" s="372">
        <v>45069</v>
      </c>
      <c r="K506" s="372">
        <v>45097</v>
      </c>
      <c r="L506" s="268">
        <f t="shared" si="309"/>
        <v>29</v>
      </c>
      <c r="M506" s="268" t="s">
        <v>1193</v>
      </c>
      <c r="N506" s="268">
        <f>750/2</f>
        <v>375</v>
      </c>
      <c r="O506" s="268"/>
      <c r="P506" s="269">
        <f t="shared" si="316"/>
        <v>187.5</v>
      </c>
      <c r="Q506" s="269">
        <v>10</v>
      </c>
      <c r="R506" s="269">
        <f>((N506/L506)/80)*(4)</f>
        <v>0.64655172413793105</v>
      </c>
      <c r="S506" s="269">
        <f t="shared" si="317"/>
        <v>187.5</v>
      </c>
      <c r="T506" s="357">
        <f t="shared" si="321"/>
        <v>9.8008467931629296E-3</v>
      </c>
      <c r="U506" s="361">
        <f t="shared" si="318"/>
        <v>1</v>
      </c>
      <c r="V506" s="357">
        <f t="shared" si="319"/>
        <v>0</v>
      </c>
      <c r="W506" s="357">
        <f t="shared" si="320"/>
        <v>9.8008467931629296E-3</v>
      </c>
      <c r="X506" s="357">
        <f t="shared" si="320"/>
        <v>0</v>
      </c>
      <c r="Y506" s="198">
        <f t="shared" si="296"/>
        <v>375</v>
      </c>
      <c r="Z506" s="435"/>
      <c r="AC506" s="267"/>
    </row>
    <row r="507" spans="8:29" x14ac:dyDescent="0.25">
      <c r="H507" s="268" t="s">
        <v>916</v>
      </c>
      <c r="I507" s="397" t="s">
        <v>890</v>
      </c>
      <c r="J507" s="372">
        <v>45098</v>
      </c>
      <c r="K507" s="372">
        <v>45099</v>
      </c>
      <c r="L507" s="268">
        <f t="shared" si="309"/>
        <v>2</v>
      </c>
      <c r="M507" s="268" t="s">
        <v>1193</v>
      </c>
      <c r="N507" s="268">
        <v>300</v>
      </c>
      <c r="O507" s="268"/>
      <c r="P507" s="269">
        <f t="shared" si="316"/>
        <v>150</v>
      </c>
      <c r="Q507" s="269">
        <v>10</v>
      </c>
      <c r="R507" s="269">
        <f>((N507/L507)/80)*(4)</f>
        <v>7.5</v>
      </c>
      <c r="S507" s="269">
        <f t="shared" si="317"/>
        <v>150</v>
      </c>
      <c r="T507" s="357">
        <f t="shared" si="321"/>
        <v>7.840677434530343E-3</v>
      </c>
      <c r="U507" s="361">
        <f t="shared" si="318"/>
        <v>1</v>
      </c>
      <c r="V507" s="357">
        <f t="shared" si="319"/>
        <v>0</v>
      </c>
      <c r="W507" s="357">
        <f t="shared" si="320"/>
        <v>7.840677434530343E-3</v>
      </c>
      <c r="X507" s="357">
        <f t="shared" si="320"/>
        <v>0</v>
      </c>
      <c r="Y507" s="198">
        <f t="shared" si="296"/>
        <v>300</v>
      </c>
      <c r="Z507" s="435"/>
      <c r="AC507" s="267"/>
    </row>
    <row r="508" spans="8:29" x14ac:dyDescent="0.25">
      <c r="H508" s="268" t="s">
        <v>917</v>
      </c>
      <c r="I508" s="397" t="s">
        <v>830</v>
      </c>
      <c r="J508" s="372">
        <v>45088</v>
      </c>
      <c r="K508" s="372">
        <v>45104</v>
      </c>
      <c r="L508" s="268">
        <f t="shared" si="309"/>
        <v>17</v>
      </c>
      <c r="M508" s="268" t="s">
        <v>1193</v>
      </c>
      <c r="N508" s="268">
        <v>775</v>
      </c>
      <c r="O508" s="268"/>
      <c r="P508" s="269">
        <f t="shared" si="316"/>
        <v>1291.6666666666665</v>
      </c>
      <c r="Q508" s="269">
        <v>10</v>
      </c>
      <c r="R508" s="269">
        <f>((N508/L508)/15)*(1+1.5)</f>
        <v>7.5980392156862742</v>
      </c>
      <c r="S508" s="269">
        <f t="shared" si="317"/>
        <v>1291.6666666666665</v>
      </c>
      <c r="T508" s="357">
        <f t="shared" si="321"/>
        <v>6.751694457512239E-2</v>
      </c>
      <c r="U508" s="361">
        <f t="shared" si="318"/>
        <v>1</v>
      </c>
      <c r="V508" s="357">
        <f t="shared" si="319"/>
        <v>0</v>
      </c>
      <c r="W508" s="357">
        <f t="shared" si="320"/>
        <v>6.751694457512239E-2</v>
      </c>
      <c r="X508" s="357">
        <f t="shared" si="320"/>
        <v>0</v>
      </c>
      <c r="Y508" s="198">
        <f t="shared" si="296"/>
        <v>775</v>
      </c>
      <c r="Z508" s="435"/>
      <c r="AC508" s="267"/>
    </row>
    <row r="509" spans="8:29" x14ac:dyDescent="0.25">
      <c r="H509" s="268" t="s">
        <v>918</v>
      </c>
      <c r="I509" s="397" t="s">
        <v>828</v>
      </c>
      <c r="J509" s="372">
        <v>45088</v>
      </c>
      <c r="K509" s="372">
        <v>45104</v>
      </c>
      <c r="L509" s="268">
        <f t="shared" si="309"/>
        <v>17</v>
      </c>
      <c r="M509" s="268" t="s">
        <v>1190</v>
      </c>
      <c r="N509" s="268">
        <v>1200</v>
      </c>
      <c r="O509" s="268"/>
      <c r="P509" s="269">
        <f t="shared" si="316"/>
        <v>1200.0000000000002</v>
      </c>
      <c r="Q509" s="269">
        <v>10</v>
      </c>
      <c r="R509" s="269">
        <f>((N509/L509)/25)*(1+1.5)</f>
        <v>7.0588235294117654</v>
      </c>
      <c r="S509" s="269">
        <f t="shared" si="317"/>
        <v>1200.0000000000002</v>
      </c>
      <c r="T509" s="357">
        <f t="shared" si="321"/>
        <v>6.2725419476242758E-2</v>
      </c>
      <c r="U509" s="361">
        <f t="shared" si="318"/>
        <v>1</v>
      </c>
      <c r="V509" s="357">
        <f t="shared" si="319"/>
        <v>0</v>
      </c>
      <c r="W509" s="357">
        <f t="shared" si="320"/>
        <v>6.2725419476242758E-2</v>
      </c>
      <c r="X509" s="357">
        <f t="shared" si="320"/>
        <v>0</v>
      </c>
      <c r="Y509" s="198">
        <f t="shared" si="296"/>
        <v>1200</v>
      </c>
      <c r="Z509" s="435"/>
      <c r="AC509" s="267"/>
    </row>
    <row r="510" spans="8:29" x14ac:dyDescent="0.25">
      <c r="H510" s="268" t="s">
        <v>919</v>
      </c>
      <c r="I510" s="397" t="s">
        <v>894</v>
      </c>
      <c r="J510" s="372">
        <v>45101</v>
      </c>
      <c r="K510" s="372">
        <v>45123</v>
      </c>
      <c r="L510" s="268">
        <f t="shared" si="309"/>
        <v>23</v>
      </c>
      <c r="M510" s="268" t="s">
        <v>1193</v>
      </c>
      <c r="N510" s="268">
        <f>N506</f>
        <v>375</v>
      </c>
      <c r="O510" s="268"/>
      <c r="P510" s="269">
        <f t="shared" si="316"/>
        <v>187.50000000000003</v>
      </c>
      <c r="Q510" s="269">
        <v>10</v>
      </c>
      <c r="R510" s="269">
        <f>((N510/L510)/80)*(4)</f>
        <v>0.81521739130434789</v>
      </c>
      <c r="S510" s="269">
        <f t="shared" si="317"/>
        <v>187.50000000000003</v>
      </c>
      <c r="T510" s="357">
        <f t="shared" si="321"/>
        <v>9.8008467931629314E-3</v>
      </c>
      <c r="U510" s="361">
        <f t="shared" si="318"/>
        <v>1</v>
      </c>
      <c r="V510" s="357">
        <f t="shared" si="319"/>
        <v>0</v>
      </c>
      <c r="W510" s="357">
        <f t="shared" si="320"/>
        <v>9.8008467931629314E-3</v>
      </c>
      <c r="X510" s="357">
        <f t="shared" si="320"/>
        <v>0</v>
      </c>
      <c r="Y510" s="198">
        <f t="shared" si="296"/>
        <v>375</v>
      </c>
      <c r="Z510" s="435"/>
      <c r="AC510" s="267"/>
    </row>
    <row r="511" spans="8:29" x14ac:dyDescent="0.25">
      <c r="H511" s="268" t="s">
        <v>920</v>
      </c>
      <c r="I511" s="397" t="s">
        <v>832</v>
      </c>
      <c r="J511" s="372">
        <v>45124</v>
      </c>
      <c r="K511" s="372">
        <v>45129</v>
      </c>
      <c r="L511" s="268">
        <f t="shared" si="309"/>
        <v>6</v>
      </c>
      <c r="M511" s="268" t="s">
        <v>1183</v>
      </c>
      <c r="N511" s="268">
        <v>100</v>
      </c>
      <c r="O511" s="268"/>
      <c r="P511" s="269">
        <f t="shared" si="316"/>
        <v>0</v>
      </c>
      <c r="Q511" s="269">
        <v>10</v>
      </c>
      <c r="R511" s="269"/>
      <c r="S511" s="269">
        <f t="shared" si="317"/>
        <v>0</v>
      </c>
      <c r="T511" s="357">
        <f t="shared" si="321"/>
        <v>0</v>
      </c>
      <c r="U511" s="361">
        <f t="shared" si="318"/>
        <v>1</v>
      </c>
      <c r="V511" s="357">
        <f t="shared" si="319"/>
        <v>0</v>
      </c>
      <c r="W511" s="357">
        <f t="shared" si="320"/>
        <v>0</v>
      </c>
      <c r="X511" s="357">
        <f t="shared" si="320"/>
        <v>0</v>
      </c>
      <c r="Y511" s="198">
        <f t="shared" si="296"/>
        <v>100</v>
      </c>
      <c r="Z511" s="435"/>
      <c r="AC511" s="267"/>
    </row>
    <row r="512" spans="8:29" x14ac:dyDescent="0.25">
      <c r="H512" s="268" t="s">
        <v>921</v>
      </c>
      <c r="I512" s="397" t="s">
        <v>834</v>
      </c>
      <c r="J512" s="372">
        <v>45158</v>
      </c>
      <c r="K512" s="372">
        <v>45165</v>
      </c>
      <c r="L512" s="268">
        <f t="shared" si="309"/>
        <v>8</v>
      </c>
      <c r="M512" s="268" t="s">
        <v>1190</v>
      </c>
      <c r="N512" s="268">
        <v>310</v>
      </c>
      <c r="O512" s="268"/>
      <c r="P512" s="269">
        <f t="shared" si="316"/>
        <v>1033.3333333333333</v>
      </c>
      <c r="Q512" s="269">
        <v>10</v>
      </c>
      <c r="R512" s="269">
        <f>((N512/L512)/24)*(8)</f>
        <v>12.916666666666666</v>
      </c>
      <c r="S512" s="269">
        <f t="shared" si="317"/>
        <v>1033.3333333333333</v>
      </c>
      <c r="T512" s="357">
        <f t="shared" si="321"/>
        <v>5.4013555660097919E-2</v>
      </c>
      <c r="U512" s="361">
        <f t="shared" si="318"/>
        <v>1</v>
      </c>
      <c r="V512" s="357">
        <f t="shared" si="319"/>
        <v>0</v>
      </c>
      <c r="W512" s="357">
        <f t="shared" si="320"/>
        <v>5.4013555660097919E-2</v>
      </c>
      <c r="X512" s="357">
        <f t="shared" si="320"/>
        <v>0</v>
      </c>
      <c r="Y512" s="198">
        <f t="shared" si="296"/>
        <v>310</v>
      </c>
      <c r="Z512" s="435"/>
      <c r="AC512" s="267"/>
    </row>
    <row r="513" spans="8:29" x14ac:dyDescent="0.25">
      <c r="H513" s="268" t="s">
        <v>922</v>
      </c>
      <c r="I513" s="397" t="s">
        <v>836</v>
      </c>
      <c r="J513" s="372">
        <v>45164</v>
      </c>
      <c r="K513" s="372">
        <v>45168</v>
      </c>
      <c r="L513" s="268">
        <f t="shared" si="309"/>
        <v>5</v>
      </c>
      <c r="M513" s="268" t="s">
        <v>1183</v>
      </c>
      <c r="N513" s="268">
        <v>100</v>
      </c>
      <c r="O513" s="268"/>
      <c r="P513" s="269">
        <f t="shared" si="316"/>
        <v>350</v>
      </c>
      <c r="Q513" s="269">
        <v>10</v>
      </c>
      <c r="R513" s="269">
        <v>7</v>
      </c>
      <c r="S513" s="269">
        <f t="shared" si="317"/>
        <v>350</v>
      </c>
      <c r="T513" s="357">
        <f t="shared" si="321"/>
        <v>1.8294914013904134E-2</v>
      </c>
      <c r="U513" s="361">
        <f t="shared" si="318"/>
        <v>1</v>
      </c>
      <c r="V513" s="357">
        <f t="shared" si="319"/>
        <v>0</v>
      </c>
      <c r="W513" s="357">
        <f t="shared" si="320"/>
        <v>1.8294914013904134E-2</v>
      </c>
      <c r="X513" s="357">
        <f t="shared" si="320"/>
        <v>0</v>
      </c>
      <c r="Y513" s="198">
        <f t="shared" si="296"/>
        <v>100</v>
      </c>
      <c r="Z513" s="435"/>
      <c r="AC513" s="267"/>
    </row>
    <row r="514" spans="8:29" x14ac:dyDescent="0.25">
      <c r="H514" s="268" t="s">
        <v>923</v>
      </c>
      <c r="I514" s="397" t="s">
        <v>838</v>
      </c>
      <c r="J514" s="372">
        <v>45169</v>
      </c>
      <c r="K514" s="372">
        <v>45174</v>
      </c>
      <c r="L514" s="268">
        <f t="shared" si="309"/>
        <v>6</v>
      </c>
      <c r="M514" s="268" t="s">
        <v>1183</v>
      </c>
      <c r="N514" s="268">
        <v>100</v>
      </c>
      <c r="O514" s="268"/>
      <c r="P514" s="269">
        <f t="shared" si="316"/>
        <v>420</v>
      </c>
      <c r="Q514" s="269">
        <v>10</v>
      </c>
      <c r="R514" s="269">
        <v>7</v>
      </c>
      <c r="S514" s="269">
        <f t="shared" si="317"/>
        <v>420</v>
      </c>
      <c r="T514" s="357">
        <f t="shared" si="321"/>
        <v>2.1953896816684963E-2</v>
      </c>
      <c r="U514" s="361">
        <f t="shared" si="318"/>
        <v>1</v>
      </c>
      <c r="V514" s="357">
        <f t="shared" si="319"/>
        <v>0</v>
      </c>
      <c r="W514" s="357">
        <f t="shared" si="320"/>
        <v>2.1953896816684963E-2</v>
      </c>
      <c r="X514" s="357">
        <f t="shared" si="320"/>
        <v>0</v>
      </c>
      <c r="Y514" s="198">
        <f t="shared" si="296"/>
        <v>100</v>
      </c>
      <c r="Z514" s="435"/>
      <c r="AC514" s="267"/>
    </row>
    <row r="515" spans="8:29" x14ac:dyDescent="0.25">
      <c r="H515" s="268" t="s">
        <v>924</v>
      </c>
      <c r="I515" s="397" t="s">
        <v>840</v>
      </c>
      <c r="J515" s="372">
        <v>45175</v>
      </c>
      <c r="K515" s="372">
        <v>45180</v>
      </c>
      <c r="L515" s="268">
        <f t="shared" si="309"/>
        <v>6</v>
      </c>
      <c r="M515" s="268" t="s">
        <v>1183</v>
      </c>
      <c r="N515" s="268">
        <v>100</v>
      </c>
      <c r="O515" s="268"/>
      <c r="P515" s="269">
        <f t="shared" si="316"/>
        <v>180</v>
      </c>
      <c r="Q515" s="269">
        <v>10</v>
      </c>
      <c r="R515" s="269">
        <v>3</v>
      </c>
      <c r="S515" s="269">
        <f t="shared" si="317"/>
        <v>180</v>
      </c>
      <c r="T515" s="357">
        <f t="shared" si="321"/>
        <v>9.4088129214364123E-3</v>
      </c>
      <c r="U515" s="361">
        <f t="shared" si="318"/>
        <v>1</v>
      </c>
      <c r="V515" s="357">
        <f t="shared" si="319"/>
        <v>0</v>
      </c>
      <c r="W515" s="357">
        <f t="shared" si="320"/>
        <v>9.4088129214364123E-3</v>
      </c>
      <c r="X515" s="357">
        <f t="shared" si="320"/>
        <v>0</v>
      </c>
      <c r="Y515" s="198">
        <f t="shared" si="296"/>
        <v>100</v>
      </c>
      <c r="Z515" s="435"/>
      <c r="AC515" s="267"/>
    </row>
    <row r="516" spans="8:29" x14ac:dyDescent="0.25">
      <c r="H516" s="528" t="s">
        <v>925</v>
      </c>
      <c r="I516" s="529"/>
      <c r="J516" s="384">
        <v>45130</v>
      </c>
      <c r="K516" s="384">
        <v>45157</v>
      </c>
      <c r="L516" s="383">
        <f t="shared" si="309"/>
        <v>28</v>
      </c>
      <c r="M516" s="383"/>
      <c r="N516" s="383"/>
      <c r="O516" s="383"/>
      <c r="P516" s="391">
        <f>P517+P518+P519+P520+P521+P522</f>
        <v>2770</v>
      </c>
      <c r="Q516" s="391"/>
      <c r="R516" s="391"/>
      <c r="S516" s="391">
        <f>S517+S518+S519+S520+S521+S522</f>
        <v>2770</v>
      </c>
      <c r="T516" s="388">
        <f>S516/S498</f>
        <v>0.12647824300260263</v>
      </c>
      <c r="U516" s="383"/>
      <c r="V516" s="388"/>
      <c r="W516" s="388">
        <f>W517+W518+W519+W520+W521+W522</f>
        <v>1</v>
      </c>
      <c r="X516" s="388">
        <f>X517+X518+X519+X520+X521+X522</f>
        <v>0</v>
      </c>
      <c r="Y516" s="198">
        <f t="shared" si="296"/>
        <v>0</v>
      </c>
      <c r="Z516" s="435"/>
      <c r="AC516" s="267"/>
    </row>
    <row r="517" spans="8:29" x14ac:dyDescent="0.25">
      <c r="H517" s="268" t="s">
        <v>926</v>
      </c>
      <c r="I517" s="397" t="s">
        <v>843</v>
      </c>
      <c r="J517" s="372">
        <v>45130</v>
      </c>
      <c r="K517" s="372">
        <v>45131</v>
      </c>
      <c r="L517" s="268">
        <f t="shared" si="309"/>
        <v>2</v>
      </c>
      <c r="M517" s="268" t="s">
        <v>1183</v>
      </c>
      <c r="N517" s="268">
        <v>100</v>
      </c>
      <c r="O517" s="268"/>
      <c r="P517" s="269">
        <f t="shared" ref="P517:P522" si="322">L517*Q517*R517</f>
        <v>160</v>
      </c>
      <c r="Q517" s="269">
        <v>10</v>
      </c>
      <c r="R517" s="269">
        <v>8</v>
      </c>
      <c r="S517" s="269">
        <f t="shared" ref="S517:S522" si="323">P517</f>
        <v>160</v>
      </c>
      <c r="T517" s="357">
        <f>S517/$S$516</f>
        <v>5.7761732851985562E-2</v>
      </c>
      <c r="U517" s="361">
        <f t="shared" ref="U517:U522" si="324">IF($J517&gt;U$5,0,IF($K517&lt;U$5,1,IF(U$5=$K517,1,((U$5-$J517+1)/($K517-$J517+1)))))</f>
        <v>1</v>
      </c>
      <c r="V517" s="357">
        <f t="shared" ref="V517:V522" si="325">IFERROR(O517/N517,0)</f>
        <v>0</v>
      </c>
      <c r="W517" s="357">
        <f t="shared" ref="W517:X522" si="326">U517*$T517</f>
        <v>5.7761732851985562E-2</v>
      </c>
      <c r="X517" s="357">
        <f t="shared" si="326"/>
        <v>0</v>
      </c>
      <c r="Y517" s="198">
        <f t="shared" si="296"/>
        <v>100</v>
      </c>
      <c r="Z517" s="435"/>
      <c r="AC517" s="267"/>
    </row>
    <row r="518" spans="8:29" x14ac:dyDescent="0.25">
      <c r="H518" s="268" t="s">
        <v>927</v>
      </c>
      <c r="I518" s="397" t="s">
        <v>845</v>
      </c>
      <c r="J518" s="372">
        <v>45132</v>
      </c>
      <c r="K518" s="372">
        <v>45138</v>
      </c>
      <c r="L518" s="268">
        <f t="shared" si="309"/>
        <v>7</v>
      </c>
      <c r="M518" s="268" t="s">
        <v>1186</v>
      </c>
      <c r="N518" s="268">
        <v>1200</v>
      </c>
      <c r="O518" s="268"/>
      <c r="P518" s="269">
        <f t="shared" si="322"/>
        <v>70</v>
      </c>
      <c r="Q518" s="269">
        <v>10</v>
      </c>
      <c r="R518" s="269">
        <v>1</v>
      </c>
      <c r="S518" s="269">
        <f t="shared" si="323"/>
        <v>70</v>
      </c>
      <c r="T518" s="357">
        <f t="shared" ref="T518:T522" si="327">S518/$S$516</f>
        <v>2.5270758122743681E-2</v>
      </c>
      <c r="U518" s="361">
        <f t="shared" si="324"/>
        <v>1</v>
      </c>
      <c r="V518" s="357">
        <f t="shared" si="325"/>
        <v>0</v>
      </c>
      <c r="W518" s="357">
        <f t="shared" si="326"/>
        <v>2.5270758122743681E-2</v>
      </c>
      <c r="X518" s="357">
        <f t="shared" si="326"/>
        <v>0</v>
      </c>
      <c r="Y518" s="198">
        <f t="shared" si="296"/>
        <v>1200</v>
      </c>
      <c r="Z518" s="435"/>
      <c r="AC518" s="267"/>
    </row>
    <row r="519" spans="8:29" x14ac:dyDescent="0.25">
      <c r="H519" s="268" t="s">
        <v>928</v>
      </c>
      <c r="I519" s="397" t="s">
        <v>847</v>
      </c>
      <c r="J519" s="372">
        <v>45139</v>
      </c>
      <c r="K519" s="372">
        <v>45140</v>
      </c>
      <c r="L519" s="268">
        <f t="shared" si="309"/>
        <v>2</v>
      </c>
      <c r="M519" s="268" t="s">
        <v>1183</v>
      </c>
      <c r="N519" s="268">
        <v>100</v>
      </c>
      <c r="O519" s="268"/>
      <c r="P519" s="269">
        <f t="shared" si="322"/>
        <v>160</v>
      </c>
      <c r="Q519" s="269">
        <v>10</v>
      </c>
      <c r="R519" s="269">
        <v>8</v>
      </c>
      <c r="S519" s="269">
        <f t="shared" si="323"/>
        <v>160</v>
      </c>
      <c r="T519" s="357">
        <f t="shared" si="327"/>
        <v>5.7761732851985562E-2</v>
      </c>
      <c r="U519" s="361">
        <f t="shared" si="324"/>
        <v>1</v>
      </c>
      <c r="V519" s="357">
        <f t="shared" si="325"/>
        <v>0</v>
      </c>
      <c r="W519" s="357">
        <f t="shared" si="326"/>
        <v>5.7761732851985562E-2</v>
      </c>
      <c r="X519" s="357">
        <f t="shared" si="326"/>
        <v>0</v>
      </c>
      <c r="Y519" s="198">
        <f t="shared" si="296"/>
        <v>100</v>
      </c>
      <c r="Z519" s="435"/>
      <c r="AC519" s="267"/>
    </row>
    <row r="520" spans="8:29" x14ac:dyDescent="0.25">
      <c r="H520" s="268" t="s">
        <v>929</v>
      </c>
      <c r="I520" s="397" t="s">
        <v>849</v>
      </c>
      <c r="J520" s="372">
        <v>45141</v>
      </c>
      <c r="K520" s="372">
        <v>45143</v>
      </c>
      <c r="L520" s="268">
        <f t="shared" si="309"/>
        <v>3</v>
      </c>
      <c r="M520" s="268" t="s">
        <v>1183</v>
      </c>
      <c r="N520" s="268">
        <v>100</v>
      </c>
      <c r="O520" s="268"/>
      <c r="P520" s="269">
        <f t="shared" si="322"/>
        <v>240</v>
      </c>
      <c r="Q520" s="269">
        <v>10</v>
      </c>
      <c r="R520" s="269">
        <v>8</v>
      </c>
      <c r="S520" s="269">
        <f t="shared" si="323"/>
        <v>240</v>
      </c>
      <c r="T520" s="357">
        <f t="shared" si="327"/>
        <v>8.6642599277978335E-2</v>
      </c>
      <c r="U520" s="361">
        <f t="shared" si="324"/>
        <v>1</v>
      </c>
      <c r="V520" s="357">
        <f t="shared" si="325"/>
        <v>0</v>
      </c>
      <c r="W520" s="357">
        <f t="shared" si="326"/>
        <v>8.6642599277978335E-2</v>
      </c>
      <c r="X520" s="357">
        <f t="shared" si="326"/>
        <v>0</v>
      </c>
      <c r="Y520" s="198">
        <f t="shared" si="296"/>
        <v>100</v>
      </c>
      <c r="Z520" s="435"/>
      <c r="AC520" s="267"/>
    </row>
    <row r="521" spans="8:29" x14ac:dyDescent="0.25">
      <c r="H521" s="268" t="s">
        <v>930</v>
      </c>
      <c r="I521" s="397" t="s">
        <v>851</v>
      </c>
      <c r="J521" s="372">
        <v>45141</v>
      </c>
      <c r="K521" s="372">
        <v>45146</v>
      </c>
      <c r="L521" s="268">
        <f t="shared" si="309"/>
        <v>6</v>
      </c>
      <c r="M521" s="268" t="s">
        <v>1183</v>
      </c>
      <c r="N521" s="268">
        <v>100</v>
      </c>
      <c r="O521" s="268"/>
      <c r="P521" s="269">
        <f t="shared" si="322"/>
        <v>420</v>
      </c>
      <c r="Q521" s="269">
        <v>10</v>
      </c>
      <c r="R521" s="269">
        <v>7</v>
      </c>
      <c r="S521" s="269">
        <f t="shared" si="323"/>
        <v>420</v>
      </c>
      <c r="T521" s="357">
        <f t="shared" si="327"/>
        <v>0.15162454873646208</v>
      </c>
      <c r="U521" s="361">
        <f t="shared" si="324"/>
        <v>1</v>
      </c>
      <c r="V521" s="357">
        <f t="shared" si="325"/>
        <v>0</v>
      </c>
      <c r="W521" s="357">
        <f t="shared" si="326"/>
        <v>0.15162454873646208</v>
      </c>
      <c r="X521" s="357">
        <f t="shared" si="326"/>
        <v>0</v>
      </c>
      <c r="Y521" s="198">
        <f t="shared" si="296"/>
        <v>100</v>
      </c>
      <c r="Z521" s="435"/>
      <c r="AC521" s="267"/>
    </row>
    <row r="522" spans="8:29" x14ac:dyDescent="0.25">
      <c r="H522" s="268" t="s">
        <v>931</v>
      </c>
      <c r="I522" s="397" t="s">
        <v>853</v>
      </c>
      <c r="J522" s="372">
        <v>45147</v>
      </c>
      <c r="K522" s="372">
        <v>45157</v>
      </c>
      <c r="L522" s="268">
        <f t="shared" si="309"/>
        <v>11</v>
      </c>
      <c r="M522" s="268" t="s">
        <v>1187</v>
      </c>
      <c r="N522" s="268">
        <v>2580</v>
      </c>
      <c r="O522" s="268"/>
      <c r="P522" s="269">
        <f t="shared" si="322"/>
        <v>1719.9999999999998</v>
      </c>
      <c r="Q522" s="269">
        <v>10</v>
      </c>
      <c r="R522" s="269">
        <f>((N522/L522)/150)*(2+2+6)</f>
        <v>15.636363636363635</v>
      </c>
      <c r="S522" s="269">
        <f t="shared" si="323"/>
        <v>1719.9999999999998</v>
      </c>
      <c r="T522" s="357">
        <f t="shared" si="327"/>
        <v>0.62093862815884471</v>
      </c>
      <c r="U522" s="361">
        <f t="shared" si="324"/>
        <v>1</v>
      </c>
      <c r="V522" s="357">
        <f t="shared" si="325"/>
        <v>0</v>
      </c>
      <c r="W522" s="357">
        <f t="shared" si="326"/>
        <v>0.62093862815884471</v>
      </c>
      <c r="X522" s="357">
        <f t="shared" si="326"/>
        <v>0</v>
      </c>
      <c r="Y522" s="198">
        <f t="shared" ref="Y522:Y547" si="328">+U522*N522</f>
        <v>2580</v>
      </c>
      <c r="Z522" s="435"/>
      <c r="AC522" s="267"/>
    </row>
    <row r="523" spans="8:29" x14ac:dyDescent="0.25">
      <c r="H523" s="377" t="s">
        <v>932</v>
      </c>
      <c r="I523" s="399"/>
      <c r="J523" s="378">
        <v>45070</v>
      </c>
      <c r="K523" s="378">
        <v>45165</v>
      </c>
      <c r="L523" s="377">
        <f t="shared" si="309"/>
        <v>96</v>
      </c>
      <c r="M523" s="377"/>
      <c r="N523" s="377"/>
      <c r="O523" s="377"/>
      <c r="P523" s="387">
        <f>P524+P541</f>
        <v>13342.693333333333</v>
      </c>
      <c r="Q523" s="387"/>
      <c r="R523" s="387"/>
      <c r="S523" s="387">
        <f>S524+S541</f>
        <v>13342.693333333333</v>
      </c>
      <c r="T523" s="379">
        <f>S523/$S$426</f>
        <v>8.3478567565033412E-2</v>
      </c>
      <c r="U523" s="382"/>
      <c r="V523" s="379"/>
      <c r="W523" s="379">
        <f>W524*T524+W541*T541</f>
        <v>1</v>
      </c>
      <c r="X523" s="379">
        <f>X524*T524+X541*T541</f>
        <v>0</v>
      </c>
      <c r="Y523" s="198">
        <f t="shared" si="328"/>
        <v>0</v>
      </c>
      <c r="Z523" s="435"/>
      <c r="AC523" s="267"/>
    </row>
    <row r="524" spans="8:29" x14ac:dyDescent="0.25">
      <c r="H524" s="528" t="s">
        <v>933</v>
      </c>
      <c r="I524" s="529"/>
      <c r="J524" s="384">
        <v>45070</v>
      </c>
      <c r="K524" s="384">
        <v>45165</v>
      </c>
      <c r="L524" s="383">
        <f t="shared" si="309"/>
        <v>96</v>
      </c>
      <c r="M524" s="383"/>
      <c r="N524" s="383"/>
      <c r="O524" s="383"/>
      <c r="P524" s="391">
        <f>SUM(P525:P540)</f>
        <v>13100.026666666667</v>
      </c>
      <c r="Q524" s="391"/>
      <c r="R524" s="391"/>
      <c r="S524" s="391">
        <f>SUM(S525:S540)</f>
        <v>13100.026666666667</v>
      </c>
      <c r="T524" s="388">
        <f>S524/S523</f>
        <v>0.98181276743725909</v>
      </c>
      <c r="U524" s="383"/>
      <c r="V524" s="388"/>
      <c r="W524" s="388">
        <f>SUM(W525:W540)</f>
        <v>1</v>
      </c>
      <c r="X524" s="388">
        <f>SUM(X525:X540)</f>
        <v>0</v>
      </c>
      <c r="Y524" s="198">
        <f t="shared" si="328"/>
        <v>0</v>
      </c>
      <c r="Z524" s="435"/>
      <c r="AC524" s="267"/>
    </row>
    <row r="525" spans="8:29" x14ac:dyDescent="0.25">
      <c r="H525" s="268" t="s">
        <v>934</v>
      </c>
      <c r="I525" s="397" t="s">
        <v>814</v>
      </c>
      <c r="J525" s="372">
        <v>45073</v>
      </c>
      <c r="K525" s="372">
        <v>45075</v>
      </c>
      <c r="L525" s="268">
        <f t="shared" si="309"/>
        <v>3</v>
      </c>
      <c r="M525" s="268" t="s">
        <v>1187</v>
      </c>
      <c r="N525" s="268">
        <v>30</v>
      </c>
      <c r="O525" s="268"/>
      <c r="P525" s="269">
        <f>L525*Q525*R525*0.5</f>
        <v>3</v>
      </c>
      <c r="Q525" s="269">
        <v>8</v>
      </c>
      <c r="R525" s="269">
        <f>((N525/L525)/400)*(2+2+6)</f>
        <v>0.25</v>
      </c>
      <c r="S525" s="269">
        <f t="shared" ref="S525:S540" si="329">P525</f>
        <v>3</v>
      </c>
      <c r="T525" s="357">
        <f>S525/$S$524</f>
        <v>2.2900716741543529E-4</v>
      </c>
      <c r="U525" s="361">
        <f t="shared" ref="U525:U540" si="330">IF($J525&gt;U$5,0,IF($K525&lt;U$5,1,IF(U$5=$K525,1,((U$5-$J525+1)/($K525-$J525+1)))))</f>
        <v>1</v>
      </c>
      <c r="V525" s="357">
        <f t="shared" ref="V525:V540" si="331">IFERROR(O525/N525,0)</f>
        <v>0</v>
      </c>
      <c r="W525" s="357">
        <f t="shared" ref="W525:X540" si="332">U525*$T525</f>
        <v>2.2900716741543529E-4</v>
      </c>
      <c r="X525" s="357">
        <f t="shared" si="332"/>
        <v>0</v>
      </c>
      <c r="Y525" s="198">
        <f t="shared" si="328"/>
        <v>30</v>
      </c>
      <c r="Z525" s="435"/>
      <c r="AC525" s="267"/>
    </row>
    <row r="526" spans="8:29" x14ac:dyDescent="0.25">
      <c r="H526" s="268" t="s">
        <v>935</v>
      </c>
      <c r="I526" s="397" t="s">
        <v>816</v>
      </c>
      <c r="J526" s="372">
        <v>45076</v>
      </c>
      <c r="K526" s="372">
        <v>45080</v>
      </c>
      <c r="L526" s="268">
        <f t="shared" si="309"/>
        <v>5</v>
      </c>
      <c r="M526" s="268" t="s">
        <v>1193</v>
      </c>
      <c r="N526" s="268">
        <v>336</v>
      </c>
      <c r="O526" s="268"/>
      <c r="P526" s="269">
        <f t="shared" ref="P526:P547" si="333">L526*Q526*R526*0.5</f>
        <v>53.760000000000005</v>
      </c>
      <c r="Q526" s="269">
        <v>8</v>
      </c>
      <c r="R526" s="269">
        <f>((N526/L526)/100)*(4)</f>
        <v>2.6880000000000002</v>
      </c>
      <c r="S526" s="269">
        <f t="shared" si="329"/>
        <v>53.760000000000005</v>
      </c>
      <c r="T526" s="357">
        <f t="shared" ref="T526:T540" si="334">S526/$S$524</f>
        <v>4.1038084400846012E-3</v>
      </c>
      <c r="U526" s="361">
        <f t="shared" si="330"/>
        <v>1</v>
      </c>
      <c r="V526" s="357">
        <f t="shared" si="331"/>
        <v>0</v>
      </c>
      <c r="W526" s="357">
        <f t="shared" si="332"/>
        <v>4.1038084400846012E-3</v>
      </c>
      <c r="X526" s="357">
        <f t="shared" si="332"/>
        <v>0</v>
      </c>
      <c r="Y526" s="198">
        <f t="shared" si="328"/>
        <v>336</v>
      </c>
      <c r="Z526" s="435"/>
      <c r="AC526" s="267"/>
    </row>
    <row r="527" spans="8:29" x14ac:dyDescent="0.25">
      <c r="H527" s="268" t="s">
        <v>936</v>
      </c>
      <c r="I527" s="397" t="s">
        <v>822</v>
      </c>
      <c r="J527" s="372">
        <v>45070</v>
      </c>
      <c r="K527" s="372">
        <v>45090</v>
      </c>
      <c r="L527" s="268">
        <f t="shared" si="309"/>
        <v>21</v>
      </c>
      <c r="M527" s="268" t="s">
        <v>1182</v>
      </c>
      <c r="N527" s="268">
        <v>30</v>
      </c>
      <c r="O527" s="268"/>
      <c r="P527" s="269">
        <f t="shared" si="333"/>
        <v>126</v>
      </c>
      <c r="Q527" s="269">
        <v>8</v>
      </c>
      <c r="R527" s="269">
        <v>1.5</v>
      </c>
      <c r="S527" s="269">
        <f t="shared" si="329"/>
        <v>126</v>
      </c>
      <c r="T527" s="357">
        <f t="shared" si="334"/>
        <v>9.6183010314482825E-3</v>
      </c>
      <c r="U527" s="361">
        <f t="shared" si="330"/>
        <v>1</v>
      </c>
      <c r="V527" s="357">
        <f t="shared" si="331"/>
        <v>0</v>
      </c>
      <c r="W527" s="357">
        <f t="shared" si="332"/>
        <v>9.6183010314482825E-3</v>
      </c>
      <c r="X527" s="357">
        <f t="shared" si="332"/>
        <v>0</v>
      </c>
      <c r="Y527" s="198">
        <f t="shared" si="328"/>
        <v>30</v>
      </c>
      <c r="Z527" s="435"/>
      <c r="AC527" s="267"/>
    </row>
    <row r="528" spans="8:29" x14ac:dyDescent="0.25">
      <c r="H528" s="268" t="s">
        <v>937</v>
      </c>
      <c r="I528" s="397" t="s">
        <v>818</v>
      </c>
      <c r="J528" s="372">
        <v>45084</v>
      </c>
      <c r="K528" s="372">
        <v>45097</v>
      </c>
      <c r="L528" s="268">
        <f t="shared" si="309"/>
        <v>14</v>
      </c>
      <c r="M528" s="268" t="s">
        <v>1183</v>
      </c>
      <c r="N528" s="268">
        <v>100</v>
      </c>
      <c r="O528" s="268"/>
      <c r="P528" s="269">
        <f t="shared" si="333"/>
        <v>168</v>
      </c>
      <c r="Q528" s="269">
        <v>8</v>
      </c>
      <c r="R528" s="269">
        <v>3</v>
      </c>
      <c r="S528" s="269">
        <f t="shared" si="329"/>
        <v>168</v>
      </c>
      <c r="T528" s="357">
        <f t="shared" si="334"/>
        <v>1.2824401375264376E-2</v>
      </c>
      <c r="U528" s="361">
        <f t="shared" si="330"/>
        <v>1</v>
      </c>
      <c r="V528" s="357">
        <f t="shared" si="331"/>
        <v>0</v>
      </c>
      <c r="W528" s="357">
        <f t="shared" si="332"/>
        <v>1.2824401375264376E-2</v>
      </c>
      <c r="X528" s="357">
        <f t="shared" si="332"/>
        <v>0</v>
      </c>
      <c r="Y528" s="198">
        <f t="shared" si="328"/>
        <v>100</v>
      </c>
      <c r="Z528" s="435"/>
      <c r="AC528" s="267"/>
    </row>
    <row r="529" spans="8:29" x14ac:dyDescent="0.25">
      <c r="H529" s="268" t="s">
        <v>938</v>
      </c>
      <c r="I529" s="397" t="s">
        <v>939</v>
      </c>
      <c r="J529" s="372">
        <v>45092</v>
      </c>
      <c r="K529" s="372">
        <v>45101</v>
      </c>
      <c r="L529" s="268">
        <f t="shared" si="309"/>
        <v>10</v>
      </c>
      <c r="M529" s="268" t="s">
        <v>1193</v>
      </c>
      <c r="N529" s="268">
        <v>250</v>
      </c>
      <c r="O529" s="268"/>
      <c r="P529" s="269">
        <f t="shared" si="333"/>
        <v>50</v>
      </c>
      <c r="Q529" s="269">
        <v>8</v>
      </c>
      <c r="R529" s="269">
        <f>((N529/L529)/80)*(4)</f>
        <v>1.25</v>
      </c>
      <c r="S529" s="269">
        <f t="shared" si="329"/>
        <v>50</v>
      </c>
      <c r="T529" s="357">
        <f t="shared" si="334"/>
        <v>3.8167861235905882E-3</v>
      </c>
      <c r="U529" s="361">
        <f t="shared" si="330"/>
        <v>1</v>
      </c>
      <c r="V529" s="357">
        <f t="shared" si="331"/>
        <v>0</v>
      </c>
      <c r="W529" s="357">
        <f t="shared" si="332"/>
        <v>3.8167861235905882E-3</v>
      </c>
      <c r="X529" s="357">
        <f t="shared" si="332"/>
        <v>0</v>
      </c>
      <c r="Y529" s="198">
        <f t="shared" si="328"/>
        <v>250</v>
      </c>
      <c r="Z529" s="435"/>
      <c r="AC529" s="267"/>
    </row>
    <row r="530" spans="8:29" x14ac:dyDescent="0.25">
      <c r="H530" s="268" t="s">
        <v>940</v>
      </c>
      <c r="I530" s="397" t="s">
        <v>941</v>
      </c>
      <c r="J530" s="372">
        <v>45081</v>
      </c>
      <c r="K530" s="372">
        <v>45103</v>
      </c>
      <c r="L530" s="268">
        <f t="shared" si="309"/>
        <v>23</v>
      </c>
      <c r="M530" s="268" t="str">
        <f>M529</f>
        <v>path-m</v>
      </c>
      <c r="N530" s="268">
        <v>1116</v>
      </c>
      <c r="O530" s="268"/>
      <c r="P530" s="269">
        <f t="shared" si="333"/>
        <v>446.4</v>
      </c>
      <c r="Q530" s="269">
        <v>8</v>
      </c>
      <c r="R530" s="269">
        <f>((N530/L530)/25)*(1+1.5)</f>
        <v>4.8521739130434778</v>
      </c>
      <c r="S530" s="269">
        <f t="shared" si="329"/>
        <v>446.4</v>
      </c>
      <c r="T530" s="357">
        <f t="shared" si="334"/>
        <v>3.4076266511416771E-2</v>
      </c>
      <c r="U530" s="361">
        <f t="shared" si="330"/>
        <v>1</v>
      </c>
      <c r="V530" s="357">
        <f t="shared" si="331"/>
        <v>0</v>
      </c>
      <c r="W530" s="357">
        <f t="shared" si="332"/>
        <v>3.4076266511416771E-2</v>
      </c>
      <c r="X530" s="357">
        <f t="shared" si="332"/>
        <v>0</v>
      </c>
      <c r="Y530" s="198">
        <f t="shared" si="328"/>
        <v>1116</v>
      </c>
      <c r="Z530" s="435"/>
      <c r="AA530" s="438"/>
      <c r="AC530" s="267"/>
    </row>
    <row r="531" spans="8:29" x14ac:dyDescent="0.25">
      <c r="H531" s="268" t="s">
        <v>942</v>
      </c>
      <c r="I531" s="397" t="s">
        <v>830</v>
      </c>
      <c r="J531" s="372">
        <v>45104</v>
      </c>
      <c r="K531" s="372">
        <v>45109</v>
      </c>
      <c r="L531" s="268">
        <f t="shared" si="309"/>
        <v>6</v>
      </c>
      <c r="M531" s="268" t="s">
        <v>1193</v>
      </c>
      <c r="N531" s="268">
        <v>590</v>
      </c>
      <c r="O531" s="268"/>
      <c r="P531" s="269">
        <f t="shared" si="333"/>
        <v>3933.333333333333</v>
      </c>
      <c r="Q531" s="269">
        <v>8</v>
      </c>
      <c r="R531" s="269">
        <f>((N531/L531)/3)*(1+1+2+1)</f>
        <v>163.88888888888889</v>
      </c>
      <c r="S531" s="269">
        <f t="shared" si="329"/>
        <v>3933.333333333333</v>
      </c>
      <c r="T531" s="357">
        <f t="shared" si="334"/>
        <v>0.30025384172245956</v>
      </c>
      <c r="U531" s="361">
        <f t="shared" si="330"/>
        <v>1</v>
      </c>
      <c r="V531" s="357">
        <f t="shared" si="331"/>
        <v>0</v>
      </c>
      <c r="W531" s="357">
        <f t="shared" si="332"/>
        <v>0.30025384172245956</v>
      </c>
      <c r="X531" s="357">
        <f t="shared" si="332"/>
        <v>0</v>
      </c>
      <c r="Y531" s="198">
        <f t="shared" si="328"/>
        <v>590</v>
      </c>
      <c r="Z531" s="435"/>
      <c r="AC531" s="267"/>
    </row>
    <row r="532" spans="8:29" x14ac:dyDescent="0.25">
      <c r="H532" s="268" t="s">
        <v>943</v>
      </c>
      <c r="I532" s="397" t="s">
        <v>944</v>
      </c>
      <c r="J532" s="372">
        <v>45104</v>
      </c>
      <c r="K532" s="372">
        <v>45111</v>
      </c>
      <c r="L532" s="268">
        <f t="shared" si="309"/>
        <v>8</v>
      </c>
      <c r="M532" s="268" t="s">
        <v>1193</v>
      </c>
      <c r="N532" s="268">
        <v>200</v>
      </c>
      <c r="O532" s="268"/>
      <c r="P532" s="269">
        <f t="shared" si="333"/>
        <v>40</v>
      </c>
      <c r="Q532" s="269">
        <v>8</v>
      </c>
      <c r="R532" s="269">
        <f>((N532/L532)/80)*(4)</f>
        <v>1.25</v>
      </c>
      <c r="S532" s="269">
        <f t="shared" si="329"/>
        <v>40</v>
      </c>
      <c r="T532" s="357">
        <f t="shared" si="334"/>
        <v>3.0534288988724703E-3</v>
      </c>
      <c r="U532" s="361">
        <f t="shared" si="330"/>
        <v>1</v>
      </c>
      <c r="V532" s="357">
        <f t="shared" si="331"/>
        <v>0</v>
      </c>
      <c r="W532" s="357">
        <f t="shared" si="332"/>
        <v>3.0534288988724703E-3</v>
      </c>
      <c r="X532" s="357">
        <f t="shared" si="332"/>
        <v>0</v>
      </c>
      <c r="Y532" s="198">
        <f t="shared" si="328"/>
        <v>200</v>
      </c>
      <c r="Z532" s="435"/>
      <c r="AC532" s="267"/>
    </row>
    <row r="533" spans="8:29" x14ac:dyDescent="0.25">
      <c r="H533" s="268" t="s">
        <v>945</v>
      </c>
      <c r="I533" s="397" t="s">
        <v>890</v>
      </c>
      <c r="J533" s="372">
        <v>45112</v>
      </c>
      <c r="K533" s="372">
        <v>45112</v>
      </c>
      <c r="L533" s="268">
        <f t="shared" si="309"/>
        <v>1</v>
      </c>
      <c r="M533" s="268" t="s">
        <v>1193</v>
      </c>
      <c r="N533" s="268">
        <v>50</v>
      </c>
      <c r="O533" s="268"/>
      <c r="P533" s="269">
        <f t="shared" si="333"/>
        <v>10</v>
      </c>
      <c r="Q533" s="269">
        <v>8</v>
      </c>
      <c r="R533" s="269">
        <f>((N533/L533)/80)*(4)</f>
        <v>2.5</v>
      </c>
      <c r="S533" s="269">
        <f t="shared" si="329"/>
        <v>10</v>
      </c>
      <c r="T533" s="357">
        <f t="shared" si="334"/>
        <v>7.6335722471811758E-4</v>
      </c>
      <c r="U533" s="361">
        <f t="shared" si="330"/>
        <v>1</v>
      </c>
      <c r="V533" s="357">
        <f t="shared" si="331"/>
        <v>0</v>
      </c>
      <c r="W533" s="357">
        <f t="shared" si="332"/>
        <v>7.6335722471811758E-4</v>
      </c>
      <c r="X533" s="357">
        <f t="shared" si="332"/>
        <v>0</v>
      </c>
      <c r="Y533" s="198">
        <f t="shared" si="328"/>
        <v>50</v>
      </c>
      <c r="Z533" s="435"/>
      <c r="AC533" s="267"/>
    </row>
    <row r="534" spans="8:29" x14ac:dyDescent="0.25">
      <c r="H534" s="268" t="s">
        <v>946</v>
      </c>
      <c r="I534" s="397" t="s">
        <v>828</v>
      </c>
      <c r="J534" s="372">
        <v>45104</v>
      </c>
      <c r="K534" s="372">
        <v>45117</v>
      </c>
      <c r="L534" s="268">
        <f t="shared" si="309"/>
        <v>14</v>
      </c>
      <c r="M534" s="268" t="s">
        <v>1193</v>
      </c>
      <c r="N534" s="268">
        <v>160</v>
      </c>
      <c r="O534" s="268"/>
      <c r="P534" s="269">
        <f t="shared" si="333"/>
        <v>7680</v>
      </c>
      <c r="Q534" s="269">
        <v>8</v>
      </c>
      <c r="R534" s="269">
        <f>((N534/L534)/0.5)*(1+2+2+1)</f>
        <v>137.14285714285714</v>
      </c>
      <c r="S534" s="269">
        <f t="shared" si="329"/>
        <v>7680</v>
      </c>
      <c r="T534" s="357">
        <f t="shared" si="334"/>
        <v>0.58625834858351433</v>
      </c>
      <c r="U534" s="361">
        <f t="shared" si="330"/>
        <v>1</v>
      </c>
      <c r="V534" s="357">
        <f t="shared" si="331"/>
        <v>0</v>
      </c>
      <c r="W534" s="357">
        <f t="shared" si="332"/>
        <v>0.58625834858351433</v>
      </c>
      <c r="X534" s="357">
        <f t="shared" si="332"/>
        <v>0</v>
      </c>
      <c r="Y534" s="198">
        <f t="shared" si="328"/>
        <v>160</v>
      </c>
      <c r="Z534" s="435"/>
      <c r="AC534" s="267"/>
    </row>
    <row r="535" spans="8:29" x14ac:dyDescent="0.25">
      <c r="H535" s="268" t="s">
        <v>947</v>
      </c>
      <c r="I535" s="397" t="s">
        <v>948</v>
      </c>
      <c r="J535" s="372">
        <v>45113</v>
      </c>
      <c r="K535" s="372">
        <v>45124</v>
      </c>
      <c r="L535" s="268">
        <f t="shared" si="309"/>
        <v>12</v>
      </c>
      <c r="M535" s="268" t="s">
        <v>1193</v>
      </c>
      <c r="N535" s="268">
        <v>441</v>
      </c>
      <c r="O535" s="268"/>
      <c r="P535" s="269">
        <f t="shared" si="333"/>
        <v>88.199999999999989</v>
      </c>
      <c r="Q535" s="269">
        <v>8</v>
      </c>
      <c r="R535" s="269">
        <f>((N535/L535)/80)*(4)</f>
        <v>1.8374999999999999</v>
      </c>
      <c r="S535" s="269">
        <f t="shared" si="329"/>
        <v>88.199999999999989</v>
      </c>
      <c r="T535" s="357">
        <f t="shared" si="334"/>
        <v>6.7328107220137965E-3</v>
      </c>
      <c r="U535" s="361">
        <f t="shared" si="330"/>
        <v>1</v>
      </c>
      <c r="V535" s="357">
        <f t="shared" si="331"/>
        <v>0</v>
      </c>
      <c r="W535" s="357">
        <f t="shared" si="332"/>
        <v>6.7328107220137965E-3</v>
      </c>
      <c r="X535" s="357">
        <f t="shared" si="332"/>
        <v>0</v>
      </c>
      <c r="Y535" s="198">
        <f t="shared" si="328"/>
        <v>441</v>
      </c>
      <c r="Z535" s="435"/>
      <c r="AC535" s="267"/>
    </row>
    <row r="536" spans="8:29" x14ac:dyDescent="0.25">
      <c r="H536" s="268" t="s">
        <v>949</v>
      </c>
      <c r="I536" s="397" t="s">
        <v>832</v>
      </c>
      <c r="J536" s="372">
        <v>45125</v>
      </c>
      <c r="K536" s="372">
        <v>45126</v>
      </c>
      <c r="L536" s="268">
        <f t="shared" si="309"/>
        <v>2</v>
      </c>
      <c r="M536" s="268" t="s">
        <v>1183</v>
      </c>
      <c r="N536" s="268">
        <v>100</v>
      </c>
      <c r="O536" s="268"/>
      <c r="P536" s="269">
        <f t="shared" si="333"/>
        <v>24</v>
      </c>
      <c r="Q536" s="269">
        <v>8</v>
      </c>
      <c r="R536" s="269">
        <v>3</v>
      </c>
      <c r="S536" s="269">
        <f t="shared" si="329"/>
        <v>24</v>
      </c>
      <c r="T536" s="357">
        <f t="shared" si="334"/>
        <v>1.8320573393234823E-3</v>
      </c>
      <c r="U536" s="361">
        <f t="shared" si="330"/>
        <v>1</v>
      </c>
      <c r="V536" s="357">
        <f t="shared" si="331"/>
        <v>0</v>
      </c>
      <c r="W536" s="357">
        <f t="shared" si="332"/>
        <v>1.8320573393234823E-3</v>
      </c>
      <c r="X536" s="357">
        <f t="shared" si="332"/>
        <v>0</v>
      </c>
      <c r="Y536" s="198">
        <f t="shared" si="328"/>
        <v>100</v>
      </c>
      <c r="Z536" s="435"/>
      <c r="AC536" s="267"/>
    </row>
    <row r="537" spans="8:29" x14ac:dyDescent="0.25">
      <c r="H537" s="268" t="s">
        <v>950</v>
      </c>
      <c r="I537" s="397" t="s">
        <v>834</v>
      </c>
      <c r="J537" s="372">
        <v>45144</v>
      </c>
      <c r="K537" s="372">
        <v>45151</v>
      </c>
      <c r="L537" s="268">
        <f t="shared" si="309"/>
        <v>8</v>
      </c>
      <c r="M537" s="268" t="s">
        <v>1190</v>
      </c>
      <c r="N537" s="268">
        <v>160</v>
      </c>
      <c r="O537" s="268"/>
      <c r="P537" s="269">
        <f t="shared" si="333"/>
        <v>213.33333333333334</v>
      </c>
      <c r="Q537" s="269">
        <v>8</v>
      </c>
      <c r="R537" s="269">
        <f>((N537/L537)/24)*(8)</f>
        <v>6.666666666666667</v>
      </c>
      <c r="S537" s="269">
        <f t="shared" si="329"/>
        <v>213.33333333333334</v>
      </c>
      <c r="T537" s="357">
        <f t="shared" si="334"/>
        <v>1.6284954127319843E-2</v>
      </c>
      <c r="U537" s="361">
        <f t="shared" si="330"/>
        <v>1</v>
      </c>
      <c r="V537" s="357">
        <f t="shared" si="331"/>
        <v>0</v>
      </c>
      <c r="W537" s="357">
        <f t="shared" si="332"/>
        <v>1.6284954127319843E-2</v>
      </c>
      <c r="X537" s="357">
        <f t="shared" si="332"/>
        <v>0</v>
      </c>
      <c r="Y537" s="198">
        <f t="shared" si="328"/>
        <v>160</v>
      </c>
      <c r="Z537" s="435"/>
      <c r="AC537" s="267"/>
    </row>
    <row r="538" spans="8:29" x14ac:dyDescent="0.25">
      <c r="H538" s="268" t="s">
        <v>951</v>
      </c>
      <c r="I538" s="397" t="s">
        <v>836</v>
      </c>
      <c r="J538" s="372">
        <v>45152</v>
      </c>
      <c r="K538" s="372">
        <v>45157</v>
      </c>
      <c r="L538" s="268">
        <f t="shared" si="309"/>
        <v>6</v>
      </c>
      <c r="M538" s="268" t="s">
        <v>1183</v>
      </c>
      <c r="N538" s="268">
        <v>100</v>
      </c>
      <c r="O538" s="268"/>
      <c r="P538" s="269">
        <f t="shared" si="333"/>
        <v>168</v>
      </c>
      <c r="Q538" s="269">
        <v>8</v>
      </c>
      <c r="R538" s="269">
        <v>7</v>
      </c>
      <c r="S538" s="269">
        <f t="shared" si="329"/>
        <v>168</v>
      </c>
      <c r="T538" s="357">
        <f t="shared" si="334"/>
        <v>1.2824401375264376E-2</v>
      </c>
      <c r="U538" s="361">
        <f t="shared" si="330"/>
        <v>1</v>
      </c>
      <c r="V538" s="357">
        <f t="shared" si="331"/>
        <v>0</v>
      </c>
      <c r="W538" s="357">
        <f t="shared" si="332"/>
        <v>1.2824401375264376E-2</v>
      </c>
      <c r="X538" s="357">
        <f t="shared" si="332"/>
        <v>0</v>
      </c>
      <c r="Y538" s="198">
        <f t="shared" si="328"/>
        <v>100</v>
      </c>
      <c r="Z538" s="435"/>
      <c r="AC538" s="267"/>
    </row>
    <row r="539" spans="8:29" x14ac:dyDescent="0.25">
      <c r="H539" s="268" t="s">
        <v>952</v>
      </c>
      <c r="I539" s="397" t="s">
        <v>838</v>
      </c>
      <c r="J539" s="372">
        <v>45158</v>
      </c>
      <c r="K539" s="372">
        <v>45159</v>
      </c>
      <c r="L539" s="268">
        <f t="shared" si="309"/>
        <v>2</v>
      </c>
      <c r="M539" s="268" t="s">
        <v>1183</v>
      </c>
      <c r="N539" s="268">
        <v>100</v>
      </c>
      <c r="O539" s="268"/>
      <c r="P539" s="269">
        <f t="shared" si="333"/>
        <v>24</v>
      </c>
      <c r="Q539" s="269">
        <v>8</v>
      </c>
      <c r="R539" s="269">
        <v>3</v>
      </c>
      <c r="S539" s="269">
        <f t="shared" si="329"/>
        <v>24</v>
      </c>
      <c r="T539" s="357">
        <f t="shared" si="334"/>
        <v>1.8320573393234823E-3</v>
      </c>
      <c r="U539" s="361">
        <f t="shared" si="330"/>
        <v>1</v>
      </c>
      <c r="V539" s="357">
        <f t="shared" si="331"/>
        <v>0</v>
      </c>
      <c r="W539" s="357">
        <f t="shared" si="332"/>
        <v>1.8320573393234823E-3</v>
      </c>
      <c r="X539" s="357">
        <f t="shared" si="332"/>
        <v>0</v>
      </c>
      <c r="Y539" s="198">
        <f t="shared" si="328"/>
        <v>100</v>
      </c>
      <c r="Z539" s="435"/>
      <c r="AC539" s="267"/>
    </row>
    <row r="540" spans="8:29" x14ac:dyDescent="0.25">
      <c r="H540" s="268" t="s">
        <v>953</v>
      </c>
      <c r="I540" s="397" t="s">
        <v>840</v>
      </c>
      <c r="J540" s="372">
        <v>45160</v>
      </c>
      <c r="K540" s="372">
        <v>45165</v>
      </c>
      <c r="L540" s="268">
        <f t="shared" si="309"/>
        <v>6</v>
      </c>
      <c r="M540" s="268" t="s">
        <v>1183</v>
      </c>
      <c r="N540" s="268">
        <v>100</v>
      </c>
      <c r="O540" s="268"/>
      <c r="P540" s="269">
        <f t="shared" si="333"/>
        <v>72</v>
      </c>
      <c r="Q540" s="269">
        <v>8</v>
      </c>
      <c r="R540" s="269">
        <v>3</v>
      </c>
      <c r="S540" s="269">
        <f t="shared" si="329"/>
        <v>72</v>
      </c>
      <c r="T540" s="357">
        <f t="shared" si="334"/>
        <v>5.4961720179704469E-3</v>
      </c>
      <c r="U540" s="361">
        <f t="shared" si="330"/>
        <v>1</v>
      </c>
      <c r="V540" s="357">
        <f t="shared" si="331"/>
        <v>0</v>
      </c>
      <c r="W540" s="357">
        <f t="shared" si="332"/>
        <v>5.4961720179704469E-3</v>
      </c>
      <c r="X540" s="357">
        <f t="shared" si="332"/>
        <v>0</v>
      </c>
      <c r="Y540" s="198">
        <f t="shared" si="328"/>
        <v>100</v>
      </c>
      <c r="Z540" s="435"/>
      <c r="AC540" s="267"/>
    </row>
    <row r="541" spans="8:29" x14ac:dyDescent="0.25">
      <c r="H541" s="528" t="s">
        <v>954</v>
      </c>
      <c r="I541" s="529"/>
      <c r="J541" s="384">
        <v>45127</v>
      </c>
      <c r="K541" s="384">
        <v>45143</v>
      </c>
      <c r="L541" s="383">
        <f t="shared" si="309"/>
        <v>17</v>
      </c>
      <c r="M541" s="383"/>
      <c r="N541" s="383"/>
      <c r="O541" s="383"/>
      <c r="P541" s="383">
        <f>P542+P543+P544+P545+P546+P547</f>
        <v>242.66666666666666</v>
      </c>
      <c r="Q541" s="383"/>
      <c r="R541" s="383"/>
      <c r="S541" s="391">
        <f>S542+S543+S544+S545+S546+S547</f>
        <v>242.66666666666666</v>
      </c>
      <c r="T541" s="388">
        <f>S541/S523</f>
        <v>1.8187232562740956E-2</v>
      </c>
      <c r="U541" s="383"/>
      <c r="V541" s="388"/>
      <c r="W541" s="388">
        <f>W542+W543+W544+W545+W546+W547</f>
        <v>1</v>
      </c>
      <c r="X541" s="388">
        <f>X542+X543+X544+X545+X546+X547</f>
        <v>0</v>
      </c>
      <c r="Y541" s="198">
        <f t="shared" si="328"/>
        <v>0</v>
      </c>
      <c r="Z541" s="435"/>
      <c r="AC541" s="267"/>
    </row>
    <row r="542" spans="8:29" x14ac:dyDescent="0.25">
      <c r="H542" s="268" t="s">
        <v>955</v>
      </c>
      <c r="I542" s="397" t="s">
        <v>843</v>
      </c>
      <c r="J542" s="372">
        <v>45127</v>
      </c>
      <c r="K542" s="372">
        <v>45129</v>
      </c>
      <c r="L542" s="268">
        <f t="shared" si="309"/>
        <v>3</v>
      </c>
      <c r="M542" s="268" t="s">
        <v>1183</v>
      </c>
      <c r="N542" s="268">
        <v>100</v>
      </c>
      <c r="O542" s="268"/>
      <c r="P542" s="268">
        <f t="shared" si="333"/>
        <v>48</v>
      </c>
      <c r="Q542" s="268">
        <v>8</v>
      </c>
      <c r="R542" s="268">
        <v>4</v>
      </c>
      <c r="S542" s="269">
        <f t="shared" ref="S542:S581" si="335">P542</f>
        <v>48</v>
      </c>
      <c r="T542" s="357">
        <f>S542/$S$541</f>
        <v>0.19780219780219782</v>
      </c>
      <c r="U542" s="361">
        <f t="shared" ref="U542:U547" si="336">IF($J542&gt;U$5,0,IF($K542&lt;U$5,1,IF(U$5=$K542,1,((U$5-$J542+1)/($K542-$J542+1)))))</f>
        <v>1</v>
      </c>
      <c r="V542" s="357">
        <f t="shared" ref="V542:V547" si="337">IFERROR(O542/N542,0)</f>
        <v>0</v>
      </c>
      <c r="W542" s="357">
        <f t="shared" ref="W542:X547" si="338">U542*$T542</f>
        <v>0.19780219780219782</v>
      </c>
      <c r="X542" s="357">
        <f t="shared" si="338"/>
        <v>0</v>
      </c>
      <c r="Y542" s="198">
        <f t="shared" si="328"/>
        <v>100</v>
      </c>
      <c r="Z542" s="435"/>
      <c r="AC542" s="267"/>
    </row>
    <row r="543" spans="8:29" x14ac:dyDescent="0.25">
      <c r="H543" s="268" t="s">
        <v>956</v>
      </c>
      <c r="I543" s="397" t="s">
        <v>845</v>
      </c>
      <c r="J543" s="372">
        <v>45130</v>
      </c>
      <c r="K543" s="372">
        <v>45133</v>
      </c>
      <c r="L543" s="268">
        <f t="shared" si="309"/>
        <v>4</v>
      </c>
      <c r="M543" s="268" t="s">
        <v>1186</v>
      </c>
      <c r="N543" s="268">
        <v>130</v>
      </c>
      <c r="O543" s="268"/>
      <c r="P543" s="268">
        <f t="shared" si="333"/>
        <v>8</v>
      </c>
      <c r="Q543" s="268">
        <v>8</v>
      </c>
      <c r="R543" s="268">
        <v>0.5</v>
      </c>
      <c r="S543" s="269">
        <f t="shared" si="335"/>
        <v>8</v>
      </c>
      <c r="T543" s="357">
        <f t="shared" ref="T543:T547" si="339">S543/$S$541</f>
        <v>3.2967032967032968E-2</v>
      </c>
      <c r="U543" s="361">
        <f t="shared" si="336"/>
        <v>1</v>
      </c>
      <c r="V543" s="357">
        <f t="shared" si="337"/>
        <v>0</v>
      </c>
      <c r="W543" s="357">
        <f t="shared" si="338"/>
        <v>3.2967032967032968E-2</v>
      </c>
      <c r="X543" s="357">
        <f t="shared" si="338"/>
        <v>0</v>
      </c>
      <c r="Y543" s="198">
        <f t="shared" si="328"/>
        <v>130</v>
      </c>
      <c r="Z543" s="435"/>
      <c r="AC543" s="267"/>
    </row>
    <row r="544" spans="8:29" x14ac:dyDescent="0.25">
      <c r="H544" s="268" t="s">
        <v>957</v>
      </c>
      <c r="I544" s="397" t="s">
        <v>847</v>
      </c>
      <c r="J544" s="372">
        <v>45134</v>
      </c>
      <c r="K544" s="372">
        <v>45134</v>
      </c>
      <c r="L544" s="268">
        <f t="shared" si="309"/>
        <v>1</v>
      </c>
      <c r="M544" s="268" t="s">
        <v>1183</v>
      </c>
      <c r="N544" s="268">
        <v>100</v>
      </c>
      <c r="O544" s="268"/>
      <c r="P544" s="268">
        <f t="shared" si="333"/>
        <v>16</v>
      </c>
      <c r="Q544" s="268">
        <v>8</v>
      </c>
      <c r="R544" s="268">
        <v>4</v>
      </c>
      <c r="S544" s="269">
        <f t="shared" si="335"/>
        <v>16</v>
      </c>
      <c r="T544" s="357">
        <f t="shared" si="339"/>
        <v>6.5934065934065936E-2</v>
      </c>
      <c r="U544" s="361">
        <f t="shared" si="336"/>
        <v>1</v>
      </c>
      <c r="V544" s="357">
        <f t="shared" si="337"/>
        <v>0</v>
      </c>
      <c r="W544" s="357">
        <f t="shared" si="338"/>
        <v>6.5934065934065936E-2</v>
      </c>
      <c r="X544" s="357">
        <f t="shared" si="338"/>
        <v>0</v>
      </c>
      <c r="Y544" s="198">
        <f t="shared" si="328"/>
        <v>100</v>
      </c>
      <c r="Z544" s="435"/>
      <c r="AC544" s="267"/>
    </row>
    <row r="545" spans="8:29" x14ac:dyDescent="0.25">
      <c r="H545" s="268" t="s">
        <v>958</v>
      </c>
      <c r="I545" s="397" t="s">
        <v>849</v>
      </c>
      <c r="J545" s="372">
        <v>45136</v>
      </c>
      <c r="K545" s="372">
        <v>45137</v>
      </c>
      <c r="L545" s="268">
        <f t="shared" ref="L545:L606" si="340">K545-J545+1</f>
        <v>2</v>
      </c>
      <c r="M545" s="268" t="s">
        <v>1183</v>
      </c>
      <c r="N545" s="268">
        <v>100</v>
      </c>
      <c r="O545" s="268"/>
      <c r="P545" s="268">
        <f t="shared" si="333"/>
        <v>32</v>
      </c>
      <c r="Q545" s="268">
        <v>8</v>
      </c>
      <c r="R545" s="268">
        <v>4</v>
      </c>
      <c r="S545" s="269">
        <f t="shared" si="335"/>
        <v>32</v>
      </c>
      <c r="T545" s="357">
        <f t="shared" si="339"/>
        <v>0.13186813186813187</v>
      </c>
      <c r="U545" s="361">
        <f t="shared" si="336"/>
        <v>1</v>
      </c>
      <c r="V545" s="357">
        <f t="shared" si="337"/>
        <v>0</v>
      </c>
      <c r="W545" s="357">
        <f t="shared" si="338"/>
        <v>0.13186813186813187</v>
      </c>
      <c r="X545" s="357">
        <f t="shared" si="338"/>
        <v>0</v>
      </c>
      <c r="Y545" s="198">
        <f t="shared" si="328"/>
        <v>100</v>
      </c>
      <c r="Z545" s="435"/>
      <c r="AC545" s="267"/>
    </row>
    <row r="546" spans="8:29" x14ac:dyDescent="0.25">
      <c r="H546" s="268" t="s">
        <v>959</v>
      </c>
      <c r="I546" s="397" t="s">
        <v>851</v>
      </c>
      <c r="J546" s="372">
        <v>45136</v>
      </c>
      <c r="K546" s="372">
        <v>45137</v>
      </c>
      <c r="L546" s="268">
        <f t="shared" si="340"/>
        <v>2</v>
      </c>
      <c r="M546" s="268" t="s">
        <v>1183</v>
      </c>
      <c r="N546" s="268">
        <v>100</v>
      </c>
      <c r="O546" s="268"/>
      <c r="P546" s="268">
        <f t="shared" si="333"/>
        <v>24</v>
      </c>
      <c r="Q546" s="268">
        <v>8</v>
      </c>
      <c r="R546" s="268">
        <v>3</v>
      </c>
      <c r="S546" s="269">
        <f t="shared" si="335"/>
        <v>24</v>
      </c>
      <c r="T546" s="357">
        <f t="shared" si="339"/>
        <v>9.8901098901098911E-2</v>
      </c>
      <c r="U546" s="361">
        <f t="shared" si="336"/>
        <v>1</v>
      </c>
      <c r="V546" s="357">
        <f t="shared" si="337"/>
        <v>0</v>
      </c>
      <c r="W546" s="357">
        <f t="shared" si="338"/>
        <v>9.8901098901098911E-2</v>
      </c>
      <c r="X546" s="357">
        <f t="shared" si="338"/>
        <v>0</v>
      </c>
      <c r="Y546" s="198">
        <f t="shared" si="328"/>
        <v>100</v>
      </c>
      <c r="Z546" s="435"/>
      <c r="AC546" s="267"/>
    </row>
    <row r="547" spans="8:29" x14ac:dyDescent="0.25">
      <c r="H547" s="268" t="s">
        <v>960</v>
      </c>
      <c r="I547" s="397" t="s">
        <v>853</v>
      </c>
      <c r="J547" s="372">
        <v>45138</v>
      </c>
      <c r="K547" s="372">
        <v>45143</v>
      </c>
      <c r="L547" s="268">
        <f t="shared" si="340"/>
        <v>6</v>
      </c>
      <c r="M547" s="268" t="s">
        <v>1187</v>
      </c>
      <c r="N547" s="268">
        <v>430</v>
      </c>
      <c r="O547" s="268"/>
      <c r="P547" s="269">
        <f t="shared" si="333"/>
        <v>114.66666666666666</v>
      </c>
      <c r="Q547" s="269">
        <v>8</v>
      </c>
      <c r="R547" s="269">
        <f>((N547/L547)/150)*(2+2+6)</f>
        <v>4.7777777777777777</v>
      </c>
      <c r="S547" s="269">
        <f t="shared" si="335"/>
        <v>114.66666666666666</v>
      </c>
      <c r="T547" s="357">
        <f t="shared" si="339"/>
        <v>0.47252747252747251</v>
      </c>
      <c r="U547" s="361">
        <f t="shared" si="336"/>
        <v>1</v>
      </c>
      <c r="V547" s="357">
        <f t="shared" si="337"/>
        <v>0</v>
      </c>
      <c r="W547" s="357">
        <f t="shared" si="338"/>
        <v>0.47252747252747251</v>
      </c>
      <c r="X547" s="357">
        <f t="shared" si="338"/>
        <v>0</v>
      </c>
      <c r="Y547" s="198">
        <f t="shared" si="328"/>
        <v>430</v>
      </c>
      <c r="Z547" s="435"/>
      <c r="AC547" s="267"/>
    </row>
    <row r="548" spans="8:29" x14ac:dyDescent="0.25">
      <c r="H548" s="268"/>
      <c r="I548" s="397"/>
      <c r="J548" s="372"/>
      <c r="K548" s="372"/>
      <c r="L548" s="268"/>
      <c r="M548" s="268"/>
      <c r="N548" s="268"/>
      <c r="O548" s="268"/>
      <c r="P548" s="268"/>
      <c r="Q548" s="268"/>
      <c r="R548" s="268"/>
      <c r="S548" s="269"/>
      <c r="T548" s="381"/>
      <c r="U548" s="395"/>
      <c r="V548" s="381"/>
      <c r="W548" s="381"/>
      <c r="X548" s="381"/>
      <c r="Y548" s="198">
        <f>+U548*N548</f>
        <v>0</v>
      </c>
      <c r="Z548" s="435"/>
      <c r="AC548" s="267"/>
    </row>
    <row r="549" spans="8:29" x14ac:dyDescent="0.25">
      <c r="H549" s="268"/>
      <c r="I549" s="397"/>
      <c r="J549" s="268"/>
      <c r="K549" s="372"/>
      <c r="L549" s="268"/>
      <c r="M549" s="268"/>
      <c r="N549" s="268"/>
      <c r="O549" s="268"/>
      <c r="P549" s="268"/>
      <c r="Q549" s="268"/>
      <c r="R549" s="268"/>
      <c r="S549" s="269"/>
      <c r="T549" s="381"/>
      <c r="U549" s="359"/>
      <c r="V549" s="381"/>
      <c r="W549" s="381"/>
      <c r="X549" s="381"/>
      <c r="Y549" s="198">
        <f t="shared" ref="Y549:Y612" si="341">+U549*N549</f>
        <v>0</v>
      </c>
      <c r="Z549" s="435"/>
      <c r="AC549" s="267"/>
    </row>
    <row r="550" spans="8:29" x14ac:dyDescent="0.25">
      <c r="H550" s="510" t="s">
        <v>961</v>
      </c>
      <c r="I550" s="511"/>
      <c r="J550" s="392">
        <v>45000</v>
      </c>
      <c r="K550" s="392">
        <v>45269</v>
      </c>
      <c r="L550" s="368">
        <f t="shared" si="340"/>
        <v>270</v>
      </c>
      <c r="M550" s="368"/>
      <c r="N550" s="368"/>
      <c r="O550" s="368"/>
      <c r="P550" s="368">
        <f>P551+P555+P557+P574+P576+P578+P580</f>
        <v>78200</v>
      </c>
      <c r="Q550" s="368"/>
      <c r="R550" s="368"/>
      <c r="S550" s="400">
        <f>S551+S555+S557+S574+S576+S578+S580</f>
        <v>76700</v>
      </c>
      <c r="T550" s="356">
        <f>S550/S350</f>
        <v>5.9608926110184722E-2</v>
      </c>
      <c r="U550" s="368"/>
      <c r="V550" s="356"/>
      <c r="W550" s="356">
        <f>W551*T551+W555*T555+W557*T557+W574*T574+W576*T576+W578*T578+W580*T580</f>
        <v>0.99999999999999989</v>
      </c>
      <c r="X550" s="356">
        <f>X551*T551+X555*T555+X557*T557+X574*T574+X576*T576+X578*T578+X580*T580</f>
        <v>0</v>
      </c>
      <c r="Y550" s="198">
        <f t="shared" si="341"/>
        <v>0</v>
      </c>
      <c r="Z550" s="435"/>
      <c r="AC550" s="267"/>
    </row>
    <row r="551" spans="8:29" x14ac:dyDescent="0.25">
      <c r="H551" s="518" t="s">
        <v>962</v>
      </c>
      <c r="I551" s="519"/>
      <c r="J551" s="370">
        <v>45160</v>
      </c>
      <c r="K551" s="370">
        <v>45269</v>
      </c>
      <c r="L551" s="369">
        <f t="shared" si="340"/>
        <v>110</v>
      </c>
      <c r="M551" s="369"/>
      <c r="N551" s="369"/>
      <c r="O551" s="369"/>
      <c r="P551" s="369">
        <f>P552+P553+P554</f>
        <v>5200</v>
      </c>
      <c r="Q551" s="369"/>
      <c r="R551" s="369"/>
      <c r="S551" s="369">
        <f>S552+S553+S554</f>
        <v>5200</v>
      </c>
      <c r="T551" s="363">
        <f>S551/$S$550</f>
        <v>6.7796610169491525E-2</v>
      </c>
      <c r="U551" s="363">
        <f>U552+U553+U554</f>
        <v>3</v>
      </c>
      <c r="V551" s="363"/>
      <c r="W551" s="363">
        <f>W552+W553+W554</f>
        <v>1</v>
      </c>
      <c r="X551" s="363">
        <f>X552+X553+X554</f>
        <v>0</v>
      </c>
      <c r="Y551" s="198">
        <f t="shared" si="341"/>
        <v>0</v>
      </c>
      <c r="Z551" s="435"/>
      <c r="AC551" s="267"/>
    </row>
    <row r="552" spans="8:29" x14ac:dyDescent="0.25">
      <c r="H552" s="268" t="s">
        <v>963</v>
      </c>
      <c r="I552" s="397" t="s">
        <v>964</v>
      </c>
      <c r="J552" s="372">
        <v>45160</v>
      </c>
      <c r="K552" s="372">
        <v>45176</v>
      </c>
      <c r="L552" s="268">
        <f t="shared" si="340"/>
        <v>17</v>
      </c>
      <c r="M552" s="268" t="s">
        <v>1182</v>
      </c>
      <c r="N552" s="268" t="s">
        <v>1194</v>
      </c>
      <c r="O552" s="268"/>
      <c r="P552" s="268">
        <f t="shared" ref="P552:P554" si="342">L552*Q552*R552</f>
        <v>1700</v>
      </c>
      <c r="Q552" s="268">
        <v>10</v>
      </c>
      <c r="R552" s="268">
        <v>10</v>
      </c>
      <c r="S552" s="269">
        <f t="shared" si="335"/>
        <v>1700</v>
      </c>
      <c r="T552" s="357">
        <f>S552/$S$551</f>
        <v>0.32692307692307693</v>
      </c>
      <c r="U552" s="361">
        <f t="shared" ref="U552:U554" si="343">IF($J552&gt;U$5,0,IF($K552&lt;U$5,1,IF(U$5=$K552,1,((U$5-$J552+1)/($K552-$J552+1)))))</f>
        <v>1</v>
      </c>
      <c r="V552" s="357">
        <f>IFERROR(O552/N552,0)</f>
        <v>0</v>
      </c>
      <c r="W552" s="357">
        <f>U552*$T552</f>
        <v>0.32692307692307693</v>
      </c>
      <c r="X552" s="357">
        <f>V552*$T552</f>
        <v>0</v>
      </c>
      <c r="Y552" s="198" t="e">
        <f t="shared" si="341"/>
        <v>#VALUE!</v>
      </c>
      <c r="Z552" s="435"/>
      <c r="AC552" s="267"/>
    </row>
    <row r="553" spans="8:29" x14ac:dyDescent="0.25">
      <c r="H553" s="268" t="s">
        <v>965</v>
      </c>
      <c r="I553" s="397" t="s">
        <v>966</v>
      </c>
      <c r="J553" s="372">
        <v>45181</v>
      </c>
      <c r="K553" s="372">
        <v>45197</v>
      </c>
      <c r="L553" s="268">
        <f t="shared" si="340"/>
        <v>17</v>
      </c>
      <c r="M553" s="268" t="s">
        <v>1182</v>
      </c>
      <c r="N553" s="268" t="s">
        <v>1194</v>
      </c>
      <c r="O553" s="268"/>
      <c r="P553" s="268">
        <f t="shared" si="342"/>
        <v>1700</v>
      </c>
      <c r="Q553" s="268">
        <v>10</v>
      </c>
      <c r="R553" s="268">
        <v>10</v>
      </c>
      <c r="S553" s="269">
        <f t="shared" si="335"/>
        <v>1700</v>
      </c>
      <c r="T553" s="357">
        <f t="shared" ref="T553:T554" si="344">S553/$S$551</f>
        <v>0.32692307692307693</v>
      </c>
      <c r="U553" s="361">
        <f t="shared" si="343"/>
        <v>1</v>
      </c>
      <c r="V553" s="357">
        <f>IFERROR(O553/N553,0)</f>
        <v>0</v>
      </c>
      <c r="W553" s="357">
        <f>U553*$T553</f>
        <v>0.32692307692307693</v>
      </c>
      <c r="X553" s="357">
        <f>V553*$T553</f>
        <v>0</v>
      </c>
      <c r="Y553" s="198" t="e">
        <f t="shared" si="341"/>
        <v>#VALUE!</v>
      </c>
      <c r="Z553" s="435"/>
      <c r="AC553" s="267"/>
    </row>
    <row r="554" spans="8:29" x14ac:dyDescent="0.25">
      <c r="H554" s="268" t="s">
        <v>967</v>
      </c>
      <c r="I554" s="397" t="s">
        <v>968</v>
      </c>
      <c r="J554" s="372">
        <v>45252</v>
      </c>
      <c r="K554" s="372">
        <v>45269</v>
      </c>
      <c r="L554" s="268">
        <f t="shared" si="340"/>
        <v>18</v>
      </c>
      <c r="M554" s="268" t="s">
        <v>1182</v>
      </c>
      <c r="N554" s="268" t="s">
        <v>1194</v>
      </c>
      <c r="O554" s="268"/>
      <c r="P554" s="268">
        <f t="shared" si="342"/>
        <v>1800</v>
      </c>
      <c r="Q554" s="268">
        <v>10</v>
      </c>
      <c r="R554" s="268">
        <v>10</v>
      </c>
      <c r="S554" s="269">
        <f t="shared" si="335"/>
        <v>1800</v>
      </c>
      <c r="T554" s="357">
        <f t="shared" si="344"/>
        <v>0.34615384615384615</v>
      </c>
      <c r="U554" s="361">
        <f t="shared" si="343"/>
        <v>1</v>
      </c>
      <c r="V554" s="357">
        <f>IFERROR(O554/N554,0)</f>
        <v>0</v>
      </c>
      <c r="W554" s="357">
        <f t="shared" ref="W554" si="345">U554*$T554</f>
        <v>0.34615384615384615</v>
      </c>
      <c r="X554" s="357">
        <f t="shared" ref="X554" si="346">V554*$T554</f>
        <v>0</v>
      </c>
      <c r="Y554" s="198" t="e">
        <f t="shared" si="341"/>
        <v>#VALUE!</v>
      </c>
      <c r="Z554" s="435"/>
      <c r="AC554" s="267"/>
    </row>
    <row r="555" spans="8:29" x14ac:dyDescent="0.25">
      <c r="H555" s="518" t="s">
        <v>969</v>
      </c>
      <c r="I555" s="519"/>
      <c r="J555" s="370">
        <v>45070</v>
      </c>
      <c r="K555" s="370">
        <v>45101</v>
      </c>
      <c r="L555" s="369">
        <f t="shared" si="340"/>
        <v>32</v>
      </c>
      <c r="M555" s="369"/>
      <c r="N555" s="369"/>
      <c r="O555" s="369"/>
      <c r="P555" s="369">
        <f>P556</f>
        <v>3200</v>
      </c>
      <c r="Q555" s="369"/>
      <c r="R555" s="369"/>
      <c r="S555" s="369">
        <f>S556</f>
        <v>1700</v>
      </c>
      <c r="T555" s="363">
        <f>S555/$S$550</f>
        <v>2.2164276401564539E-2</v>
      </c>
      <c r="U555" s="363"/>
      <c r="V555" s="363"/>
      <c r="W555" s="363">
        <f>W556</f>
        <v>1</v>
      </c>
      <c r="X555" s="363">
        <f>X556</f>
        <v>0</v>
      </c>
      <c r="Y555" s="198">
        <f t="shared" si="341"/>
        <v>0</v>
      </c>
      <c r="Z555" s="435"/>
      <c r="AC555" s="267"/>
    </row>
    <row r="556" spans="8:29" x14ac:dyDescent="0.25">
      <c r="H556" s="268" t="s">
        <v>970</v>
      </c>
      <c r="I556" s="397" t="s">
        <v>971</v>
      </c>
      <c r="J556" s="372">
        <v>45070</v>
      </c>
      <c r="K556" s="372">
        <v>45101</v>
      </c>
      <c r="L556" s="268">
        <f t="shared" si="340"/>
        <v>32</v>
      </c>
      <c r="M556" s="268" t="s">
        <v>1182</v>
      </c>
      <c r="N556" s="268" t="s">
        <v>1194</v>
      </c>
      <c r="O556" s="268"/>
      <c r="P556" s="268">
        <f t="shared" ref="P556" si="347">L556*Q556*R556</f>
        <v>3200</v>
      </c>
      <c r="Q556" s="268">
        <v>10</v>
      </c>
      <c r="R556" s="268">
        <v>10</v>
      </c>
      <c r="S556" s="269">
        <v>1700</v>
      </c>
      <c r="T556" s="357">
        <f>S556/S555</f>
        <v>1</v>
      </c>
      <c r="U556" s="361">
        <f t="shared" ref="U556" si="348">IF($J556&gt;U$5,0,IF($K556&lt;U$5,1,IF(U$5=$K556,1,((U$5-$J556+1)/($K556-$J556+1)))))</f>
        <v>1</v>
      </c>
      <c r="V556" s="357">
        <f>IFERROR(O556/N556,0)</f>
        <v>0</v>
      </c>
      <c r="W556" s="357">
        <f t="shared" ref="W556" si="349">U556*$T556</f>
        <v>1</v>
      </c>
      <c r="X556" s="357">
        <f t="shared" ref="X556" si="350">V556*$T556</f>
        <v>0</v>
      </c>
      <c r="Y556" s="198" t="e">
        <f t="shared" si="341"/>
        <v>#VALUE!</v>
      </c>
      <c r="Z556" s="435"/>
      <c r="AC556" s="267"/>
    </row>
    <row r="557" spans="8:29" x14ac:dyDescent="0.25">
      <c r="H557" s="518" t="s">
        <v>972</v>
      </c>
      <c r="I557" s="519"/>
      <c r="J557" s="370">
        <v>45040</v>
      </c>
      <c r="K557" s="370">
        <v>45245</v>
      </c>
      <c r="L557" s="369">
        <f t="shared" si="340"/>
        <v>206</v>
      </c>
      <c r="M557" s="369"/>
      <c r="N557" s="369"/>
      <c r="O557" s="369"/>
      <c r="P557" s="369">
        <f>SUM(P558:P573)</f>
        <v>36800</v>
      </c>
      <c r="Q557" s="369"/>
      <c r="R557" s="369"/>
      <c r="S557" s="369">
        <f>SUM(S558:S573)</f>
        <v>36800</v>
      </c>
      <c r="T557" s="363">
        <f>S557/$S$550</f>
        <v>0.47979139504563234</v>
      </c>
      <c r="U557" s="363"/>
      <c r="V557" s="363"/>
      <c r="W557" s="363">
        <f>SUM(W558:W573)</f>
        <v>0.99999999999999989</v>
      </c>
      <c r="X557" s="369">
        <f>SUM(X558:X573)</f>
        <v>0</v>
      </c>
      <c r="Y557" s="198">
        <f t="shared" si="341"/>
        <v>0</v>
      </c>
      <c r="Z557" s="435"/>
      <c r="AC557" s="267"/>
    </row>
    <row r="558" spans="8:29" x14ac:dyDescent="0.25">
      <c r="H558" s="268" t="s">
        <v>974</v>
      </c>
      <c r="I558" s="397" t="s">
        <v>973</v>
      </c>
      <c r="J558" s="372">
        <v>45040</v>
      </c>
      <c r="K558" s="372">
        <v>45056</v>
      </c>
      <c r="L558" s="268">
        <f t="shared" si="340"/>
        <v>17</v>
      </c>
      <c r="M558" s="268" t="s">
        <v>1182</v>
      </c>
      <c r="N558" s="268" t="s">
        <v>1194</v>
      </c>
      <c r="O558" s="268"/>
      <c r="P558" s="268">
        <f t="shared" ref="P558:P573" si="351">L558*Q558*R558</f>
        <v>1700</v>
      </c>
      <c r="Q558" s="268">
        <v>10</v>
      </c>
      <c r="R558" s="268">
        <v>10</v>
      </c>
      <c r="S558" s="269">
        <f t="shared" si="335"/>
        <v>1700</v>
      </c>
      <c r="T558" s="357">
        <f>S558/$S$557</f>
        <v>4.619565217391304E-2</v>
      </c>
      <c r="U558" s="361">
        <f t="shared" ref="U558:U581" si="352">IF($J558&gt;U$5,0,IF($K558&lt;U$5,1,IF(U$5=$K558,1,((U$5-$J558+1)/($K558-$J558+1)))))</f>
        <v>1</v>
      </c>
      <c r="V558" s="357">
        <f t="shared" ref="V558:V573" si="353">IFERROR(O558/N558,0)</f>
        <v>0</v>
      </c>
      <c r="W558" s="357">
        <f t="shared" ref="W558:W573" si="354">U558*$T558</f>
        <v>4.619565217391304E-2</v>
      </c>
      <c r="X558" s="357">
        <f t="shared" ref="X558:X573" si="355">V558*$T558</f>
        <v>0</v>
      </c>
      <c r="Y558" s="198" t="e">
        <f t="shared" si="341"/>
        <v>#VALUE!</v>
      </c>
      <c r="Z558" s="435"/>
      <c r="AC558" s="267"/>
    </row>
    <row r="559" spans="8:29" x14ac:dyDescent="0.25">
      <c r="H559" s="268" t="s">
        <v>975</v>
      </c>
      <c r="I559" s="397" t="s">
        <v>976</v>
      </c>
      <c r="J559" s="372">
        <v>45054</v>
      </c>
      <c r="K559" s="372">
        <v>45069</v>
      </c>
      <c r="L559" s="268">
        <f t="shared" si="340"/>
        <v>16</v>
      </c>
      <c r="M559" s="268" t="s">
        <v>1182</v>
      </c>
      <c r="N559" s="268" t="s">
        <v>1194</v>
      </c>
      <c r="O559" s="268"/>
      <c r="P559" s="268">
        <f t="shared" si="351"/>
        <v>1600</v>
      </c>
      <c r="Q559" s="268">
        <v>10</v>
      </c>
      <c r="R559" s="268">
        <v>10</v>
      </c>
      <c r="S559" s="269">
        <f t="shared" si="335"/>
        <v>1600</v>
      </c>
      <c r="T559" s="357">
        <f t="shared" ref="T559:T573" si="356">S559/$S$557</f>
        <v>4.3478260869565216E-2</v>
      </c>
      <c r="U559" s="361">
        <f t="shared" si="352"/>
        <v>1</v>
      </c>
      <c r="V559" s="357">
        <f t="shared" si="353"/>
        <v>0</v>
      </c>
      <c r="W559" s="357">
        <f t="shared" si="354"/>
        <v>4.3478260869565216E-2</v>
      </c>
      <c r="X559" s="357">
        <f t="shared" si="355"/>
        <v>0</v>
      </c>
      <c r="Y559" s="198" t="e">
        <f t="shared" si="341"/>
        <v>#VALUE!</v>
      </c>
      <c r="Z559" s="435"/>
      <c r="AC559" s="267"/>
    </row>
    <row r="560" spans="8:29" x14ac:dyDescent="0.25">
      <c r="H560" s="268" t="s">
        <v>977</v>
      </c>
      <c r="I560" s="397" t="s">
        <v>978</v>
      </c>
      <c r="J560" s="372">
        <v>45055</v>
      </c>
      <c r="K560" s="372">
        <v>45071</v>
      </c>
      <c r="L560" s="268">
        <f t="shared" si="340"/>
        <v>17</v>
      </c>
      <c r="M560" s="268" t="s">
        <v>1182</v>
      </c>
      <c r="N560" s="268" t="s">
        <v>1194</v>
      </c>
      <c r="O560" s="268"/>
      <c r="P560" s="268">
        <f t="shared" si="351"/>
        <v>1700</v>
      </c>
      <c r="Q560" s="268">
        <v>10</v>
      </c>
      <c r="R560" s="268">
        <v>10</v>
      </c>
      <c r="S560" s="269">
        <f t="shared" si="335"/>
        <v>1700</v>
      </c>
      <c r="T560" s="357">
        <f t="shared" si="356"/>
        <v>4.619565217391304E-2</v>
      </c>
      <c r="U560" s="361">
        <f t="shared" si="352"/>
        <v>1</v>
      </c>
      <c r="V560" s="357">
        <f t="shared" si="353"/>
        <v>0</v>
      </c>
      <c r="W560" s="357">
        <f t="shared" si="354"/>
        <v>4.619565217391304E-2</v>
      </c>
      <c r="X560" s="357">
        <f t="shared" si="355"/>
        <v>0</v>
      </c>
      <c r="Y560" s="198" t="e">
        <f t="shared" si="341"/>
        <v>#VALUE!</v>
      </c>
      <c r="Z560" s="435"/>
      <c r="AC560" s="267"/>
    </row>
    <row r="561" spans="8:29" x14ac:dyDescent="0.25">
      <c r="H561" s="268" t="s">
        <v>979</v>
      </c>
      <c r="I561" s="397" t="s">
        <v>980</v>
      </c>
      <c r="J561" s="372">
        <v>45055</v>
      </c>
      <c r="K561" s="372">
        <v>45071</v>
      </c>
      <c r="L561" s="268">
        <f t="shared" si="340"/>
        <v>17</v>
      </c>
      <c r="M561" s="268" t="s">
        <v>1182</v>
      </c>
      <c r="N561" s="268" t="s">
        <v>1194</v>
      </c>
      <c r="O561" s="268"/>
      <c r="P561" s="268">
        <f t="shared" si="351"/>
        <v>1700</v>
      </c>
      <c r="Q561" s="268">
        <v>10</v>
      </c>
      <c r="R561" s="268">
        <v>10</v>
      </c>
      <c r="S561" s="269">
        <f t="shared" si="335"/>
        <v>1700</v>
      </c>
      <c r="T561" s="357">
        <f t="shared" si="356"/>
        <v>4.619565217391304E-2</v>
      </c>
      <c r="U561" s="361">
        <f t="shared" si="352"/>
        <v>1</v>
      </c>
      <c r="V561" s="357">
        <f t="shared" si="353"/>
        <v>0</v>
      </c>
      <c r="W561" s="357">
        <f t="shared" si="354"/>
        <v>4.619565217391304E-2</v>
      </c>
      <c r="X561" s="357">
        <f t="shared" si="355"/>
        <v>0</v>
      </c>
      <c r="Y561" s="198" t="e">
        <f t="shared" si="341"/>
        <v>#VALUE!</v>
      </c>
      <c r="Z561" s="435"/>
      <c r="AC561" s="267"/>
    </row>
    <row r="562" spans="8:29" x14ac:dyDescent="0.25">
      <c r="H562" s="268" t="s">
        <v>981</v>
      </c>
      <c r="I562" s="397" t="s">
        <v>978</v>
      </c>
      <c r="J562" s="372">
        <v>45055</v>
      </c>
      <c r="K562" s="372">
        <v>45071</v>
      </c>
      <c r="L562" s="268">
        <f t="shared" si="340"/>
        <v>17</v>
      </c>
      <c r="M562" s="268" t="s">
        <v>1182</v>
      </c>
      <c r="N562" s="268" t="s">
        <v>1194</v>
      </c>
      <c r="O562" s="268"/>
      <c r="P562" s="268">
        <f t="shared" si="351"/>
        <v>1700</v>
      </c>
      <c r="Q562" s="268">
        <v>10</v>
      </c>
      <c r="R562" s="268">
        <v>10</v>
      </c>
      <c r="S562" s="269">
        <f t="shared" si="335"/>
        <v>1700</v>
      </c>
      <c r="T562" s="357">
        <f t="shared" si="356"/>
        <v>4.619565217391304E-2</v>
      </c>
      <c r="U562" s="361">
        <f t="shared" si="352"/>
        <v>1</v>
      </c>
      <c r="V562" s="357">
        <f t="shared" si="353"/>
        <v>0</v>
      </c>
      <c r="W562" s="357">
        <f t="shared" si="354"/>
        <v>4.619565217391304E-2</v>
      </c>
      <c r="X562" s="357">
        <f t="shared" si="355"/>
        <v>0</v>
      </c>
      <c r="Y562" s="198" t="e">
        <f t="shared" si="341"/>
        <v>#VALUE!</v>
      </c>
      <c r="Z562" s="435"/>
      <c r="AC562" s="267"/>
    </row>
    <row r="563" spans="8:29" x14ac:dyDescent="0.25">
      <c r="H563" s="268" t="s">
        <v>982</v>
      </c>
      <c r="I563" s="397" t="s">
        <v>980</v>
      </c>
      <c r="J563" s="372">
        <v>45055</v>
      </c>
      <c r="K563" s="372">
        <v>45071</v>
      </c>
      <c r="L563" s="268">
        <f t="shared" si="340"/>
        <v>17</v>
      </c>
      <c r="M563" s="268" t="s">
        <v>1182</v>
      </c>
      <c r="N563" s="268" t="s">
        <v>1194</v>
      </c>
      <c r="O563" s="268"/>
      <c r="P563" s="268">
        <f t="shared" si="351"/>
        <v>1700</v>
      </c>
      <c r="Q563" s="268">
        <v>10</v>
      </c>
      <c r="R563" s="268">
        <v>10</v>
      </c>
      <c r="S563" s="269">
        <f t="shared" si="335"/>
        <v>1700</v>
      </c>
      <c r="T563" s="357">
        <f t="shared" si="356"/>
        <v>4.619565217391304E-2</v>
      </c>
      <c r="U563" s="361">
        <f t="shared" si="352"/>
        <v>1</v>
      </c>
      <c r="V563" s="357">
        <f t="shared" si="353"/>
        <v>0</v>
      </c>
      <c r="W563" s="357">
        <f t="shared" si="354"/>
        <v>4.619565217391304E-2</v>
      </c>
      <c r="X563" s="357">
        <f t="shared" si="355"/>
        <v>0</v>
      </c>
      <c r="Y563" s="198" t="e">
        <f t="shared" si="341"/>
        <v>#VALUE!</v>
      </c>
      <c r="Z563" s="435"/>
      <c r="AC563" s="267"/>
    </row>
    <row r="564" spans="8:29" x14ac:dyDescent="0.25">
      <c r="H564" s="268" t="s">
        <v>983</v>
      </c>
      <c r="I564" s="397" t="s">
        <v>984</v>
      </c>
      <c r="J564" s="372">
        <v>45056</v>
      </c>
      <c r="K564" s="372">
        <v>45084</v>
      </c>
      <c r="L564" s="268">
        <f t="shared" si="340"/>
        <v>29</v>
      </c>
      <c r="M564" s="268" t="s">
        <v>1182</v>
      </c>
      <c r="N564" s="268" t="s">
        <v>1194</v>
      </c>
      <c r="O564" s="268"/>
      <c r="P564" s="268">
        <f t="shared" si="351"/>
        <v>2900</v>
      </c>
      <c r="Q564" s="268">
        <v>10</v>
      </c>
      <c r="R564" s="268">
        <v>10</v>
      </c>
      <c r="S564" s="269">
        <f t="shared" si="335"/>
        <v>2900</v>
      </c>
      <c r="T564" s="357">
        <f t="shared" si="356"/>
        <v>7.880434782608696E-2</v>
      </c>
      <c r="U564" s="361">
        <f t="shared" si="352"/>
        <v>1</v>
      </c>
      <c r="V564" s="357">
        <f t="shared" si="353"/>
        <v>0</v>
      </c>
      <c r="W564" s="357">
        <f t="shared" si="354"/>
        <v>7.880434782608696E-2</v>
      </c>
      <c r="X564" s="357">
        <f t="shared" si="355"/>
        <v>0</v>
      </c>
      <c r="Y564" s="198" t="e">
        <f t="shared" si="341"/>
        <v>#VALUE!</v>
      </c>
      <c r="Z564" s="435"/>
      <c r="AC564" s="267"/>
    </row>
    <row r="565" spans="8:29" x14ac:dyDescent="0.25">
      <c r="H565" s="268" t="s">
        <v>985</v>
      </c>
      <c r="I565" s="397" t="s">
        <v>986</v>
      </c>
      <c r="J565" s="372">
        <v>45056</v>
      </c>
      <c r="K565" s="372">
        <v>45084</v>
      </c>
      <c r="L565" s="268">
        <f t="shared" si="340"/>
        <v>29</v>
      </c>
      <c r="M565" s="268" t="s">
        <v>1182</v>
      </c>
      <c r="N565" s="268" t="s">
        <v>1194</v>
      </c>
      <c r="O565" s="268"/>
      <c r="P565" s="268">
        <f t="shared" si="351"/>
        <v>2900</v>
      </c>
      <c r="Q565" s="268">
        <v>10</v>
      </c>
      <c r="R565" s="268">
        <v>10</v>
      </c>
      <c r="S565" s="269">
        <f t="shared" si="335"/>
        <v>2900</v>
      </c>
      <c r="T565" s="357">
        <f t="shared" si="356"/>
        <v>7.880434782608696E-2</v>
      </c>
      <c r="U565" s="361">
        <f t="shared" si="352"/>
        <v>1</v>
      </c>
      <c r="V565" s="357">
        <f t="shared" si="353"/>
        <v>0</v>
      </c>
      <c r="W565" s="357">
        <f t="shared" si="354"/>
        <v>7.880434782608696E-2</v>
      </c>
      <c r="X565" s="357">
        <f t="shared" si="355"/>
        <v>0</v>
      </c>
      <c r="Y565" s="198" t="e">
        <f t="shared" si="341"/>
        <v>#VALUE!</v>
      </c>
      <c r="Z565" s="435"/>
      <c r="AC565" s="267"/>
    </row>
    <row r="566" spans="8:29" x14ac:dyDescent="0.25">
      <c r="H566" s="268" t="s">
        <v>987</v>
      </c>
      <c r="I566" s="397" t="s">
        <v>988</v>
      </c>
      <c r="J566" s="372">
        <v>45064</v>
      </c>
      <c r="K566" s="372">
        <v>45087</v>
      </c>
      <c r="L566" s="268">
        <f t="shared" si="340"/>
        <v>24</v>
      </c>
      <c r="M566" s="268" t="s">
        <v>1182</v>
      </c>
      <c r="N566" s="268" t="s">
        <v>1194</v>
      </c>
      <c r="O566" s="268"/>
      <c r="P566" s="268">
        <f t="shared" si="351"/>
        <v>2400</v>
      </c>
      <c r="Q566" s="268">
        <v>10</v>
      </c>
      <c r="R566" s="268">
        <v>10</v>
      </c>
      <c r="S566" s="269">
        <f t="shared" si="335"/>
        <v>2400</v>
      </c>
      <c r="T566" s="357">
        <f t="shared" si="356"/>
        <v>6.5217391304347824E-2</v>
      </c>
      <c r="U566" s="361">
        <f t="shared" si="352"/>
        <v>1</v>
      </c>
      <c r="V566" s="357">
        <f t="shared" si="353"/>
        <v>0</v>
      </c>
      <c r="W566" s="357">
        <f t="shared" si="354"/>
        <v>6.5217391304347824E-2</v>
      </c>
      <c r="X566" s="357">
        <f t="shared" si="355"/>
        <v>0</v>
      </c>
      <c r="Y566" s="198" t="e">
        <f t="shared" si="341"/>
        <v>#VALUE!</v>
      </c>
      <c r="Z566" s="435"/>
      <c r="AC566" s="267"/>
    </row>
    <row r="567" spans="8:29" x14ac:dyDescent="0.25">
      <c r="H567" s="268" t="s">
        <v>989</v>
      </c>
      <c r="I567" s="397" t="s">
        <v>990</v>
      </c>
      <c r="J567" s="372">
        <v>45071</v>
      </c>
      <c r="K567" s="372">
        <v>45099</v>
      </c>
      <c r="L567" s="268">
        <f t="shared" si="340"/>
        <v>29</v>
      </c>
      <c r="M567" s="268" t="s">
        <v>1182</v>
      </c>
      <c r="N567" s="268" t="s">
        <v>1194</v>
      </c>
      <c r="O567" s="268"/>
      <c r="P567" s="268">
        <f t="shared" si="351"/>
        <v>2900</v>
      </c>
      <c r="Q567" s="268">
        <v>10</v>
      </c>
      <c r="R567" s="268">
        <v>10</v>
      </c>
      <c r="S567" s="269">
        <f t="shared" si="335"/>
        <v>2900</v>
      </c>
      <c r="T567" s="357">
        <f t="shared" si="356"/>
        <v>7.880434782608696E-2</v>
      </c>
      <c r="U567" s="361">
        <f t="shared" si="352"/>
        <v>1</v>
      </c>
      <c r="V567" s="357">
        <f t="shared" si="353"/>
        <v>0</v>
      </c>
      <c r="W567" s="357">
        <f t="shared" si="354"/>
        <v>7.880434782608696E-2</v>
      </c>
      <c r="X567" s="357">
        <f t="shared" si="355"/>
        <v>0</v>
      </c>
      <c r="Y567" s="198" t="e">
        <f t="shared" si="341"/>
        <v>#VALUE!</v>
      </c>
      <c r="Z567" s="435"/>
      <c r="AC567" s="267"/>
    </row>
    <row r="568" spans="8:29" x14ac:dyDescent="0.25">
      <c r="H568" s="268" t="s">
        <v>991</v>
      </c>
      <c r="I568" s="397" t="s">
        <v>992</v>
      </c>
      <c r="J568" s="372">
        <v>45073</v>
      </c>
      <c r="K568" s="372">
        <v>45101</v>
      </c>
      <c r="L568" s="268">
        <f t="shared" si="340"/>
        <v>29</v>
      </c>
      <c r="M568" s="268" t="s">
        <v>1182</v>
      </c>
      <c r="N568" s="268" t="s">
        <v>1194</v>
      </c>
      <c r="O568" s="268"/>
      <c r="P568" s="268">
        <f t="shared" si="351"/>
        <v>2900</v>
      </c>
      <c r="Q568" s="268">
        <v>10</v>
      </c>
      <c r="R568" s="268">
        <v>10</v>
      </c>
      <c r="S568" s="269">
        <f t="shared" si="335"/>
        <v>2900</v>
      </c>
      <c r="T568" s="357">
        <f t="shared" si="356"/>
        <v>7.880434782608696E-2</v>
      </c>
      <c r="U568" s="361">
        <f t="shared" si="352"/>
        <v>1</v>
      </c>
      <c r="V568" s="357">
        <f t="shared" si="353"/>
        <v>0</v>
      </c>
      <c r="W568" s="357">
        <f t="shared" si="354"/>
        <v>7.880434782608696E-2</v>
      </c>
      <c r="X568" s="357">
        <f t="shared" si="355"/>
        <v>0</v>
      </c>
      <c r="Y568" s="198" t="e">
        <f t="shared" si="341"/>
        <v>#VALUE!</v>
      </c>
      <c r="Z568" s="435"/>
      <c r="AC568" s="267"/>
    </row>
    <row r="569" spans="8:29" x14ac:dyDescent="0.25">
      <c r="H569" s="268" t="s">
        <v>993</v>
      </c>
      <c r="I569" s="397" t="s">
        <v>994</v>
      </c>
      <c r="J569" s="372">
        <v>45087</v>
      </c>
      <c r="K569" s="372">
        <v>45115</v>
      </c>
      <c r="L569" s="268">
        <f t="shared" si="340"/>
        <v>29</v>
      </c>
      <c r="M569" s="268" t="s">
        <v>1182</v>
      </c>
      <c r="N569" s="268" t="s">
        <v>1194</v>
      </c>
      <c r="O569" s="268"/>
      <c r="P569" s="268">
        <f t="shared" si="351"/>
        <v>2900</v>
      </c>
      <c r="Q569" s="268">
        <v>10</v>
      </c>
      <c r="R569" s="268">
        <v>10</v>
      </c>
      <c r="S569" s="269">
        <f t="shared" si="335"/>
        <v>2900</v>
      </c>
      <c r="T569" s="357">
        <f t="shared" si="356"/>
        <v>7.880434782608696E-2</v>
      </c>
      <c r="U569" s="361">
        <f t="shared" si="352"/>
        <v>1</v>
      </c>
      <c r="V569" s="357">
        <f t="shared" si="353"/>
        <v>0</v>
      </c>
      <c r="W569" s="357">
        <f t="shared" si="354"/>
        <v>7.880434782608696E-2</v>
      </c>
      <c r="X569" s="357">
        <f t="shared" si="355"/>
        <v>0</v>
      </c>
      <c r="Y569" s="198" t="e">
        <f t="shared" si="341"/>
        <v>#VALUE!</v>
      </c>
      <c r="Z569" s="435"/>
      <c r="AC569" s="267"/>
    </row>
    <row r="570" spans="8:29" x14ac:dyDescent="0.25">
      <c r="H570" s="268" t="s">
        <v>995</v>
      </c>
      <c r="I570" s="397" t="s">
        <v>996</v>
      </c>
      <c r="J570" s="372">
        <v>45087</v>
      </c>
      <c r="K570" s="372">
        <v>45115</v>
      </c>
      <c r="L570" s="268">
        <f t="shared" si="340"/>
        <v>29</v>
      </c>
      <c r="M570" s="268" t="s">
        <v>1182</v>
      </c>
      <c r="N570" s="268" t="s">
        <v>1194</v>
      </c>
      <c r="O570" s="268"/>
      <c r="P570" s="268">
        <f t="shared" si="351"/>
        <v>2900</v>
      </c>
      <c r="Q570" s="268">
        <v>10</v>
      </c>
      <c r="R570" s="268">
        <v>10</v>
      </c>
      <c r="S570" s="269">
        <f t="shared" si="335"/>
        <v>2900</v>
      </c>
      <c r="T570" s="357">
        <f t="shared" si="356"/>
        <v>7.880434782608696E-2</v>
      </c>
      <c r="U570" s="361">
        <f t="shared" si="352"/>
        <v>1</v>
      </c>
      <c r="V570" s="357">
        <f t="shared" si="353"/>
        <v>0</v>
      </c>
      <c r="W570" s="357">
        <f t="shared" si="354"/>
        <v>7.880434782608696E-2</v>
      </c>
      <c r="X570" s="357">
        <f t="shared" si="355"/>
        <v>0</v>
      </c>
      <c r="Y570" s="198" t="e">
        <f t="shared" si="341"/>
        <v>#VALUE!</v>
      </c>
      <c r="Z570" s="435"/>
      <c r="AC570" s="267"/>
    </row>
    <row r="571" spans="8:29" x14ac:dyDescent="0.25">
      <c r="H571" s="268" t="s">
        <v>997</v>
      </c>
      <c r="I571" s="397" t="s">
        <v>998</v>
      </c>
      <c r="J571" s="372">
        <v>45166</v>
      </c>
      <c r="K571" s="372">
        <v>45188</v>
      </c>
      <c r="L571" s="268">
        <f t="shared" si="340"/>
        <v>23</v>
      </c>
      <c r="M571" s="268" t="s">
        <v>1182</v>
      </c>
      <c r="N571" s="268" t="s">
        <v>1194</v>
      </c>
      <c r="O571" s="268"/>
      <c r="P571" s="268">
        <f t="shared" si="351"/>
        <v>2300</v>
      </c>
      <c r="Q571" s="268">
        <v>10</v>
      </c>
      <c r="R571" s="268">
        <v>10</v>
      </c>
      <c r="S571" s="269">
        <f t="shared" si="335"/>
        <v>2300</v>
      </c>
      <c r="T571" s="357">
        <f t="shared" si="356"/>
        <v>6.25E-2</v>
      </c>
      <c r="U571" s="361">
        <f t="shared" si="352"/>
        <v>1</v>
      </c>
      <c r="V571" s="357">
        <f t="shared" si="353"/>
        <v>0</v>
      </c>
      <c r="W571" s="357">
        <f t="shared" si="354"/>
        <v>6.25E-2</v>
      </c>
      <c r="X571" s="357">
        <f t="shared" si="355"/>
        <v>0</v>
      </c>
      <c r="Y571" s="198" t="e">
        <f t="shared" si="341"/>
        <v>#VALUE!</v>
      </c>
      <c r="Z571" s="435"/>
      <c r="AC571" s="267"/>
    </row>
    <row r="572" spans="8:29" x14ac:dyDescent="0.25">
      <c r="H572" s="268" t="s">
        <v>999</v>
      </c>
      <c r="I572" s="397" t="s">
        <v>1000</v>
      </c>
      <c r="J572" s="372">
        <v>45195</v>
      </c>
      <c r="K572" s="372">
        <v>45217</v>
      </c>
      <c r="L572" s="268">
        <f t="shared" si="340"/>
        <v>23</v>
      </c>
      <c r="M572" s="268" t="s">
        <v>1182</v>
      </c>
      <c r="N572" s="268" t="s">
        <v>1194</v>
      </c>
      <c r="O572" s="268"/>
      <c r="P572" s="268">
        <f t="shared" si="351"/>
        <v>2300</v>
      </c>
      <c r="Q572" s="268">
        <v>10</v>
      </c>
      <c r="R572" s="268">
        <v>10</v>
      </c>
      <c r="S572" s="269">
        <f t="shared" si="335"/>
        <v>2300</v>
      </c>
      <c r="T572" s="357">
        <f t="shared" si="356"/>
        <v>6.25E-2</v>
      </c>
      <c r="U572" s="361">
        <f t="shared" si="352"/>
        <v>1</v>
      </c>
      <c r="V572" s="357">
        <f t="shared" si="353"/>
        <v>0</v>
      </c>
      <c r="W572" s="357">
        <f t="shared" si="354"/>
        <v>6.25E-2</v>
      </c>
      <c r="X572" s="357">
        <f t="shared" si="355"/>
        <v>0</v>
      </c>
      <c r="Y572" s="198" t="e">
        <f t="shared" si="341"/>
        <v>#VALUE!</v>
      </c>
      <c r="Z572" s="435"/>
      <c r="AC572" s="267"/>
    </row>
    <row r="573" spans="8:29" x14ac:dyDescent="0.25">
      <c r="H573" s="268" t="s">
        <v>1001</v>
      </c>
      <c r="I573" s="397" t="s">
        <v>1002</v>
      </c>
      <c r="J573" s="372">
        <v>45223</v>
      </c>
      <c r="K573" s="372">
        <v>45245</v>
      </c>
      <c r="L573" s="268">
        <f t="shared" si="340"/>
        <v>23</v>
      </c>
      <c r="M573" s="268" t="s">
        <v>1182</v>
      </c>
      <c r="N573" s="268" t="s">
        <v>1194</v>
      </c>
      <c r="O573" s="268"/>
      <c r="P573" s="268">
        <f t="shared" si="351"/>
        <v>2300</v>
      </c>
      <c r="Q573" s="268">
        <v>10</v>
      </c>
      <c r="R573" s="268">
        <v>10</v>
      </c>
      <c r="S573" s="269">
        <f t="shared" si="335"/>
        <v>2300</v>
      </c>
      <c r="T573" s="357">
        <f t="shared" si="356"/>
        <v>6.25E-2</v>
      </c>
      <c r="U573" s="361">
        <f t="shared" si="352"/>
        <v>1</v>
      </c>
      <c r="V573" s="357">
        <f t="shared" si="353"/>
        <v>0</v>
      </c>
      <c r="W573" s="357">
        <f t="shared" si="354"/>
        <v>6.25E-2</v>
      </c>
      <c r="X573" s="357">
        <f t="shared" si="355"/>
        <v>0</v>
      </c>
      <c r="Y573" s="198" t="e">
        <f t="shared" si="341"/>
        <v>#VALUE!</v>
      </c>
      <c r="Z573" s="435"/>
      <c r="AC573" s="267"/>
    </row>
    <row r="574" spans="8:29" x14ac:dyDescent="0.25">
      <c r="H574" s="518" t="s">
        <v>1003</v>
      </c>
      <c r="I574" s="519"/>
      <c r="J574" s="370">
        <v>45162</v>
      </c>
      <c r="K574" s="370">
        <v>45196</v>
      </c>
      <c r="L574" s="369">
        <f t="shared" si="340"/>
        <v>35</v>
      </c>
      <c r="M574" s="369"/>
      <c r="N574" s="369"/>
      <c r="O574" s="369"/>
      <c r="P574" s="369">
        <f>P575</f>
        <v>3500</v>
      </c>
      <c r="Q574" s="369"/>
      <c r="R574" s="369"/>
      <c r="S574" s="369">
        <f>S575</f>
        <v>3500</v>
      </c>
      <c r="T574" s="363">
        <f>S574/$S$550</f>
        <v>4.563233376792699E-2</v>
      </c>
      <c r="U574" s="373"/>
      <c r="V574" s="363"/>
      <c r="W574" s="363">
        <f>W575</f>
        <v>1</v>
      </c>
      <c r="X574" s="363">
        <f>X575</f>
        <v>0</v>
      </c>
      <c r="Y574" s="198">
        <f t="shared" si="341"/>
        <v>0</v>
      </c>
      <c r="Z574" s="435"/>
      <c r="AC574" s="267"/>
    </row>
    <row r="575" spans="8:29" x14ac:dyDescent="0.25">
      <c r="H575" s="268" t="s">
        <v>1004</v>
      </c>
      <c r="I575" s="397" t="s">
        <v>1005</v>
      </c>
      <c r="J575" s="372">
        <v>45162</v>
      </c>
      <c r="K575" s="372">
        <v>45196</v>
      </c>
      <c r="L575" s="268">
        <f t="shared" si="340"/>
        <v>35</v>
      </c>
      <c r="M575" s="268" t="s">
        <v>1182</v>
      </c>
      <c r="N575" s="268" t="s">
        <v>1194</v>
      </c>
      <c r="O575" s="268"/>
      <c r="P575" s="268">
        <f t="shared" ref="P575" si="357">L575*Q575*R575</f>
        <v>3500</v>
      </c>
      <c r="Q575" s="268">
        <v>10</v>
      </c>
      <c r="R575" s="268">
        <v>10</v>
      </c>
      <c r="S575" s="269">
        <f t="shared" si="335"/>
        <v>3500</v>
      </c>
      <c r="T575" s="357">
        <f>S575/S574</f>
        <v>1</v>
      </c>
      <c r="U575" s="361">
        <f t="shared" si="352"/>
        <v>1</v>
      </c>
      <c r="V575" s="357">
        <f>IFERROR(O575/N575,0)</f>
        <v>0</v>
      </c>
      <c r="W575" s="357">
        <f t="shared" ref="W575" si="358">U575*$T575</f>
        <v>1</v>
      </c>
      <c r="X575" s="357">
        <f t="shared" ref="X575" si="359">V575*$T575</f>
        <v>0</v>
      </c>
      <c r="Y575" s="198" t="e">
        <f t="shared" si="341"/>
        <v>#VALUE!</v>
      </c>
      <c r="Z575" s="435"/>
      <c r="AC575" s="267"/>
    </row>
    <row r="576" spans="8:29" x14ac:dyDescent="0.25">
      <c r="H576" s="518" t="s">
        <v>1006</v>
      </c>
      <c r="I576" s="519"/>
      <c r="J576" s="370">
        <v>45000</v>
      </c>
      <c r="K576" s="370">
        <v>45092</v>
      </c>
      <c r="L576" s="369">
        <f t="shared" si="340"/>
        <v>93</v>
      </c>
      <c r="M576" s="369"/>
      <c r="N576" s="369"/>
      <c r="O576" s="369"/>
      <c r="P576" s="369">
        <f>P577</f>
        <v>9300</v>
      </c>
      <c r="Q576" s="369"/>
      <c r="R576" s="369"/>
      <c r="S576" s="369">
        <f>S577</f>
        <v>9300</v>
      </c>
      <c r="T576" s="363">
        <f>S576/$S$550</f>
        <v>0.121251629726206</v>
      </c>
      <c r="U576" s="373"/>
      <c r="V576" s="363"/>
      <c r="W576" s="363">
        <f>W577</f>
        <v>1</v>
      </c>
      <c r="X576" s="363">
        <f>X577</f>
        <v>0</v>
      </c>
      <c r="Y576" s="198">
        <f t="shared" si="341"/>
        <v>0</v>
      </c>
      <c r="Z576" s="435"/>
      <c r="AC576" s="267"/>
    </row>
    <row r="577" spans="8:29" x14ac:dyDescent="0.25">
      <c r="H577" s="268" t="s">
        <v>1007</v>
      </c>
      <c r="I577" s="397" t="s">
        <v>1008</v>
      </c>
      <c r="J577" s="372">
        <v>45000</v>
      </c>
      <c r="K577" s="372">
        <v>45092</v>
      </c>
      <c r="L577" s="268">
        <f t="shared" si="340"/>
        <v>93</v>
      </c>
      <c r="M577" s="268" t="s">
        <v>1182</v>
      </c>
      <c r="N577" s="268" t="s">
        <v>1194</v>
      </c>
      <c r="O577" s="268"/>
      <c r="P577" s="268">
        <f t="shared" ref="P577" si="360">L577*Q577*R577</f>
        <v>9300</v>
      </c>
      <c r="Q577" s="268">
        <v>10</v>
      </c>
      <c r="R577" s="268">
        <v>10</v>
      </c>
      <c r="S577" s="269">
        <f t="shared" si="335"/>
        <v>9300</v>
      </c>
      <c r="T577" s="357">
        <f>S577/S576</f>
        <v>1</v>
      </c>
      <c r="U577" s="361">
        <f t="shared" si="352"/>
        <v>1</v>
      </c>
      <c r="V577" s="357">
        <f>IFERROR(O577/N577,0)</f>
        <v>0</v>
      </c>
      <c r="W577" s="357">
        <f t="shared" ref="W577" si="361">U577*$T577</f>
        <v>1</v>
      </c>
      <c r="X577" s="357">
        <f t="shared" ref="X577" si="362">V577*$T577</f>
        <v>0</v>
      </c>
      <c r="Y577" s="198" t="e">
        <f t="shared" si="341"/>
        <v>#VALUE!</v>
      </c>
      <c r="Z577" s="435"/>
      <c r="AC577" s="267"/>
    </row>
    <row r="578" spans="8:29" x14ac:dyDescent="0.25">
      <c r="H578" s="518" t="s">
        <v>1009</v>
      </c>
      <c r="I578" s="519"/>
      <c r="J578" s="370">
        <v>45060</v>
      </c>
      <c r="K578" s="370">
        <v>45075</v>
      </c>
      <c r="L578" s="369">
        <f t="shared" si="340"/>
        <v>16</v>
      </c>
      <c r="M578" s="369"/>
      <c r="N578" s="369"/>
      <c r="O578" s="369"/>
      <c r="P578" s="369">
        <f>P579</f>
        <v>1600</v>
      </c>
      <c r="Q578" s="369"/>
      <c r="R578" s="369"/>
      <c r="S578" s="369">
        <f>S579</f>
        <v>1600</v>
      </c>
      <c r="T578" s="363">
        <f>S578/$S$550</f>
        <v>2.0860495436766623E-2</v>
      </c>
      <c r="U578" s="373"/>
      <c r="V578" s="363"/>
      <c r="W578" s="363">
        <f>W579</f>
        <v>1</v>
      </c>
      <c r="X578" s="363">
        <f>X579</f>
        <v>0</v>
      </c>
      <c r="Y578" s="198">
        <f t="shared" si="341"/>
        <v>0</v>
      </c>
      <c r="Z578" s="435"/>
      <c r="AC578" s="267"/>
    </row>
    <row r="579" spans="8:29" x14ac:dyDescent="0.25">
      <c r="H579" s="268" t="s">
        <v>1010</v>
      </c>
      <c r="I579" s="397" t="s">
        <v>1011</v>
      </c>
      <c r="J579" s="372">
        <v>45060</v>
      </c>
      <c r="K579" s="372">
        <v>45075</v>
      </c>
      <c r="L579" s="268">
        <f t="shared" si="340"/>
        <v>16</v>
      </c>
      <c r="M579" s="268" t="s">
        <v>1182</v>
      </c>
      <c r="N579" s="268" t="s">
        <v>1194</v>
      </c>
      <c r="O579" s="268"/>
      <c r="P579" s="268">
        <f t="shared" ref="P579" si="363">L579*Q579*R579</f>
        <v>1600</v>
      </c>
      <c r="Q579" s="268">
        <v>10</v>
      </c>
      <c r="R579" s="268">
        <v>10</v>
      </c>
      <c r="S579" s="269">
        <f t="shared" si="335"/>
        <v>1600</v>
      </c>
      <c r="T579" s="357">
        <f>S579/S578</f>
        <v>1</v>
      </c>
      <c r="U579" s="361">
        <f t="shared" si="352"/>
        <v>1</v>
      </c>
      <c r="V579" s="357">
        <f>IFERROR(O579/N579,0)</f>
        <v>0</v>
      </c>
      <c r="W579" s="357">
        <f t="shared" ref="W579" si="364">U579*$T579</f>
        <v>1</v>
      </c>
      <c r="X579" s="357">
        <f t="shared" ref="X579" si="365">V579*$T579</f>
        <v>0</v>
      </c>
      <c r="Y579" s="198" t="e">
        <f t="shared" si="341"/>
        <v>#VALUE!</v>
      </c>
      <c r="Z579" s="435"/>
      <c r="AC579" s="267"/>
    </row>
    <row r="580" spans="8:29" x14ac:dyDescent="0.25">
      <c r="H580" s="518" t="s">
        <v>1012</v>
      </c>
      <c r="I580" s="519"/>
      <c r="J580" s="370">
        <v>45064</v>
      </c>
      <c r="K580" s="370">
        <v>45249</v>
      </c>
      <c r="L580" s="369">
        <f t="shared" si="340"/>
        <v>186</v>
      </c>
      <c r="M580" s="369"/>
      <c r="N580" s="369"/>
      <c r="O580" s="369"/>
      <c r="P580" s="369">
        <f>P581</f>
        <v>18600</v>
      </c>
      <c r="Q580" s="369"/>
      <c r="R580" s="369"/>
      <c r="S580" s="369">
        <f>S581</f>
        <v>18600</v>
      </c>
      <c r="T580" s="363">
        <f>S580/$S$550</f>
        <v>0.242503259452412</v>
      </c>
      <c r="U580" s="373"/>
      <c r="V580" s="363"/>
      <c r="W580" s="363">
        <f>W581</f>
        <v>1</v>
      </c>
      <c r="X580" s="363">
        <f>X581</f>
        <v>0</v>
      </c>
      <c r="Y580" s="198">
        <f t="shared" si="341"/>
        <v>0</v>
      </c>
      <c r="Z580" s="435"/>
      <c r="AC580" s="267"/>
    </row>
    <row r="581" spans="8:29" x14ac:dyDescent="0.25">
      <c r="H581" s="268" t="s">
        <v>1013</v>
      </c>
      <c r="I581" s="397" t="s">
        <v>1014</v>
      </c>
      <c r="J581" s="372">
        <v>45064</v>
      </c>
      <c r="K581" s="372">
        <v>45249</v>
      </c>
      <c r="L581" s="268">
        <f t="shared" si="340"/>
        <v>186</v>
      </c>
      <c r="M581" s="268" t="s">
        <v>1182</v>
      </c>
      <c r="N581" s="268" t="s">
        <v>1194</v>
      </c>
      <c r="O581" s="268"/>
      <c r="P581" s="268">
        <f t="shared" ref="P581" si="366">L581*Q581*R581</f>
        <v>18600</v>
      </c>
      <c r="Q581" s="268">
        <v>10</v>
      </c>
      <c r="R581" s="268">
        <v>10</v>
      </c>
      <c r="S581" s="269">
        <f t="shared" si="335"/>
        <v>18600</v>
      </c>
      <c r="T581" s="357">
        <f>S581/S580</f>
        <v>1</v>
      </c>
      <c r="U581" s="361">
        <f t="shared" si="352"/>
        <v>1</v>
      </c>
      <c r="V581" s="357">
        <f>IFERROR(O581/N581,0)</f>
        <v>0</v>
      </c>
      <c r="W581" s="357">
        <f t="shared" ref="W581" si="367">U581*$T581</f>
        <v>1</v>
      </c>
      <c r="X581" s="357">
        <f t="shared" ref="X581" si="368">V581*$T581</f>
        <v>0</v>
      </c>
      <c r="Y581" s="198" t="e">
        <f t="shared" si="341"/>
        <v>#VALUE!</v>
      </c>
      <c r="Z581" s="435"/>
      <c r="AC581" s="267"/>
    </row>
    <row r="582" spans="8:29" x14ac:dyDescent="0.25">
      <c r="H582" s="512" t="s">
        <v>1015</v>
      </c>
      <c r="I582" s="513"/>
      <c r="J582" s="367">
        <v>44943</v>
      </c>
      <c r="K582" s="367">
        <v>45321</v>
      </c>
      <c r="L582" s="366">
        <f t="shared" si="340"/>
        <v>379</v>
      </c>
      <c r="M582" s="366"/>
      <c r="N582" s="366"/>
      <c r="O582" s="366"/>
      <c r="P582" s="366"/>
      <c r="Q582" s="366"/>
      <c r="R582" s="366"/>
      <c r="S582" s="403">
        <f>S583+S591+S649+S666</f>
        <v>192788.47</v>
      </c>
      <c r="T582" s="405">
        <f>S582/S82</f>
        <v>8.9263363643412585E-2</v>
      </c>
      <c r="U582" s="366"/>
      <c r="V582" s="405"/>
      <c r="W582" s="405">
        <f>W583*T583+W591*T591+W649*T649+W666*T666</f>
        <v>0.91816124328055926</v>
      </c>
      <c r="X582" s="405">
        <f>X583*T583+X591*T591+X649*T649+X666*T666</f>
        <v>0</v>
      </c>
      <c r="Y582" s="198">
        <f t="shared" si="341"/>
        <v>0</v>
      </c>
      <c r="Z582" s="435"/>
      <c r="AC582" s="267"/>
    </row>
    <row r="583" spans="8:29" x14ac:dyDescent="0.25">
      <c r="H583" s="510" t="s">
        <v>1016</v>
      </c>
      <c r="I583" s="511"/>
      <c r="J583" s="392">
        <v>45042</v>
      </c>
      <c r="K583" s="392">
        <v>45291</v>
      </c>
      <c r="L583" s="368">
        <f t="shared" si="340"/>
        <v>250</v>
      </c>
      <c r="M583" s="368"/>
      <c r="N583" s="368"/>
      <c r="O583" s="368"/>
      <c r="P583" s="368">
        <f>P584+P585+P586+P589+P588+P590+P587</f>
        <v>41835.5</v>
      </c>
      <c r="Q583" s="368"/>
      <c r="R583" s="368"/>
      <c r="S583" s="400">
        <f>S584+S585+S586+S587+S588+S589+S590</f>
        <v>41835.5</v>
      </c>
      <c r="T583" s="356">
        <f>S583/S582</f>
        <v>0.21700208523881123</v>
      </c>
      <c r="U583" s="368"/>
      <c r="V583" s="356"/>
      <c r="W583" s="356">
        <f t="shared" ref="W583:X583" si="369">W584+W585+W586+W587+W588+W589+W590</f>
        <v>0.98261586424688518</v>
      </c>
      <c r="X583" s="356">
        <f t="shared" si="369"/>
        <v>0</v>
      </c>
      <c r="Y583" s="198">
        <f t="shared" si="341"/>
        <v>0</v>
      </c>
      <c r="Z583" s="435"/>
      <c r="AC583" s="267"/>
    </row>
    <row r="584" spans="8:29" x14ac:dyDescent="0.25">
      <c r="H584" s="268" t="s">
        <v>1017</v>
      </c>
      <c r="I584" s="397" t="s">
        <v>1018</v>
      </c>
      <c r="J584" s="372">
        <v>45042</v>
      </c>
      <c r="K584" s="372">
        <v>45171</v>
      </c>
      <c r="L584" s="268">
        <f t="shared" si="340"/>
        <v>130</v>
      </c>
      <c r="M584" s="268" t="s">
        <v>31</v>
      </c>
      <c r="N584" s="268">
        <v>7740</v>
      </c>
      <c r="O584" s="268"/>
      <c r="P584" s="268">
        <f t="shared" ref="P584:P588" si="370">L584*Q584*R584</f>
        <v>9675</v>
      </c>
      <c r="Q584" s="268">
        <v>10</v>
      </c>
      <c r="R584" s="269">
        <f>((N584/L584)/80)*(10)</f>
        <v>7.4423076923076925</v>
      </c>
      <c r="S584" s="269">
        <f t="shared" ref="S584:S590" si="371">P584</f>
        <v>9675</v>
      </c>
      <c r="T584" s="357">
        <f>S584/$S$583</f>
        <v>0.23126292263747297</v>
      </c>
      <c r="U584" s="361">
        <f t="shared" ref="U584:U588" si="372">IF($J584&gt;U$5,0,IF($K584&lt;U$5,1,IF(U$5=$K584,1,((U$5-$J584+1)/($K584-$J584+1)))))</f>
        <v>1</v>
      </c>
      <c r="V584" s="357">
        <f t="shared" ref="V584:V588" si="373">IFERROR(O584/N584,0)</f>
        <v>0</v>
      </c>
      <c r="W584" s="357">
        <f t="shared" ref="W584:W590" si="374">U584*$T584</f>
        <v>0.23126292263747297</v>
      </c>
      <c r="X584" s="357">
        <f t="shared" ref="X584:X590" si="375">V584*$T584</f>
        <v>0</v>
      </c>
      <c r="Y584" s="198">
        <f t="shared" si="341"/>
        <v>7740</v>
      </c>
      <c r="Z584" s="435"/>
      <c r="AC584" s="267"/>
    </row>
    <row r="585" spans="8:29" x14ac:dyDescent="0.25">
      <c r="H585" s="268" t="s">
        <v>1019</v>
      </c>
      <c r="I585" s="397" t="s">
        <v>1020</v>
      </c>
      <c r="J585" s="372">
        <v>45060</v>
      </c>
      <c r="K585" s="372">
        <v>45211</v>
      </c>
      <c r="L585" s="268">
        <f t="shared" si="340"/>
        <v>152</v>
      </c>
      <c r="M585" s="268" t="s">
        <v>31</v>
      </c>
      <c r="N585" s="268">
        <v>5500</v>
      </c>
      <c r="O585" s="268"/>
      <c r="P585" s="268">
        <f t="shared" si="370"/>
        <v>6875</v>
      </c>
      <c r="Q585" s="268">
        <v>10</v>
      </c>
      <c r="R585" s="269">
        <f>((N585/L585)/80)*(10)</f>
        <v>4.5230263157894735</v>
      </c>
      <c r="S585" s="269">
        <f t="shared" si="371"/>
        <v>6875</v>
      </c>
      <c r="T585" s="357">
        <f t="shared" ref="T585:T590" si="376">S585/$S$583</f>
        <v>0.16433411815324306</v>
      </c>
      <c r="U585" s="361">
        <f t="shared" si="372"/>
        <v>1</v>
      </c>
      <c r="V585" s="357">
        <f t="shared" si="373"/>
        <v>0</v>
      </c>
      <c r="W585" s="357">
        <f t="shared" si="374"/>
        <v>0.16433411815324306</v>
      </c>
      <c r="X585" s="357">
        <f t="shared" si="375"/>
        <v>0</v>
      </c>
      <c r="Y585" s="198">
        <f t="shared" si="341"/>
        <v>5500</v>
      </c>
      <c r="Z585" s="435"/>
      <c r="AC585" s="267"/>
    </row>
    <row r="586" spans="8:29" x14ac:dyDescent="0.25">
      <c r="H586" s="268" t="s">
        <v>1021</v>
      </c>
      <c r="I586" s="397" t="s">
        <v>1022</v>
      </c>
      <c r="J586" s="372">
        <v>45066</v>
      </c>
      <c r="K586" s="372">
        <v>45241</v>
      </c>
      <c r="L586" s="268">
        <f t="shared" si="340"/>
        <v>176</v>
      </c>
      <c r="M586" s="268" t="s">
        <v>31</v>
      </c>
      <c r="N586" s="268">
        <f>137425+13000+6000</f>
        <v>156425</v>
      </c>
      <c r="O586" s="268"/>
      <c r="P586" s="268">
        <f t="shared" si="370"/>
        <v>9385.5</v>
      </c>
      <c r="Q586" s="268">
        <v>10</v>
      </c>
      <c r="R586" s="269">
        <f>((N586/L586)/1000)*(6)</f>
        <v>5.3326704545454549</v>
      </c>
      <c r="S586" s="269">
        <f t="shared" si="371"/>
        <v>9385.5</v>
      </c>
      <c r="T586" s="357">
        <f t="shared" si="376"/>
        <v>0.22434296231669276</v>
      </c>
      <c r="U586" s="361">
        <f t="shared" si="372"/>
        <v>1</v>
      </c>
      <c r="V586" s="357">
        <f t="shared" si="373"/>
        <v>0</v>
      </c>
      <c r="W586" s="357">
        <f t="shared" si="374"/>
        <v>0.22434296231669276</v>
      </c>
      <c r="X586" s="357">
        <f t="shared" si="375"/>
        <v>0</v>
      </c>
      <c r="Y586" s="198">
        <f t="shared" si="341"/>
        <v>156425</v>
      </c>
      <c r="Z586" s="435"/>
      <c r="AC586" s="267"/>
    </row>
    <row r="587" spans="8:29" x14ac:dyDescent="0.25">
      <c r="H587" s="268" t="s">
        <v>1029</v>
      </c>
      <c r="I587" s="397" t="s">
        <v>1030</v>
      </c>
      <c r="J587" s="372">
        <v>45244</v>
      </c>
      <c r="K587" s="372">
        <v>45291</v>
      </c>
      <c r="L587" s="268">
        <f>K587-J587+1</f>
        <v>48</v>
      </c>
      <c r="M587" s="268" t="s">
        <v>1184</v>
      </c>
      <c r="N587" s="268">
        <v>310</v>
      </c>
      <c r="O587" s="268"/>
      <c r="P587" s="268">
        <f>L587*Q587*R587</f>
        <v>1239.9999999999998</v>
      </c>
      <c r="Q587" s="268">
        <v>10</v>
      </c>
      <c r="R587" s="269">
        <f>((N587/L587)/5)*(2)</f>
        <v>2.583333333333333</v>
      </c>
      <c r="S587" s="269">
        <f t="shared" si="371"/>
        <v>1239.9999999999998</v>
      </c>
      <c r="T587" s="357">
        <f t="shared" si="376"/>
        <v>2.9639899128730378E-2</v>
      </c>
      <c r="U587" s="361">
        <f t="shared" si="372"/>
        <v>0.85416666666666663</v>
      </c>
      <c r="V587" s="357">
        <f>IFERROR(O587/N587,0)</f>
        <v>0</v>
      </c>
      <c r="W587" s="357">
        <f t="shared" si="374"/>
        <v>2.5317413839123865E-2</v>
      </c>
      <c r="X587" s="357">
        <f t="shared" si="375"/>
        <v>0</v>
      </c>
      <c r="Y587" s="198">
        <f t="shared" si="341"/>
        <v>264.79166666666663</v>
      </c>
      <c r="Z587" s="435"/>
      <c r="AC587" s="267"/>
    </row>
    <row r="588" spans="8:29" x14ac:dyDescent="0.25">
      <c r="H588" s="268" t="s">
        <v>1025</v>
      </c>
      <c r="I588" s="397" t="s">
        <v>1026</v>
      </c>
      <c r="J588" s="372">
        <v>45227</v>
      </c>
      <c r="K588" s="372">
        <v>45285</v>
      </c>
      <c r="L588" s="268">
        <f t="shared" si="340"/>
        <v>59</v>
      </c>
      <c r="M588" s="268" t="s">
        <v>1184</v>
      </c>
      <c r="N588" s="268">
        <v>253</v>
      </c>
      <c r="O588" s="268"/>
      <c r="P588" s="268">
        <f t="shared" si="370"/>
        <v>1265</v>
      </c>
      <c r="Q588" s="268">
        <v>10</v>
      </c>
      <c r="R588" s="269">
        <f>((N588/L588)/4)*(2)</f>
        <v>2.1440677966101696</v>
      </c>
      <c r="S588" s="269">
        <f t="shared" si="371"/>
        <v>1265</v>
      </c>
      <c r="T588" s="357">
        <f t="shared" si="376"/>
        <v>3.0237477740196722E-2</v>
      </c>
      <c r="U588" s="361">
        <f t="shared" si="372"/>
        <v>0.98305084745762716</v>
      </c>
      <c r="V588" s="357">
        <f t="shared" si="373"/>
        <v>0</v>
      </c>
      <c r="W588" s="357">
        <f t="shared" si="374"/>
        <v>2.9724978117481524E-2</v>
      </c>
      <c r="X588" s="357">
        <f t="shared" si="375"/>
        <v>0</v>
      </c>
      <c r="Y588" s="198">
        <f t="shared" si="341"/>
        <v>248.71186440677968</v>
      </c>
      <c r="Z588" s="435"/>
      <c r="AC588" s="267"/>
    </row>
    <row r="589" spans="8:29" x14ac:dyDescent="0.25">
      <c r="H589" s="268" t="s">
        <v>1023</v>
      </c>
      <c r="I589" s="397" t="s">
        <v>1024</v>
      </c>
      <c r="J589" s="372">
        <v>45217</v>
      </c>
      <c r="K589" s="372">
        <v>45276</v>
      </c>
      <c r="L589" s="268">
        <f>K589-J589+1</f>
        <v>60</v>
      </c>
      <c r="M589" s="268" t="s">
        <v>1184</v>
      </c>
      <c r="N589" s="268">
        <v>1306</v>
      </c>
      <c r="O589" s="268"/>
      <c r="P589" s="268">
        <f>L589*Q589*R589</f>
        <v>9795</v>
      </c>
      <c r="Q589" s="268">
        <v>10</v>
      </c>
      <c r="R589" s="269">
        <f>((N589/L589)/4)*(3)</f>
        <v>16.324999999999999</v>
      </c>
      <c r="S589" s="269">
        <f t="shared" si="371"/>
        <v>9795</v>
      </c>
      <c r="T589" s="357">
        <f t="shared" si="376"/>
        <v>0.23413129997251139</v>
      </c>
      <c r="U589" s="361">
        <f>IF($J589&gt;U$5,0,IF($K589&lt;U$5,1,IF(U$5=$K589,1,((U$5-$J589+1)/($K589-$J589+1)))))</f>
        <v>1</v>
      </c>
      <c r="V589" s="357">
        <f>IFERROR(O589/N589,0)</f>
        <v>0</v>
      </c>
      <c r="W589" s="357">
        <f t="shared" si="374"/>
        <v>0.23413129997251139</v>
      </c>
      <c r="X589" s="357">
        <f t="shared" si="375"/>
        <v>0</v>
      </c>
      <c r="Y589" s="198">
        <f t="shared" si="341"/>
        <v>1306</v>
      </c>
      <c r="Z589" s="435"/>
      <c r="AC589" s="267"/>
    </row>
    <row r="590" spans="8:29" x14ac:dyDescent="0.25">
      <c r="H590" s="268" t="s">
        <v>1027</v>
      </c>
      <c r="I590" s="397" t="s">
        <v>1028</v>
      </c>
      <c r="J590" s="372">
        <v>45244</v>
      </c>
      <c r="K590" s="372">
        <v>45291</v>
      </c>
      <c r="L590" s="268">
        <f>K590-J590+1</f>
        <v>48</v>
      </c>
      <c r="M590" s="268" t="s">
        <v>1184</v>
      </c>
      <c r="N590" s="268">
        <v>1200</v>
      </c>
      <c r="O590" s="268"/>
      <c r="P590" s="268">
        <f>L590*Q590*R590</f>
        <v>3600</v>
      </c>
      <c r="Q590" s="268">
        <v>10</v>
      </c>
      <c r="R590" s="269">
        <f>((N590/L590)/10)*(3)</f>
        <v>7.5</v>
      </c>
      <c r="S590" s="269">
        <f t="shared" si="371"/>
        <v>3600</v>
      </c>
      <c r="T590" s="357">
        <f t="shared" si="376"/>
        <v>8.6051320051152735E-2</v>
      </c>
      <c r="U590" s="361">
        <f>IF($J590&gt;U$5,0,IF($K590&lt;U$5,1,IF(U$5=$K590,1,((U$5-$J590+1)/($K590-$J590+1)))))</f>
        <v>0.85416666666666663</v>
      </c>
      <c r="V590" s="357">
        <f>IFERROR(O590/N590,0)</f>
        <v>0</v>
      </c>
      <c r="W590" s="357">
        <f t="shared" si="374"/>
        <v>7.3502169210359625E-2</v>
      </c>
      <c r="X590" s="357">
        <f t="shared" si="375"/>
        <v>0</v>
      </c>
      <c r="Y590" s="198">
        <f t="shared" si="341"/>
        <v>1025</v>
      </c>
      <c r="Z590" s="435"/>
      <c r="AC590" s="267"/>
    </row>
    <row r="591" spans="8:29" x14ac:dyDescent="0.25">
      <c r="H591" s="510" t="s">
        <v>1031</v>
      </c>
      <c r="I591" s="511"/>
      <c r="J591" s="392">
        <v>44958</v>
      </c>
      <c r="K591" s="392">
        <v>45291</v>
      </c>
      <c r="L591" s="368">
        <f t="shared" si="340"/>
        <v>334</v>
      </c>
      <c r="M591" s="368"/>
      <c r="N591" s="368"/>
      <c r="O591" s="368"/>
      <c r="P591" s="368">
        <f>P592+P600+P608+P616+P624</f>
        <v>100144.44</v>
      </c>
      <c r="Q591" s="368"/>
      <c r="R591" s="368"/>
      <c r="S591" s="400">
        <f>S592+S600+S608+S616+S624</f>
        <v>100144.44</v>
      </c>
      <c r="T591" s="356">
        <f>S591/S582</f>
        <v>0.51945243405894559</v>
      </c>
      <c r="U591" s="368"/>
      <c r="V591" s="356"/>
      <c r="W591" s="356">
        <f>W592*T592+W600*T600+W608*T608+W616*T616+W624*T624</f>
        <v>0.98138858740545332</v>
      </c>
      <c r="X591" s="356">
        <f>X592*T592+X600*T600+X608*T608+X616*T616+X624*T624</f>
        <v>0</v>
      </c>
      <c r="Y591" s="198">
        <f t="shared" si="341"/>
        <v>0</v>
      </c>
      <c r="Z591" s="435"/>
      <c r="AC591" s="267"/>
    </row>
    <row r="592" spans="8:29" x14ac:dyDescent="0.25">
      <c r="H592" s="518" t="s">
        <v>1032</v>
      </c>
      <c r="I592" s="519"/>
      <c r="J592" s="370">
        <v>45078</v>
      </c>
      <c r="K592" s="370">
        <v>45291</v>
      </c>
      <c r="L592" s="369">
        <f t="shared" si="340"/>
        <v>214</v>
      </c>
      <c r="M592" s="369"/>
      <c r="N592" s="369"/>
      <c r="O592" s="369"/>
      <c r="P592" s="369">
        <f>SUM(P593:P599)</f>
        <v>22691.587500000001</v>
      </c>
      <c r="Q592" s="369"/>
      <c r="R592" s="369"/>
      <c r="S592" s="385">
        <f>S593+S594+S595+S596+S597+S598+S599</f>
        <v>22691.587500000001</v>
      </c>
      <c r="T592" s="363">
        <f>S592/$S$591</f>
        <v>0.22658859043996851</v>
      </c>
      <c r="U592" s="369"/>
      <c r="V592" s="363"/>
      <c r="W592" s="363">
        <f t="shared" ref="W592:X592" si="377">W593+W594+W595+W596+W597+W598+W599</f>
        <v>0.94066418067179225</v>
      </c>
      <c r="X592" s="369">
        <f t="shared" si="377"/>
        <v>0</v>
      </c>
      <c r="Y592" s="198">
        <f t="shared" si="341"/>
        <v>0</v>
      </c>
      <c r="Z592" s="435"/>
      <c r="AC592" s="267"/>
    </row>
    <row r="593" spans="8:29" x14ac:dyDescent="0.25">
      <c r="H593" s="268" t="s">
        <v>1033</v>
      </c>
      <c r="I593" s="397" t="s">
        <v>1034</v>
      </c>
      <c r="J593" s="372">
        <v>45078</v>
      </c>
      <c r="K593" s="372">
        <v>45242</v>
      </c>
      <c r="L593" s="268">
        <f t="shared" si="340"/>
        <v>165</v>
      </c>
      <c r="M593" s="268" t="s">
        <v>31</v>
      </c>
      <c r="N593" s="268">
        <v>4156.6500000000005</v>
      </c>
      <c r="O593" s="268"/>
      <c r="P593" s="268">
        <f t="shared" ref="P593:P599" si="378">L593*Q593*R593</f>
        <v>5195.8125000000009</v>
      </c>
      <c r="Q593" s="268">
        <v>10</v>
      </c>
      <c r="R593" s="268">
        <f>((N593/L593)/80)*(10)</f>
        <v>3.1489772727272731</v>
      </c>
      <c r="S593" s="269">
        <f t="shared" ref="S593:S623" si="379">P593</f>
        <v>5195.8125000000009</v>
      </c>
      <c r="T593" s="357">
        <f>S593/$S$592</f>
        <v>0.22897527552887167</v>
      </c>
      <c r="U593" s="361">
        <f t="shared" ref="U593:U623" si="380">IF($J593&gt;U$5,0,IF($K593&lt;U$5,1,IF(U$5=$K593,1,((U$5-$J593+1)/($K593-$J593+1)))))</f>
        <v>1</v>
      </c>
      <c r="V593" s="357">
        <f t="shared" ref="V593:V599" si="381">IFERROR(O593/N593,0)</f>
        <v>0</v>
      </c>
      <c r="W593" s="357">
        <f t="shared" ref="W593:W599" si="382">U593*$T593</f>
        <v>0.22897527552887167</v>
      </c>
      <c r="X593" s="357">
        <f t="shared" ref="X593:X599" si="383">V593*$T593</f>
        <v>0</v>
      </c>
      <c r="Y593" s="198">
        <f t="shared" si="341"/>
        <v>4156.6500000000005</v>
      </c>
      <c r="Z593" s="435"/>
      <c r="AC593" s="267"/>
    </row>
    <row r="594" spans="8:29" x14ac:dyDescent="0.25">
      <c r="H594" s="268" t="s">
        <v>1035</v>
      </c>
      <c r="I594" s="397" t="s">
        <v>1036</v>
      </c>
      <c r="J594" s="372">
        <v>45096</v>
      </c>
      <c r="K594" s="372">
        <v>45259</v>
      </c>
      <c r="L594" s="268">
        <f t="shared" si="340"/>
        <v>164</v>
      </c>
      <c r="M594" s="268" t="s">
        <v>31</v>
      </c>
      <c r="N594" s="268">
        <v>2025</v>
      </c>
      <c r="O594" s="268"/>
      <c r="P594" s="268">
        <f t="shared" si="378"/>
        <v>2531.25</v>
      </c>
      <c r="Q594" s="268">
        <v>10</v>
      </c>
      <c r="R594" s="268">
        <f>((N594/L594)/80)*(10)</f>
        <v>1.5434451219512195</v>
      </c>
      <c r="S594" s="269">
        <f t="shared" si="379"/>
        <v>2531.25</v>
      </c>
      <c r="T594" s="357">
        <f t="shared" ref="T594:T599" si="384">S594/$S$592</f>
        <v>0.11155015046875852</v>
      </c>
      <c r="U594" s="361">
        <f t="shared" si="380"/>
        <v>1</v>
      </c>
      <c r="V594" s="357">
        <f t="shared" si="381"/>
        <v>0</v>
      </c>
      <c r="W594" s="357">
        <f t="shared" si="382"/>
        <v>0.11155015046875852</v>
      </c>
      <c r="X594" s="357">
        <f t="shared" si="383"/>
        <v>0</v>
      </c>
      <c r="Y594" s="198">
        <f t="shared" si="341"/>
        <v>2025</v>
      </c>
      <c r="Z594" s="435"/>
      <c r="AC594" s="267"/>
    </row>
    <row r="595" spans="8:29" x14ac:dyDescent="0.25">
      <c r="H595" s="268" t="s">
        <v>1037</v>
      </c>
      <c r="I595" s="397" t="s">
        <v>1038</v>
      </c>
      <c r="J595" s="372">
        <v>45096</v>
      </c>
      <c r="K595" s="372">
        <v>45271</v>
      </c>
      <c r="L595" s="268">
        <f t="shared" si="340"/>
        <v>176</v>
      </c>
      <c r="M595" s="268" t="s">
        <v>31</v>
      </c>
      <c r="N595" s="268">
        <v>72000</v>
      </c>
      <c r="O595" s="268"/>
      <c r="P595" s="268">
        <f t="shared" si="378"/>
        <v>4319.9999999999991</v>
      </c>
      <c r="Q595" s="268">
        <v>10</v>
      </c>
      <c r="R595" s="268">
        <f>((N595/L595)/1000)*(6)</f>
        <v>2.4545454545454541</v>
      </c>
      <c r="S595" s="269">
        <f t="shared" si="379"/>
        <v>4319.9999999999991</v>
      </c>
      <c r="T595" s="357">
        <f t="shared" si="384"/>
        <v>0.19037892346668114</v>
      </c>
      <c r="U595" s="361">
        <f t="shared" si="380"/>
        <v>1</v>
      </c>
      <c r="V595" s="357">
        <f t="shared" si="381"/>
        <v>0</v>
      </c>
      <c r="W595" s="357">
        <f t="shared" si="382"/>
        <v>0.19037892346668114</v>
      </c>
      <c r="X595" s="357">
        <f t="shared" si="383"/>
        <v>0</v>
      </c>
      <c r="Y595" s="198">
        <f t="shared" si="341"/>
        <v>72000</v>
      </c>
      <c r="Z595" s="435"/>
      <c r="AC595" s="267"/>
    </row>
    <row r="596" spans="8:29" x14ac:dyDescent="0.25">
      <c r="H596" s="268" t="s">
        <v>1039</v>
      </c>
      <c r="I596" s="397" t="s">
        <v>1040</v>
      </c>
      <c r="J596" s="372">
        <v>45218</v>
      </c>
      <c r="K596" s="372">
        <v>45277</v>
      </c>
      <c r="L596" s="268">
        <f t="shared" si="340"/>
        <v>60</v>
      </c>
      <c r="M596" s="268" t="s">
        <v>1184</v>
      </c>
      <c r="N596" s="268">
        <v>184.5</v>
      </c>
      <c r="O596" s="268"/>
      <c r="P596" s="268">
        <f t="shared" si="378"/>
        <v>738</v>
      </c>
      <c r="Q596" s="268">
        <v>10</v>
      </c>
      <c r="R596" s="268">
        <f>((N596/L596)/5)*(2)</f>
        <v>1.23</v>
      </c>
      <c r="S596" s="269">
        <f t="shared" si="379"/>
        <v>738</v>
      </c>
      <c r="T596" s="357">
        <f t="shared" si="384"/>
        <v>3.2523066092224703E-2</v>
      </c>
      <c r="U596" s="361">
        <f t="shared" si="380"/>
        <v>1</v>
      </c>
      <c r="V596" s="357">
        <f t="shared" si="381"/>
        <v>0</v>
      </c>
      <c r="W596" s="357">
        <f t="shared" si="382"/>
        <v>3.2523066092224703E-2</v>
      </c>
      <c r="X596" s="357">
        <f t="shared" si="383"/>
        <v>0</v>
      </c>
      <c r="Y596" s="198">
        <f t="shared" si="341"/>
        <v>184.5</v>
      </c>
      <c r="Z596" s="435"/>
      <c r="AC596" s="267"/>
    </row>
    <row r="597" spans="8:29" x14ac:dyDescent="0.25">
      <c r="H597" s="268" t="s">
        <v>1041</v>
      </c>
      <c r="I597" s="397" t="s">
        <v>1042</v>
      </c>
      <c r="J597" s="372">
        <v>45221</v>
      </c>
      <c r="K597" s="372">
        <v>45279</v>
      </c>
      <c r="L597" s="268">
        <f t="shared" si="340"/>
        <v>59</v>
      </c>
      <c r="M597" s="268" t="s">
        <v>1184</v>
      </c>
      <c r="N597" s="268">
        <v>173.25</v>
      </c>
      <c r="O597" s="268"/>
      <c r="P597" s="268">
        <f t="shared" si="378"/>
        <v>866.25</v>
      </c>
      <c r="Q597" s="268">
        <v>10</v>
      </c>
      <c r="R597" s="268">
        <f>((N597/L597)/4)*(2)</f>
        <v>1.4682203389830508</v>
      </c>
      <c r="S597" s="269">
        <f t="shared" si="379"/>
        <v>866.25</v>
      </c>
      <c r="T597" s="357">
        <f t="shared" si="384"/>
        <v>3.8174940382641805E-2</v>
      </c>
      <c r="U597" s="361">
        <f t="shared" si="380"/>
        <v>1</v>
      </c>
      <c r="V597" s="357">
        <f t="shared" si="381"/>
        <v>0</v>
      </c>
      <c r="W597" s="357">
        <f t="shared" si="382"/>
        <v>3.8174940382641805E-2</v>
      </c>
      <c r="X597" s="357">
        <f t="shared" si="383"/>
        <v>0</v>
      </c>
      <c r="Y597" s="198">
        <f t="shared" si="341"/>
        <v>173.25</v>
      </c>
      <c r="Z597" s="435"/>
      <c r="AC597" s="267"/>
    </row>
    <row r="598" spans="8:29" x14ac:dyDescent="0.25">
      <c r="H598" s="268" t="s">
        <v>1043</v>
      </c>
      <c r="I598" s="397" t="s">
        <v>1044</v>
      </c>
      <c r="J598" s="372">
        <v>45245</v>
      </c>
      <c r="K598" s="372">
        <v>45291</v>
      </c>
      <c r="L598" s="268">
        <f t="shared" si="340"/>
        <v>47</v>
      </c>
      <c r="M598" s="268" t="s">
        <v>1184</v>
      </c>
      <c r="N598" s="268">
        <v>913.95</v>
      </c>
      <c r="O598" s="268"/>
      <c r="P598" s="268">
        <f t="shared" si="378"/>
        <v>6854.625</v>
      </c>
      <c r="Q598" s="268">
        <v>10</v>
      </c>
      <c r="R598" s="268">
        <f>((N598/L598)/4)*(3)</f>
        <v>14.584308510638298</v>
      </c>
      <c r="S598" s="269">
        <f t="shared" si="379"/>
        <v>6854.625</v>
      </c>
      <c r="T598" s="357">
        <f t="shared" si="384"/>
        <v>0.30207780746939805</v>
      </c>
      <c r="U598" s="361">
        <f t="shared" si="380"/>
        <v>0.85106382978723405</v>
      </c>
      <c r="V598" s="357">
        <f t="shared" si="381"/>
        <v>0</v>
      </c>
      <c r="W598" s="357">
        <f t="shared" si="382"/>
        <v>0.25708749571863665</v>
      </c>
      <c r="X598" s="357">
        <f t="shared" si="383"/>
        <v>0</v>
      </c>
      <c r="Y598" s="198">
        <f t="shared" si="341"/>
        <v>777.82978723404256</v>
      </c>
      <c r="Z598" s="435"/>
      <c r="AC598" s="267"/>
    </row>
    <row r="599" spans="8:29" x14ac:dyDescent="0.25">
      <c r="H599" s="268" t="s">
        <v>1045</v>
      </c>
      <c r="I599" s="397" t="s">
        <v>1046</v>
      </c>
      <c r="J599" s="372">
        <v>45245</v>
      </c>
      <c r="K599" s="372">
        <v>45291</v>
      </c>
      <c r="L599" s="268">
        <f t="shared" si="340"/>
        <v>47</v>
      </c>
      <c r="M599" s="268" t="s">
        <v>1184</v>
      </c>
      <c r="N599" s="268">
        <v>728.55000000000007</v>
      </c>
      <c r="O599" s="268"/>
      <c r="P599" s="268">
        <f t="shared" si="378"/>
        <v>2185.6499999999996</v>
      </c>
      <c r="Q599" s="268">
        <v>10</v>
      </c>
      <c r="R599" s="268">
        <f>((N599/L599)/10)*(3)</f>
        <v>4.6503191489361697</v>
      </c>
      <c r="S599" s="269">
        <f t="shared" si="379"/>
        <v>2185.6499999999996</v>
      </c>
      <c r="T599" s="357">
        <f t="shared" si="384"/>
        <v>9.6319836591423999E-2</v>
      </c>
      <c r="U599" s="361">
        <f t="shared" si="380"/>
        <v>0.85106382978723405</v>
      </c>
      <c r="V599" s="357">
        <f t="shared" si="381"/>
        <v>0</v>
      </c>
      <c r="W599" s="357">
        <f t="shared" si="382"/>
        <v>8.1974329013977873E-2</v>
      </c>
      <c r="X599" s="357">
        <f t="shared" si="383"/>
        <v>0</v>
      </c>
      <c r="Y599" s="198">
        <f t="shared" si="341"/>
        <v>620.04255319148945</v>
      </c>
      <c r="Z599" s="435"/>
      <c r="AC599" s="267"/>
    </row>
    <row r="600" spans="8:29" x14ac:dyDescent="0.25">
      <c r="H600" s="518" t="s">
        <v>1047</v>
      </c>
      <c r="I600" s="519"/>
      <c r="J600" s="370">
        <v>45148</v>
      </c>
      <c r="K600" s="370">
        <v>45287</v>
      </c>
      <c r="L600" s="369">
        <f t="shared" si="340"/>
        <v>140</v>
      </c>
      <c r="M600" s="369"/>
      <c r="N600" s="369"/>
      <c r="O600" s="369"/>
      <c r="P600" s="369">
        <f>SUM(P601:P607)</f>
        <v>5042.5749999999998</v>
      </c>
      <c r="Q600" s="369"/>
      <c r="R600" s="369"/>
      <c r="S600" s="385">
        <f>SUM(S601:S607)</f>
        <v>5042.5749999999998</v>
      </c>
      <c r="T600" s="363">
        <f>S600/$S$591</f>
        <v>5.0353020097770776E-2</v>
      </c>
      <c r="U600" s="369"/>
      <c r="V600" s="363"/>
      <c r="W600" s="363">
        <f t="shared" ref="W600:X600" si="385">SUM(W601:W607)</f>
        <v>0.99197334695071471</v>
      </c>
      <c r="X600" s="369">
        <f t="shared" si="385"/>
        <v>0</v>
      </c>
      <c r="Y600" s="198">
        <f t="shared" si="341"/>
        <v>0</v>
      </c>
      <c r="Z600" s="435"/>
      <c r="AC600" s="267"/>
    </row>
    <row r="601" spans="8:29" x14ac:dyDescent="0.25">
      <c r="H601" s="268" t="s">
        <v>1048</v>
      </c>
      <c r="I601" s="397" t="s">
        <v>1034</v>
      </c>
      <c r="J601" s="372">
        <v>45148</v>
      </c>
      <c r="K601" s="372">
        <v>45218</v>
      </c>
      <c r="L601" s="268">
        <f t="shared" si="340"/>
        <v>71</v>
      </c>
      <c r="M601" s="268" t="s">
        <v>31</v>
      </c>
      <c r="N601" s="268">
        <v>923.7</v>
      </c>
      <c r="O601" s="268"/>
      <c r="P601" s="268">
        <f t="shared" ref="P601:P632" si="386">L601*Q601*R601</f>
        <v>1154.625</v>
      </c>
      <c r="Q601" s="268">
        <v>10</v>
      </c>
      <c r="R601" s="268">
        <f>((N601/L601)/80)*(10)</f>
        <v>1.6262323943661972</v>
      </c>
      <c r="S601" s="269">
        <f t="shared" si="379"/>
        <v>1154.625</v>
      </c>
      <c r="T601" s="357">
        <f>S601/$S$600</f>
        <v>0.22897527552887167</v>
      </c>
      <c r="U601" s="361">
        <f t="shared" si="380"/>
        <v>1</v>
      </c>
      <c r="V601" s="357">
        <f t="shared" ref="V601:V607" si="387">IFERROR(O601/N601,0)</f>
        <v>0</v>
      </c>
      <c r="W601" s="357">
        <f t="shared" ref="W601:W607" si="388">U601*$T601</f>
        <v>0.22897527552887167</v>
      </c>
      <c r="X601" s="357">
        <f t="shared" ref="X601:X607" si="389">V601*$T601</f>
        <v>0</v>
      </c>
      <c r="Y601" s="198">
        <f t="shared" si="341"/>
        <v>923.7</v>
      </c>
      <c r="Z601" s="435"/>
      <c r="AC601" s="267"/>
    </row>
    <row r="602" spans="8:29" x14ac:dyDescent="0.25">
      <c r="H602" s="268" t="s">
        <v>1049</v>
      </c>
      <c r="I602" s="397" t="s">
        <v>1036</v>
      </c>
      <c r="J602" s="372">
        <v>45166</v>
      </c>
      <c r="K602" s="372">
        <v>45248</v>
      </c>
      <c r="L602" s="268">
        <f t="shared" si="340"/>
        <v>83</v>
      </c>
      <c r="M602" s="268" t="s">
        <v>31</v>
      </c>
      <c r="N602" s="268">
        <v>450</v>
      </c>
      <c r="O602" s="268"/>
      <c r="P602" s="268">
        <f t="shared" si="386"/>
        <v>562.5</v>
      </c>
      <c r="Q602" s="268">
        <v>10</v>
      </c>
      <c r="R602" s="268">
        <f>((N602/L602)/80)*(10)</f>
        <v>0.67771084337349397</v>
      </c>
      <c r="S602" s="269">
        <f t="shared" si="379"/>
        <v>562.5</v>
      </c>
      <c r="T602" s="357">
        <f t="shared" ref="T602:T607" si="390">S602/$S$600</f>
        <v>0.11155015046875852</v>
      </c>
      <c r="U602" s="361">
        <f t="shared" si="380"/>
        <v>1</v>
      </c>
      <c r="V602" s="357">
        <f t="shared" si="387"/>
        <v>0</v>
      </c>
      <c r="W602" s="357">
        <f t="shared" si="388"/>
        <v>0.11155015046875852</v>
      </c>
      <c r="X602" s="357">
        <f t="shared" si="389"/>
        <v>0</v>
      </c>
      <c r="Y602" s="198">
        <f t="shared" si="341"/>
        <v>450</v>
      </c>
      <c r="Z602" s="435"/>
      <c r="AC602" s="267"/>
    </row>
    <row r="603" spans="8:29" x14ac:dyDescent="0.25">
      <c r="H603" s="268" t="s">
        <v>1050</v>
      </c>
      <c r="I603" s="397" t="s">
        <v>1038</v>
      </c>
      <c r="J603" s="372">
        <v>45213</v>
      </c>
      <c r="K603" s="372">
        <v>45265</v>
      </c>
      <c r="L603" s="268">
        <f t="shared" si="340"/>
        <v>53</v>
      </c>
      <c r="M603" s="268" t="s">
        <v>31</v>
      </c>
      <c r="N603" s="268">
        <v>16000</v>
      </c>
      <c r="O603" s="268"/>
      <c r="P603" s="268">
        <f t="shared" si="386"/>
        <v>960.00000000000011</v>
      </c>
      <c r="Q603" s="268">
        <v>10</v>
      </c>
      <c r="R603" s="268">
        <f>((N603/L603)/1000)*(6)</f>
        <v>1.8113207547169814</v>
      </c>
      <c r="S603" s="269">
        <f t="shared" si="379"/>
        <v>960.00000000000011</v>
      </c>
      <c r="T603" s="357">
        <f t="shared" si="390"/>
        <v>0.19037892346668123</v>
      </c>
      <c r="U603" s="361">
        <f t="shared" si="380"/>
        <v>1</v>
      </c>
      <c r="V603" s="357">
        <f t="shared" si="387"/>
        <v>0</v>
      </c>
      <c r="W603" s="357">
        <f t="shared" si="388"/>
        <v>0.19037892346668123</v>
      </c>
      <c r="X603" s="357">
        <f t="shared" si="389"/>
        <v>0</v>
      </c>
      <c r="Y603" s="198">
        <f t="shared" si="341"/>
        <v>16000</v>
      </c>
      <c r="Z603" s="435"/>
      <c r="AC603" s="267"/>
    </row>
    <row r="604" spans="8:29" x14ac:dyDescent="0.25">
      <c r="H604" s="268" t="s">
        <v>1051</v>
      </c>
      <c r="I604" s="397" t="s">
        <v>1040</v>
      </c>
      <c r="J604" s="372">
        <v>45227</v>
      </c>
      <c r="K604" s="372">
        <v>45273</v>
      </c>
      <c r="L604" s="268">
        <f t="shared" si="340"/>
        <v>47</v>
      </c>
      <c r="M604" s="268" t="s">
        <v>1184</v>
      </c>
      <c r="N604" s="268">
        <v>41</v>
      </c>
      <c r="O604" s="268"/>
      <c r="P604" s="268">
        <f t="shared" si="386"/>
        <v>164</v>
      </c>
      <c r="Q604" s="268">
        <v>10</v>
      </c>
      <c r="R604" s="268">
        <f>((N604/L604)/5)*(2)</f>
        <v>0.34893617021276596</v>
      </c>
      <c r="S604" s="269">
        <f t="shared" si="379"/>
        <v>164</v>
      </c>
      <c r="T604" s="357">
        <f t="shared" si="390"/>
        <v>3.252306609222471E-2</v>
      </c>
      <c r="U604" s="361">
        <f t="shared" si="380"/>
        <v>1</v>
      </c>
      <c r="V604" s="357">
        <f t="shared" si="387"/>
        <v>0</v>
      </c>
      <c r="W604" s="357">
        <f t="shared" si="388"/>
        <v>3.252306609222471E-2</v>
      </c>
      <c r="X604" s="357">
        <f t="shared" si="389"/>
        <v>0</v>
      </c>
      <c r="Y604" s="198">
        <f t="shared" si="341"/>
        <v>41</v>
      </c>
      <c r="Z604" s="435"/>
      <c r="AC604" s="267"/>
    </row>
    <row r="605" spans="8:29" x14ac:dyDescent="0.25">
      <c r="H605" s="268" t="s">
        <v>1052</v>
      </c>
      <c r="I605" s="397" t="s">
        <v>1042</v>
      </c>
      <c r="J605" s="372">
        <v>45245</v>
      </c>
      <c r="K605" s="372">
        <v>45280</v>
      </c>
      <c r="L605" s="268">
        <f t="shared" si="340"/>
        <v>36</v>
      </c>
      <c r="M605" s="268" t="s">
        <v>1184</v>
      </c>
      <c r="N605" s="268">
        <v>38.5</v>
      </c>
      <c r="O605" s="268"/>
      <c r="P605" s="268">
        <f t="shared" si="386"/>
        <v>192.5</v>
      </c>
      <c r="Q605" s="268">
        <v>10</v>
      </c>
      <c r="R605" s="268">
        <f>((N605/L605)/4)*(2)</f>
        <v>0.53472222222222221</v>
      </c>
      <c r="S605" s="269">
        <f t="shared" si="379"/>
        <v>192.5</v>
      </c>
      <c r="T605" s="357">
        <f t="shared" si="390"/>
        <v>3.8174940382641805E-2</v>
      </c>
      <c r="U605" s="361">
        <f t="shared" si="380"/>
        <v>1</v>
      </c>
      <c r="V605" s="357">
        <f t="shared" si="387"/>
        <v>0</v>
      </c>
      <c r="W605" s="357">
        <f t="shared" si="388"/>
        <v>3.8174940382641805E-2</v>
      </c>
      <c r="X605" s="357">
        <f t="shared" si="389"/>
        <v>0</v>
      </c>
      <c r="Y605" s="198">
        <f t="shared" si="341"/>
        <v>38.5</v>
      </c>
      <c r="Z605" s="435"/>
      <c r="AC605" s="267"/>
    </row>
    <row r="606" spans="8:29" x14ac:dyDescent="0.25">
      <c r="H606" s="268" t="s">
        <v>1053</v>
      </c>
      <c r="I606" s="397" t="s">
        <v>1046</v>
      </c>
      <c r="J606" s="372">
        <v>45245</v>
      </c>
      <c r="K606" s="372">
        <v>45280</v>
      </c>
      <c r="L606" s="268">
        <f t="shared" si="340"/>
        <v>36</v>
      </c>
      <c r="M606" s="268" t="s">
        <v>1184</v>
      </c>
      <c r="N606" s="268">
        <v>203.10000000000002</v>
      </c>
      <c r="O606" s="268"/>
      <c r="P606" s="268">
        <f t="shared" si="386"/>
        <v>1523.2500000000005</v>
      </c>
      <c r="Q606" s="268">
        <v>10</v>
      </c>
      <c r="R606" s="268">
        <f>((N606/L606)/4)*(3)</f>
        <v>4.2312500000000011</v>
      </c>
      <c r="S606" s="269">
        <f t="shared" si="379"/>
        <v>1523.2500000000005</v>
      </c>
      <c r="T606" s="357">
        <f t="shared" si="390"/>
        <v>0.30207780746939816</v>
      </c>
      <c r="U606" s="361">
        <f t="shared" si="380"/>
        <v>1</v>
      </c>
      <c r="V606" s="357">
        <f t="shared" si="387"/>
        <v>0</v>
      </c>
      <c r="W606" s="357">
        <f t="shared" si="388"/>
        <v>0.30207780746939816</v>
      </c>
      <c r="X606" s="357">
        <f t="shared" si="389"/>
        <v>0</v>
      </c>
      <c r="Y606" s="198">
        <f t="shared" si="341"/>
        <v>203.10000000000002</v>
      </c>
      <c r="Z606" s="435"/>
      <c r="AC606" s="267"/>
    </row>
    <row r="607" spans="8:29" x14ac:dyDescent="0.25">
      <c r="H607" s="268" t="s">
        <v>1054</v>
      </c>
      <c r="I607" s="397" t="s">
        <v>1044</v>
      </c>
      <c r="J607" s="372">
        <v>45252</v>
      </c>
      <c r="K607" s="372">
        <v>45287</v>
      </c>
      <c r="L607" s="268">
        <f t="shared" ref="L607:L670" si="391">K607-J607+1</f>
        <v>36</v>
      </c>
      <c r="M607" s="268" t="s">
        <v>1184</v>
      </c>
      <c r="N607" s="268">
        <v>161.9</v>
      </c>
      <c r="O607" s="268"/>
      <c r="P607" s="268">
        <f t="shared" si="386"/>
        <v>485.7</v>
      </c>
      <c r="Q607" s="268">
        <v>10</v>
      </c>
      <c r="R607" s="268">
        <f>((N607/L607)/10)*(3)</f>
        <v>1.3491666666666666</v>
      </c>
      <c r="S607" s="269">
        <f t="shared" si="379"/>
        <v>485.7</v>
      </c>
      <c r="T607" s="357">
        <f t="shared" si="390"/>
        <v>9.6319836591424027E-2</v>
      </c>
      <c r="U607" s="361">
        <f t="shared" si="380"/>
        <v>0.91666666666666663</v>
      </c>
      <c r="V607" s="357">
        <f t="shared" si="387"/>
        <v>0</v>
      </c>
      <c r="W607" s="357">
        <f t="shared" si="388"/>
        <v>8.8293183542138692E-2</v>
      </c>
      <c r="X607" s="357">
        <f t="shared" si="389"/>
        <v>0</v>
      </c>
      <c r="Y607" s="198">
        <f t="shared" si="341"/>
        <v>148.40833333333333</v>
      </c>
      <c r="Z607" s="435"/>
      <c r="AC607" s="267"/>
    </row>
    <row r="608" spans="8:29" x14ac:dyDescent="0.25">
      <c r="H608" s="518" t="s">
        <v>1055</v>
      </c>
      <c r="I608" s="519"/>
      <c r="J608" s="370">
        <v>45202</v>
      </c>
      <c r="K608" s="370">
        <v>45291</v>
      </c>
      <c r="L608" s="369">
        <f t="shared" si="391"/>
        <v>90</v>
      </c>
      <c r="M608" s="369"/>
      <c r="N608" s="369"/>
      <c r="O608" s="369"/>
      <c r="P608" s="369">
        <f>SUM(P609:P615)</f>
        <v>12606.4375</v>
      </c>
      <c r="Q608" s="369"/>
      <c r="R608" s="369"/>
      <c r="S608" s="385">
        <f>SUM(S609:S615)</f>
        <v>12606.4375</v>
      </c>
      <c r="T608" s="363">
        <f>S608/$S$591</f>
        <v>0.12588255024442696</v>
      </c>
      <c r="U608" s="369"/>
      <c r="V608" s="363"/>
      <c r="W608" s="363">
        <f t="shared" ref="W608:X608" si="392">SUM(W609:W615)</f>
        <v>0.96477976096258111</v>
      </c>
      <c r="X608" s="369">
        <f t="shared" si="392"/>
        <v>0</v>
      </c>
      <c r="Y608" s="198">
        <f t="shared" si="341"/>
        <v>0</v>
      </c>
      <c r="AC608" s="267"/>
    </row>
    <row r="609" spans="8:29" x14ac:dyDescent="0.25">
      <c r="H609" s="268" t="s">
        <v>1056</v>
      </c>
      <c r="I609" s="397" t="s">
        <v>1034</v>
      </c>
      <c r="J609" s="372">
        <v>45202</v>
      </c>
      <c r="K609" s="372">
        <v>45259</v>
      </c>
      <c r="L609" s="268">
        <f t="shared" si="391"/>
        <v>58</v>
      </c>
      <c r="M609" s="268" t="s">
        <v>31</v>
      </c>
      <c r="N609" s="268">
        <v>2309.25</v>
      </c>
      <c r="O609" s="268"/>
      <c r="P609" s="268">
        <f t="shared" si="386"/>
        <v>2886.5625</v>
      </c>
      <c r="Q609" s="268">
        <v>10</v>
      </c>
      <c r="R609" s="268">
        <f>((N609/L609)/80)*(10)</f>
        <v>4.9768318965517242</v>
      </c>
      <c r="S609" s="269">
        <f t="shared" si="379"/>
        <v>2886.5625</v>
      </c>
      <c r="T609" s="357">
        <f>S609/$S$608</f>
        <v>0.22897527552887165</v>
      </c>
      <c r="U609" s="361">
        <f t="shared" si="380"/>
        <v>1</v>
      </c>
      <c r="V609" s="357">
        <f t="shared" ref="V609:V615" si="393">IFERROR(O609/N609,0)</f>
        <v>0</v>
      </c>
      <c r="W609" s="357">
        <f t="shared" ref="W609:W615" si="394">U609*$T609</f>
        <v>0.22897527552887165</v>
      </c>
      <c r="X609" s="357">
        <f t="shared" ref="X609:X615" si="395">V609*$T609</f>
        <v>0</v>
      </c>
      <c r="Y609" s="198">
        <f t="shared" si="341"/>
        <v>2309.25</v>
      </c>
      <c r="AC609" s="267"/>
    </row>
    <row r="610" spans="8:29" x14ac:dyDescent="0.25">
      <c r="H610" s="268" t="s">
        <v>1057</v>
      </c>
      <c r="I610" s="397" t="s">
        <v>1036</v>
      </c>
      <c r="J610" s="372">
        <v>45208</v>
      </c>
      <c r="K610" s="372">
        <v>45271</v>
      </c>
      <c r="L610" s="268">
        <f t="shared" si="391"/>
        <v>64</v>
      </c>
      <c r="M610" s="268" t="s">
        <v>31</v>
      </c>
      <c r="N610" s="268">
        <v>1125</v>
      </c>
      <c r="O610" s="268"/>
      <c r="P610" s="268">
        <f t="shared" si="386"/>
        <v>1406.25</v>
      </c>
      <c r="Q610" s="268">
        <v>10</v>
      </c>
      <c r="R610" s="268">
        <f>((N610/L610)/80)*(10)</f>
        <v>2.197265625</v>
      </c>
      <c r="S610" s="269">
        <f t="shared" si="379"/>
        <v>1406.25</v>
      </c>
      <c r="T610" s="357">
        <f t="shared" ref="T610:T615" si="396">S610/$S$608</f>
        <v>0.11155015046875852</v>
      </c>
      <c r="U610" s="361">
        <f t="shared" si="380"/>
        <v>1</v>
      </c>
      <c r="V610" s="357">
        <f t="shared" si="393"/>
        <v>0</v>
      </c>
      <c r="W610" s="357">
        <f t="shared" si="394"/>
        <v>0.11155015046875852</v>
      </c>
      <c r="X610" s="357">
        <f t="shared" si="395"/>
        <v>0</v>
      </c>
      <c r="Y610" s="198">
        <f t="shared" si="341"/>
        <v>1125</v>
      </c>
      <c r="AC610" s="267"/>
    </row>
    <row r="611" spans="8:29" x14ac:dyDescent="0.25">
      <c r="H611" s="268" t="s">
        <v>1058</v>
      </c>
      <c r="I611" s="397" t="s">
        <v>1038</v>
      </c>
      <c r="J611" s="372">
        <v>45234</v>
      </c>
      <c r="K611" s="372">
        <v>45279</v>
      </c>
      <c r="L611" s="268">
        <f t="shared" si="391"/>
        <v>46</v>
      </c>
      <c r="M611" s="268" t="s">
        <v>31</v>
      </c>
      <c r="N611" s="268">
        <v>40000</v>
      </c>
      <c r="O611" s="268"/>
      <c r="P611" s="268">
        <f t="shared" si="386"/>
        <v>2400</v>
      </c>
      <c r="Q611" s="268">
        <v>10</v>
      </c>
      <c r="R611" s="268">
        <f>((N611/L611)/1000)*(6)</f>
        <v>5.2173913043478262</v>
      </c>
      <c r="S611" s="269">
        <f t="shared" si="379"/>
        <v>2400</v>
      </c>
      <c r="T611" s="357">
        <f t="shared" si="396"/>
        <v>0.1903789234666812</v>
      </c>
      <c r="U611" s="361">
        <f t="shared" si="380"/>
        <v>1</v>
      </c>
      <c r="V611" s="357">
        <f t="shared" si="393"/>
        <v>0</v>
      </c>
      <c r="W611" s="357">
        <f t="shared" si="394"/>
        <v>0.1903789234666812</v>
      </c>
      <c r="X611" s="357">
        <f t="shared" si="395"/>
        <v>0</v>
      </c>
      <c r="Y611" s="198">
        <f t="shared" si="341"/>
        <v>40000</v>
      </c>
      <c r="AC611" s="267"/>
    </row>
    <row r="612" spans="8:29" x14ac:dyDescent="0.25">
      <c r="H612" s="268" t="s">
        <v>1059</v>
      </c>
      <c r="I612" s="397" t="s">
        <v>1040</v>
      </c>
      <c r="J612" s="372">
        <v>45252</v>
      </c>
      <c r="K612" s="372">
        <v>45286</v>
      </c>
      <c r="L612" s="268">
        <f t="shared" si="391"/>
        <v>35</v>
      </c>
      <c r="M612" s="268" t="s">
        <v>1184</v>
      </c>
      <c r="N612" s="268">
        <v>102.5</v>
      </c>
      <c r="O612" s="268"/>
      <c r="P612" s="268">
        <f t="shared" si="386"/>
        <v>409.99999999999994</v>
      </c>
      <c r="Q612" s="268">
        <v>10</v>
      </c>
      <c r="R612" s="268">
        <f>((N612/L612)/5)*(2)</f>
        <v>1.1714285714285713</v>
      </c>
      <c r="S612" s="269">
        <f t="shared" si="379"/>
        <v>409.99999999999994</v>
      </c>
      <c r="T612" s="357">
        <f t="shared" si="396"/>
        <v>3.2523066092224703E-2</v>
      </c>
      <c r="U612" s="361">
        <f t="shared" si="380"/>
        <v>0.94285714285714284</v>
      </c>
      <c r="V612" s="357">
        <f t="shared" si="393"/>
        <v>0</v>
      </c>
      <c r="W612" s="357">
        <f t="shared" si="394"/>
        <v>3.0664605172669005E-2</v>
      </c>
      <c r="X612" s="357">
        <f t="shared" si="395"/>
        <v>0</v>
      </c>
      <c r="Y612" s="198">
        <f t="shared" si="341"/>
        <v>96.642857142857139</v>
      </c>
      <c r="AC612" s="267"/>
    </row>
    <row r="613" spans="8:29" x14ac:dyDescent="0.25">
      <c r="H613" s="268" t="s">
        <v>1060</v>
      </c>
      <c r="I613" s="397" t="s">
        <v>1042</v>
      </c>
      <c r="J613" s="372">
        <v>45252</v>
      </c>
      <c r="K613" s="372">
        <v>45286</v>
      </c>
      <c r="L613" s="268">
        <f t="shared" si="391"/>
        <v>35</v>
      </c>
      <c r="M613" s="268" t="s">
        <v>1184</v>
      </c>
      <c r="N613" s="268">
        <v>96.25</v>
      </c>
      <c r="O613" s="268"/>
      <c r="P613" s="268">
        <f t="shared" si="386"/>
        <v>481.25</v>
      </c>
      <c r="Q613" s="268">
        <v>10</v>
      </c>
      <c r="R613" s="268">
        <f>((N613/L613)/4)*(2)</f>
        <v>1.375</v>
      </c>
      <c r="S613" s="269">
        <f t="shared" si="379"/>
        <v>481.25</v>
      </c>
      <c r="T613" s="357">
        <f t="shared" si="396"/>
        <v>3.8174940382641805E-2</v>
      </c>
      <c r="U613" s="361">
        <f t="shared" si="380"/>
        <v>0.94285714285714284</v>
      </c>
      <c r="V613" s="357">
        <f t="shared" si="393"/>
        <v>0</v>
      </c>
      <c r="W613" s="357">
        <f t="shared" si="394"/>
        <v>3.5993515217919415E-2</v>
      </c>
      <c r="X613" s="357">
        <f t="shared" si="395"/>
        <v>0</v>
      </c>
      <c r="Y613" s="198">
        <f t="shared" ref="Y613:Y676" si="397">+U613*N613</f>
        <v>90.75</v>
      </c>
      <c r="AC613" s="267"/>
    </row>
    <row r="614" spans="8:29" x14ac:dyDescent="0.25">
      <c r="H614" s="268" t="s">
        <v>1061</v>
      </c>
      <c r="I614" s="397" t="s">
        <v>1046</v>
      </c>
      <c r="J614" s="372">
        <v>45246</v>
      </c>
      <c r="K614" s="372">
        <v>45286</v>
      </c>
      <c r="L614" s="268">
        <f t="shared" si="391"/>
        <v>41</v>
      </c>
      <c r="M614" s="268" t="s">
        <v>1184</v>
      </c>
      <c r="N614" s="268">
        <v>507.75</v>
      </c>
      <c r="O614" s="268"/>
      <c r="P614" s="268">
        <f t="shared" si="386"/>
        <v>3808.1250000000005</v>
      </c>
      <c r="Q614" s="268">
        <v>10</v>
      </c>
      <c r="R614" s="268">
        <f>((N614/L614)/4)*(3)</f>
        <v>9.2881097560975618</v>
      </c>
      <c r="S614" s="269">
        <f t="shared" si="379"/>
        <v>3808.1250000000005</v>
      </c>
      <c r="T614" s="357">
        <f t="shared" si="396"/>
        <v>0.30207780746939811</v>
      </c>
      <c r="U614" s="361">
        <f t="shared" si="380"/>
        <v>0.95121951219512191</v>
      </c>
      <c r="V614" s="357">
        <f t="shared" si="393"/>
        <v>0</v>
      </c>
      <c r="W614" s="357">
        <f t="shared" si="394"/>
        <v>0.28734230466601279</v>
      </c>
      <c r="X614" s="357">
        <f t="shared" si="395"/>
        <v>0</v>
      </c>
      <c r="Y614" s="198">
        <f t="shared" si="397"/>
        <v>482.98170731707313</v>
      </c>
      <c r="AC614" s="267"/>
    </row>
    <row r="615" spans="8:29" x14ac:dyDescent="0.25">
      <c r="H615" s="268" t="s">
        <v>1062</v>
      </c>
      <c r="I615" s="397" t="s">
        <v>1044</v>
      </c>
      <c r="J615" s="372">
        <v>45251</v>
      </c>
      <c r="K615" s="372">
        <v>45291</v>
      </c>
      <c r="L615" s="268">
        <f t="shared" si="391"/>
        <v>41</v>
      </c>
      <c r="M615" s="268" t="s">
        <v>1184</v>
      </c>
      <c r="N615" s="268">
        <v>404.75</v>
      </c>
      <c r="O615" s="268"/>
      <c r="P615" s="268">
        <f t="shared" si="386"/>
        <v>1214.2499999999998</v>
      </c>
      <c r="Q615" s="268">
        <v>10</v>
      </c>
      <c r="R615" s="268">
        <f>((N615/L615)/10)*(3)</f>
        <v>2.9615853658536579</v>
      </c>
      <c r="S615" s="269">
        <f t="shared" si="379"/>
        <v>1214.2499999999998</v>
      </c>
      <c r="T615" s="357">
        <f t="shared" si="396"/>
        <v>9.6319836591424013E-2</v>
      </c>
      <c r="U615" s="361">
        <f t="shared" si="380"/>
        <v>0.82926829268292679</v>
      </c>
      <c r="V615" s="357">
        <f t="shared" si="393"/>
        <v>0</v>
      </c>
      <c r="W615" s="357">
        <f t="shared" si="394"/>
        <v>7.9874986441668683E-2</v>
      </c>
      <c r="X615" s="357">
        <f t="shared" si="395"/>
        <v>0</v>
      </c>
      <c r="Y615" s="198">
        <f t="shared" si="397"/>
        <v>335.64634146341461</v>
      </c>
      <c r="AC615" s="267"/>
    </row>
    <row r="616" spans="8:29" x14ac:dyDescent="0.25">
      <c r="H616" s="518" t="s">
        <v>1063</v>
      </c>
      <c r="I616" s="519"/>
      <c r="J616" s="370">
        <v>45127</v>
      </c>
      <c r="K616" s="370">
        <v>45286</v>
      </c>
      <c r="L616" s="369">
        <f t="shared" si="391"/>
        <v>160</v>
      </c>
      <c r="M616" s="369"/>
      <c r="N616" s="369"/>
      <c r="O616" s="369"/>
      <c r="P616" s="369">
        <f>SUM(P617:P623)</f>
        <v>10085.15</v>
      </c>
      <c r="Q616" s="369"/>
      <c r="R616" s="369"/>
      <c r="S616" s="385">
        <f>SUM(S617:S623)</f>
        <v>10085.15</v>
      </c>
      <c r="T616" s="363">
        <f>S616/$S$591</f>
        <v>0.10070604019554155</v>
      </c>
      <c r="U616" s="369"/>
      <c r="V616" s="363"/>
      <c r="W616" s="363">
        <f t="shared" ref="W616:X616" si="398">SUM(W617:W623)</f>
        <v>0.99673492079351111</v>
      </c>
      <c r="X616" s="369">
        <f t="shared" si="398"/>
        <v>0</v>
      </c>
      <c r="Y616" s="198">
        <f t="shared" si="397"/>
        <v>0</v>
      </c>
      <c r="AC616" s="267"/>
    </row>
    <row r="617" spans="8:29" x14ac:dyDescent="0.25">
      <c r="H617" s="268" t="s">
        <v>1064</v>
      </c>
      <c r="I617" s="397" t="s">
        <v>1034</v>
      </c>
      <c r="J617" s="372">
        <v>45127</v>
      </c>
      <c r="K617" s="372">
        <v>45232</v>
      </c>
      <c r="L617" s="268">
        <f t="shared" si="391"/>
        <v>106</v>
      </c>
      <c r="M617" s="268" t="s">
        <v>31</v>
      </c>
      <c r="N617" s="268">
        <v>1847.4</v>
      </c>
      <c r="O617" s="268"/>
      <c r="P617" s="268">
        <f t="shared" si="386"/>
        <v>2309.25</v>
      </c>
      <c r="Q617" s="268">
        <v>10</v>
      </c>
      <c r="R617" s="268">
        <f>((N617/L617)/80)*(10)</f>
        <v>2.1785377358490567</v>
      </c>
      <c r="S617" s="269">
        <f t="shared" si="379"/>
        <v>2309.25</v>
      </c>
      <c r="T617" s="357">
        <f>S617/$S$616</f>
        <v>0.22897527552887167</v>
      </c>
      <c r="U617" s="361">
        <f t="shared" si="380"/>
        <v>1</v>
      </c>
      <c r="V617" s="357">
        <f t="shared" ref="V617:V623" si="399">IFERROR(O617/N617,0)</f>
        <v>0</v>
      </c>
      <c r="W617" s="357">
        <f t="shared" ref="W617:W623" si="400">U617*$T617</f>
        <v>0.22897527552887167</v>
      </c>
      <c r="X617" s="357">
        <f t="shared" ref="X617:X623" si="401">V617*$T617</f>
        <v>0</v>
      </c>
      <c r="Y617" s="198">
        <f t="shared" si="397"/>
        <v>1847.4</v>
      </c>
      <c r="AC617" s="267"/>
    </row>
    <row r="618" spans="8:29" x14ac:dyDescent="0.25">
      <c r="H618" s="268" t="s">
        <v>1065</v>
      </c>
      <c r="I618" s="397" t="s">
        <v>1036</v>
      </c>
      <c r="J618" s="372">
        <v>45139</v>
      </c>
      <c r="K618" s="372">
        <v>45256</v>
      </c>
      <c r="L618" s="268">
        <f t="shared" si="391"/>
        <v>118</v>
      </c>
      <c r="M618" s="268" t="s">
        <v>31</v>
      </c>
      <c r="N618" s="268">
        <v>900</v>
      </c>
      <c r="O618" s="268"/>
      <c r="P618" s="268">
        <f t="shared" si="386"/>
        <v>1124.9999999999998</v>
      </c>
      <c r="Q618" s="268">
        <v>10</v>
      </c>
      <c r="R618" s="268">
        <f>((N618/L618)/80)*(10)</f>
        <v>0.95338983050847448</v>
      </c>
      <c r="S618" s="269">
        <f t="shared" si="379"/>
        <v>1124.9999999999998</v>
      </c>
      <c r="T618" s="357">
        <f t="shared" ref="T618:T623" si="402">S618/$S$616</f>
        <v>0.1115501504687585</v>
      </c>
      <c r="U618" s="361">
        <f t="shared" si="380"/>
        <v>1</v>
      </c>
      <c r="V618" s="357">
        <f t="shared" si="399"/>
        <v>0</v>
      </c>
      <c r="W618" s="357">
        <f t="shared" si="400"/>
        <v>0.1115501504687585</v>
      </c>
      <c r="X618" s="357">
        <f t="shared" si="401"/>
        <v>0</v>
      </c>
      <c r="Y618" s="198">
        <f t="shared" si="397"/>
        <v>900</v>
      </c>
      <c r="AC618" s="267"/>
    </row>
    <row r="619" spans="8:29" x14ac:dyDescent="0.25">
      <c r="H619" s="268" t="s">
        <v>1066</v>
      </c>
      <c r="I619" s="397" t="s">
        <v>1038</v>
      </c>
      <c r="J619" s="372">
        <v>45186</v>
      </c>
      <c r="K619" s="372">
        <v>45267</v>
      </c>
      <c r="L619" s="268">
        <f t="shared" si="391"/>
        <v>82</v>
      </c>
      <c r="M619" s="268" t="s">
        <v>31</v>
      </c>
      <c r="N619" s="268">
        <v>32000</v>
      </c>
      <c r="O619" s="268"/>
      <c r="P619" s="268">
        <f t="shared" si="386"/>
        <v>1920.0000000000002</v>
      </c>
      <c r="Q619" s="268">
        <v>10</v>
      </c>
      <c r="R619" s="268">
        <f>((N619/L619)/1000)*(6)</f>
        <v>2.3414634146341466</v>
      </c>
      <c r="S619" s="269">
        <f t="shared" si="379"/>
        <v>1920.0000000000002</v>
      </c>
      <c r="T619" s="357">
        <f t="shared" si="402"/>
        <v>0.19037892346668123</v>
      </c>
      <c r="U619" s="361">
        <f t="shared" si="380"/>
        <v>1</v>
      </c>
      <c r="V619" s="357">
        <f t="shared" si="399"/>
        <v>0</v>
      </c>
      <c r="W619" s="357">
        <f t="shared" si="400"/>
        <v>0.19037892346668123</v>
      </c>
      <c r="X619" s="357">
        <f t="shared" si="401"/>
        <v>0</v>
      </c>
      <c r="Y619" s="198">
        <f t="shared" si="397"/>
        <v>32000</v>
      </c>
      <c r="AC619" s="267"/>
    </row>
    <row r="620" spans="8:29" x14ac:dyDescent="0.25">
      <c r="H620" s="268" t="s">
        <v>1067</v>
      </c>
      <c r="I620" s="397" t="s">
        <v>1040</v>
      </c>
      <c r="J620" s="372">
        <v>45204</v>
      </c>
      <c r="K620" s="372">
        <v>45274</v>
      </c>
      <c r="L620" s="268">
        <f t="shared" si="391"/>
        <v>71</v>
      </c>
      <c r="M620" s="268" t="s">
        <v>1184</v>
      </c>
      <c r="N620" s="268">
        <v>82</v>
      </c>
      <c r="O620" s="268"/>
      <c r="P620" s="268">
        <f t="shared" si="386"/>
        <v>328</v>
      </c>
      <c r="Q620" s="268">
        <v>10</v>
      </c>
      <c r="R620" s="268">
        <f>((N620/L620)/5)*(2)</f>
        <v>0.46197183098591549</v>
      </c>
      <c r="S620" s="269">
        <f t="shared" si="379"/>
        <v>328</v>
      </c>
      <c r="T620" s="357">
        <f t="shared" si="402"/>
        <v>3.252306609222471E-2</v>
      </c>
      <c r="U620" s="361">
        <f t="shared" si="380"/>
        <v>1</v>
      </c>
      <c r="V620" s="357">
        <f t="shared" si="399"/>
        <v>0</v>
      </c>
      <c r="W620" s="357">
        <f t="shared" si="400"/>
        <v>3.252306609222471E-2</v>
      </c>
      <c r="X620" s="357">
        <f t="shared" si="401"/>
        <v>0</v>
      </c>
      <c r="Y620" s="198">
        <f t="shared" si="397"/>
        <v>82</v>
      </c>
      <c r="AC620" s="267"/>
    </row>
    <row r="621" spans="8:29" x14ac:dyDescent="0.25">
      <c r="H621" s="268" t="s">
        <v>1068</v>
      </c>
      <c r="I621" s="397" t="s">
        <v>1042</v>
      </c>
      <c r="J621" s="372">
        <v>45210</v>
      </c>
      <c r="K621" s="372">
        <v>45280</v>
      </c>
      <c r="L621" s="268">
        <f t="shared" si="391"/>
        <v>71</v>
      </c>
      <c r="M621" s="268" t="s">
        <v>1184</v>
      </c>
      <c r="N621" s="268">
        <v>77</v>
      </c>
      <c r="O621" s="268"/>
      <c r="P621" s="268">
        <f t="shared" si="386"/>
        <v>385.00000000000006</v>
      </c>
      <c r="Q621" s="268">
        <v>10</v>
      </c>
      <c r="R621" s="268">
        <f>((N621/L621)/4)*(2)</f>
        <v>0.54225352112676062</v>
      </c>
      <c r="S621" s="269">
        <f t="shared" si="379"/>
        <v>385.00000000000006</v>
      </c>
      <c r="T621" s="357">
        <f t="shared" si="402"/>
        <v>3.8174940382641812E-2</v>
      </c>
      <c r="U621" s="361">
        <f t="shared" si="380"/>
        <v>1</v>
      </c>
      <c r="V621" s="357">
        <f t="shared" si="399"/>
        <v>0</v>
      </c>
      <c r="W621" s="357">
        <f t="shared" si="400"/>
        <v>3.8174940382641812E-2</v>
      </c>
      <c r="X621" s="357">
        <f t="shared" si="401"/>
        <v>0</v>
      </c>
      <c r="Y621" s="198">
        <f t="shared" si="397"/>
        <v>77</v>
      </c>
      <c r="AC621" s="267"/>
    </row>
    <row r="622" spans="8:29" x14ac:dyDescent="0.25">
      <c r="H622" s="268" t="s">
        <v>1069</v>
      </c>
      <c r="I622" s="397" t="s">
        <v>1046</v>
      </c>
      <c r="J622" s="372">
        <v>45222</v>
      </c>
      <c r="K622" s="372">
        <v>45280</v>
      </c>
      <c r="L622" s="268">
        <f t="shared" si="391"/>
        <v>59</v>
      </c>
      <c r="M622" s="268" t="s">
        <v>1184</v>
      </c>
      <c r="N622" s="268">
        <v>406.20000000000005</v>
      </c>
      <c r="O622" s="268"/>
      <c r="P622" s="268">
        <f t="shared" si="386"/>
        <v>3046.5</v>
      </c>
      <c r="Q622" s="268">
        <v>10</v>
      </c>
      <c r="R622" s="268">
        <f>((N622/L622)/4)*(3)</f>
        <v>5.1635593220338984</v>
      </c>
      <c r="S622" s="269">
        <f t="shared" si="379"/>
        <v>3046.5</v>
      </c>
      <c r="T622" s="357">
        <f t="shared" si="402"/>
        <v>0.30207780746939811</v>
      </c>
      <c r="U622" s="361">
        <f t="shared" si="380"/>
        <v>1</v>
      </c>
      <c r="V622" s="357">
        <f t="shared" si="399"/>
        <v>0</v>
      </c>
      <c r="W622" s="357">
        <f t="shared" si="400"/>
        <v>0.30207780746939811</v>
      </c>
      <c r="X622" s="357">
        <f t="shared" si="401"/>
        <v>0</v>
      </c>
      <c r="Y622" s="198">
        <f t="shared" si="397"/>
        <v>406.20000000000005</v>
      </c>
      <c r="AC622" s="267"/>
    </row>
    <row r="623" spans="8:29" x14ac:dyDescent="0.25">
      <c r="H623" s="268" t="s">
        <v>1070</v>
      </c>
      <c r="I623" s="397" t="s">
        <v>1044</v>
      </c>
      <c r="J623" s="372">
        <v>45228</v>
      </c>
      <c r="K623" s="372">
        <v>45286</v>
      </c>
      <c r="L623" s="268">
        <f t="shared" si="391"/>
        <v>59</v>
      </c>
      <c r="M623" s="268" t="s">
        <v>1184</v>
      </c>
      <c r="N623" s="268">
        <v>323.8</v>
      </c>
      <c r="O623" s="268"/>
      <c r="P623" s="268">
        <f t="shared" si="386"/>
        <v>971.4</v>
      </c>
      <c r="Q623" s="268">
        <v>10</v>
      </c>
      <c r="R623" s="268">
        <f>((N623/L623)/10)*(3)</f>
        <v>1.6464406779661016</v>
      </c>
      <c r="S623" s="269">
        <f t="shared" si="379"/>
        <v>971.4</v>
      </c>
      <c r="T623" s="357">
        <f t="shared" si="402"/>
        <v>9.6319836591424027E-2</v>
      </c>
      <c r="U623" s="361">
        <f t="shared" si="380"/>
        <v>0.96610169491525422</v>
      </c>
      <c r="V623" s="357">
        <f t="shared" si="399"/>
        <v>0</v>
      </c>
      <c r="W623" s="357">
        <f t="shared" si="400"/>
        <v>9.3054757384935072E-2</v>
      </c>
      <c r="X623" s="357">
        <f t="shared" si="401"/>
        <v>0</v>
      </c>
      <c r="Y623" s="198">
        <f t="shared" si="397"/>
        <v>312.82372881355934</v>
      </c>
      <c r="AC623" s="267"/>
    </row>
    <row r="624" spans="8:29" x14ac:dyDescent="0.25">
      <c r="H624" s="518" t="s">
        <v>1071</v>
      </c>
      <c r="I624" s="519"/>
      <c r="J624" s="370">
        <v>44958</v>
      </c>
      <c r="K624" s="370">
        <v>45218</v>
      </c>
      <c r="L624" s="369">
        <f t="shared" si="391"/>
        <v>261</v>
      </c>
      <c r="M624" s="369"/>
      <c r="N624" s="369"/>
      <c r="O624" s="369"/>
      <c r="P624" s="369">
        <f>P625+P633+P641</f>
        <v>49718.69</v>
      </c>
      <c r="Q624" s="369"/>
      <c r="R624" s="369"/>
      <c r="S624" s="385">
        <f>S625+S633+S641</f>
        <v>49718.69</v>
      </c>
      <c r="T624" s="363">
        <f>S624/$S$591</f>
        <v>0.49646979902229221</v>
      </c>
      <c r="U624" s="369"/>
      <c r="V624" s="363"/>
      <c r="W624" s="363">
        <f>W625*T625+W633*T633+W641*T641</f>
        <v>1</v>
      </c>
      <c r="X624" s="363">
        <f>X625*T625+X633*T633+X641*T641</f>
        <v>0</v>
      </c>
      <c r="Y624" s="198">
        <f t="shared" si="397"/>
        <v>0</v>
      </c>
      <c r="AC624" s="267"/>
    </row>
    <row r="625" spans="8:29" x14ac:dyDescent="0.25">
      <c r="H625" s="520" t="s">
        <v>1072</v>
      </c>
      <c r="I625" s="521"/>
      <c r="J625" s="375">
        <v>44958</v>
      </c>
      <c r="K625" s="375">
        <v>45166</v>
      </c>
      <c r="L625" s="374">
        <f t="shared" si="391"/>
        <v>209</v>
      </c>
      <c r="M625" s="374"/>
      <c r="N625" s="374"/>
      <c r="O625" s="374"/>
      <c r="P625" s="374">
        <f>SUM(P626:P632)</f>
        <v>16572.896666666667</v>
      </c>
      <c r="Q625" s="374"/>
      <c r="R625" s="374"/>
      <c r="S625" s="386">
        <f>SUM(S626:S632)</f>
        <v>16572.896666666667</v>
      </c>
      <c r="T625" s="376">
        <f>S625/$S$624</f>
        <v>0.33333333333333331</v>
      </c>
      <c r="U625" s="380"/>
      <c r="V625" s="376"/>
      <c r="W625" s="376">
        <f t="shared" ref="W625:X625" si="403">SUM(W626:W632)</f>
        <v>1</v>
      </c>
      <c r="X625" s="374">
        <f t="shared" si="403"/>
        <v>0</v>
      </c>
      <c r="Y625" s="198">
        <f t="shared" si="397"/>
        <v>0</v>
      </c>
      <c r="AC625" s="267"/>
    </row>
    <row r="626" spans="8:29" x14ac:dyDescent="0.25">
      <c r="H626" s="268" t="s">
        <v>1073</v>
      </c>
      <c r="I626" s="397" t="s">
        <v>1034</v>
      </c>
      <c r="J626" s="372">
        <v>44958</v>
      </c>
      <c r="K626" s="372">
        <v>45052</v>
      </c>
      <c r="L626" s="268">
        <f t="shared" si="391"/>
        <v>95</v>
      </c>
      <c r="M626" s="268" t="s">
        <v>31</v>
      </c>
      <c r="N626" s="268">
        <f>8349/3</f>
        <v>2783</v>
      </c>
      <c r="O626" s="268"/>
      <c r="P626" s="268">
        <f t="shared" si="386"/>
        <v>3478.75</v>
      </c>
      <c r="Q626" s="268">
        <v>10</v>
      </c>
      <c r="R626" s="268">
        <f>((N626/L626)/80)*(10)</f>
        <v>3.6618421052631578</v>
      </c>
      <c r="S626" s="269">
        <f t="shared" ref="S626:S665" si="404">P626</f>
        <v>3478.75</v>
      </c>
      <c r="T626" s="357">
        <f>S626/$S$625</f>
        <v>0.20990597298520938</v>
      </c>
      <c r="U626" s="361">
        <f t="shared" ref="U626:U685" si="405">IF($J626&gt;U$5,0,IF($K626&lt;U$5,1,IF(U$5=$K626,1,((U$5-$J626+1)/($K626-$J626+1)))))</f>
        <v>1</v>
      </c>
      <c r="V626" s="357">
        <f t="shared" ref="V626:V632" si="406">IFERROR(O626/N626,0)</f>
        <v>0</v>
      </c>
      <c r="W626" s="357">
        <f t="shared" ref="W626:W632" si="407">U626*$T626</f>
        <v>0.20990597298520938</v>
      </c>
      <c r="X626" s="357">
        <f t="shared" ref="X626:X632" si="408">V626*$T626</f>
        <v>0</v>
      </c>
      <c r="Y626" s="198">
        <f t="shared" si="397"/>
        <v>2783</v>
      </c>
      <c r="AC626" s="267"/>
    </row>
    <row r="627" spans="8:29" x14ac:dyDescent="0.25">
      <c r="H627" s="268" t="s">
        <v>1074</v>
      </c>
      <c r="I627" s="397" t="s">
        <v>1036</v>
      </c>
      <c r="J627" s="372">
        <v>44970</v>
      </c>
      <c r="K627" s="372">
        <v>45075</v>
      </c>
      <c r="L627" s="268">
        <f t="shared" si="391"/>
        <v>106</v>
      </c>
      <c r="M627" s="268" t="s">
        <v>31</v>
      </c>
      <c r="N627" s="268">
        <f>2000/3</f>
        <v>666.66666666666663</v>
      </c>
      <c r="O627" s="268"/>
      <c r="P627" s="268">
        <f t="shared" si="386"/>
        <v>833.33333333333326</v>
      </c>
      <c r="Q627" s="268">
        <v>10</v>
      </c>
      <c r="R627" s="268">
        <f>((N627/L627)/80)*(10)</f>
        <v>0.78616352201257855</v>
      </c>
      <c r="S627" s="269">
        <f t="shared" si="404"/>
        <v>833.33333333333326</v>
      </c>
      <c r="T627" s="357">
        <f t="shared" ref="T627:T632" si="409">S627/$S$625</f>
        <v>5.0282901661326949E-2</v>
      </c>
      <c r="U627" s="361">
        <f t="shared" si="405"/>
        <v>1</v>
      </c>
      <c r="V627" s="357">
        <f t="shared" si="406"/>
        <v>0</v>
      </c>
      <c r="W627" s="357">
        <f t="shared" si="407"/>
        <v>5.0282901661326949E-2</v>
      </c>
      <c r="X627" s="357">
        <f t="shared" si="408"/>
        <v>0</v>
      </c>
      <c r="Y627" s="198">
        <f t="shared" si="397"/>
        <v>666.66666666666663</v>
      </c>
      <c r="AC627" s="267"/>
    </row>
    <row r="628" spans="8:29" x14ac:dyDescent="0.25">
      <c r="H628" s="268" t="s">
        <v>1075</v>
      </c>
      <c r="I628" s="397" t="s">
        <v>1038</v>
      </c>
      <c r="J628" s="372">
        <v>44982</v>
      </c>
      <c r="K628" s="372">
        <v>45098</v>
      </c>
      <c r="L628" s="268">
        <f t="shared" si="391"/>
        <v>117</v>
      </c>
      <c r="M628" s="268" t="s">
        <v>31</v>
      </c>
      <c r="N628" s="268">
        <f>(157124+16000+500+11000)/3</f>
        <v>61541.333333333336</v>
      </c>
      <c r="O628" s="268"/>
      <c r="P628" s="268">
        <f t="shared" si="386"/>
        <v>3692.48</v>
      </c>
      <c r="Q628" s="268">
        <v>10</v>
      </c>
      <c r="R628" s="268">
        <f>((N628/L628)/1000)*(6)</f>
        <v>3.1559658119658121</v>
      </c>
      <c r="S628" s="269">
        <f t="shared" si="404"/>
        <v>3692.48</v>
      </c>
      <c r="T628" s="357">
        <f t="shared" si="409"/>
        <v>0.22280233047169987</v>
      </c>
      <c r="U628" s="361">
        <f t="shared" si="405"/>
        <v>1</v>
      </c>
      <c r="V628" s="357">
        <f t="shared" si="406"/>
        <v>0</v>
      </c>
      <c r="W628" s="357">
        <f t="shared" si="407"/>
        <v>0.22280233047169987</v>
      </c>
      <c r="X628" s="357">
        <f t="shared" si="408"/>
        <v>0</v>
      </c>
      <c r="Y628" s="198">
        <f t="shared" si="397"/>
        <v>61541.333333333336</v>
      </c>
      <c r="AC628" s="267"/>
    </row>
    <row r="629" spans="8:29" x14ac:dyDescent="0.25">
      <c r="H629" s="268" t="s">
        <v>1076</v>
      </c>
      <c r="I629" s="397" t="s">
        <v>1040</v>
      </c>
      <c r="J629" s="372">
        <v>45035</v>
      </c>
      <c r="K629" s="372">
        <v>45116</v>
      </c>
      <c r="L629" s="268">
        <f t="shared" si="391"/>
        <v>82</v>
      </c>
      <c r="M629" s="268" t="s">
        <v>1184</v>
      </c>
      <c r="N629" s="268">
        <f>318/3</f>
        <v>106</v>
      </c>
      <c r="O629" s="268"/>
      <c r="P629" s="268">
        <f t="shared" si="386"/>
        <v>424</v>
      </c>
      <c r="Q629" s="268">
        <v>10</v>
      </c>
      <c r="R629" s="268">
        <f>((N629/L629)/5)*(2)</f>
        <v>0.51707317073170733</v>
      </c>
      <c r="S629" s="269">
        <f t="shared" si="404"/>
        <v>424</v>
      </c>
      <c r="T629" s="357">
        <f t="shared" si="409"/>
        <v>2.5583940365283154E-2</v>
      </c>
      <c r="U629" s="361">
        <f t="shared" si="405"/>
        <v>1</v>
      </c>
      <c r="V629" s="357">
        <f t="shared" si="406"/>
        <v>0</v>
      </c>
      <c r="W629" s="357">
        <f t="shared" si="407"/>
        <v>2.5583940365283154E-2</v>
      </c>
      <c r="X629" s="357">
        <f t="shared" si="408"/>
        <v>0</v>
      </c>
      <c r="Y629" s="198">
        <f t="shared" si="397"/>
        <v>106</v>
      </c>
      <c r="AC629" s="267"/>
    </row>
    <row r="630" spans="8:29" x14ac:dyDescent="0.25">
      <c r="H630" s="268" t="s">
        <v>1077</v>
      </c>
      <c r="I630" s="397" t="s">
        <v>1042</v>
      </c>
      <c r="J630" s="372">
        <v>45053</v>
      </c>
      <c r="K630" s="372">
        <v>45133</v>
      </c>
      <c r="L630" s="268">
        <f t="shared" si="391"/>
        <v>81</v>
      </c>
      <c r="M630" s="268" t="s">
        <v>1184</v>
      </c>
      <c r="N630" s="268">
        <f>1418/3</f>
        <v>472.66666666666669</v>
      </c>
      <c r="O630" s="268"/>
      <c r="P630" s="268">
        <f t="shared" si="386"/>
        <v>2363.3333333333335</v>
      </c>
      <c r="Q630" s="268">
        <v>10</v>
      </c>
      <c r="R630" s="268">
        <f>((N630/L630)/4)*(2)</f>
        <v>2.9176954732510287</v>
      </c>
      <c r="S630" s="269">
        <f t="shared" si="404"/>
        <v>2363.3333333333335</v>
      </c>
      <c r="T630" s="357">
        <f t="shared" si="409"/>
        <v>0.14260230911152325</v>
      </c>
      <c r="U630" s="361">
        <f t="shared" si="405"/>
        <v>1</v>
      </c>
      <c r="V630" s="357">
        <f t="shared" si="406"/>
        <v>0</v>
      </c>
      <c r="W630" s="357">
        <f t="shared" si="407"/>
        <v>0.14260230911152325</v>
      </c>
      <c r="X630" s="357">
        <f t="shared" si="408"/>
        <v>0</v>
      </c>
      <c r="Y630" s="198">
        <f t="shared" si="397"/>
        <v>472.66666666666669</v>
      </c>
      <c r="AC630" s="267"/>
    </row>
    <row r="631" spans="8:29" x14ac:dyDescent="0.25">
      <c r="H631" s="268" t="s">
        <v>1078</v>
      </c>
      <c r="I631" s="397" t="s">
        <v>1046</v>
      </c>
      <c r="J631" s="372">
        <v>45099</v>
      </c>
      <c r="K631" s="372">
        <v>45157</v>
      </c>
      <c r="L631" s="268">
        <f t="shared" si="391"/>
        <v>59</v>
      </c>
      <c r="M631" s="268" t="s">
        <v>1184</v>
      </c>
      <c r="N631" s="268">
        <f>1500/3</f>
        <v>500</v>
      </c>
      <c r="O631" s="268"/>
      <c r="P631" s="268">
        <f t="shared" si="386"/>
        <v>3750</v>
      </c>
      <c r="Q631" s="268">
        <v>10</v>
      </c>
      <c r="R631" s="268">
        <f>((N631/L631)/4)*(3)</f>
        <v>6.3559322033898304</v>
      </c>
      <c r="S631" s="269">
        <f t="shared" si="404"/>
        <v>3750</v>
      </c>
      <c r="T631" s="357">
        <f t="shared" si="409"/>
        <v>0.22627305747597129</v>
      </c>
      <c r="U631" s="361">
        <f t="shared" si="405"/>
        <v>1</v>
      </c>
      <c r="V631" s="357">
        <f t="shared" si="406"/>
        <v>0</v>
      </c>
      <c r="W631" s="357">
        <f t="shared" si="407"/>
        <v>0.22627305747597129</v>
      </c>
      <c r="X631" s="357">
        <f t="shared" si="408"/>
        <v>0</v>
      </c>
      <c r="Y631" s="198">
        <f t="shared" si="397"/>
        <v>500</v>
      </c>
      <c r="AC631" s="267"/>
    </row>
    <row r="632" spans="8:29" x14ac:dyDescent="0.25">
      <c r="H632" s="268" t="s">
        <v>1079</v>
      </c>
      <c r="I632" s="397" t="s">
        <v>1044</v>
      </c>
      <c r="J632" s="372">
        <v>45109</v>
      </c>
      <c r="K632" s="372">
        <v>45166</v>
      </c>
      <c r="L632" s="268">
        <f t="shared" si="391"/>
        <v>58</v>
      </c>
      <c r="M632" s="268" t="s">
        <v>1184</v>
      </c>
      <c r="N632" s="268">
        <f>2031/3</f>
        <v>677</v>
      </c>
      <c r="O632" s="268"/>
      <c r="P632" s="268">
        <f t="shared" si="386"/>
        <v>2031.0000000000002</v>
      </c>
      <c r="Q632" s="268">
        <v>10</v>
      </c>
      <c r="R632" s="268">
        <f>((N632/L632)/10)*(3)</f>
        <v>3.5017241379310349</v>
      </c>
      <c r="S632" s="269">
        <f t="shared" si="404"/>
        <v>2031.0000000000002</v>
      </c>
      <c r="T632" s="357">
        <f t="shared" si="409"/>
        <v>0.12254948792898607</v>
      </c>
      <c r="U632" s="361">
        <f t="shared" si="405"/>
        <v>1</v>
      </c>
      <c r="V632" s="357">
        <f t="shared" si="406"/>
        <v>0</v>
      </c>
      <c r="W632" s="357">
        <f t="shared" si="407"/>
        <v>0.12254948792898607</v>
      </c>
      <c r="X632" s="357">
        <f t="shared" si="408"/>
        <v>0</v>
      </c>
      <c r="Y632" s="198">
        <f t="shared" si="397"/>
        <v>677</v>
      </c>
      <c r="AC632" s="267"/>
    </row>
    <row r="633" spans="8:29" x14ac:dyDescent="0.25">
      <c r="H633" s="520" t="s">
        <v>1080</v>
      </c>
      <c r="I633" s="521"/>
      <c r="J633" s="375">
        <v>44990</v>
      </c>
      <c r="K633" s="375">
        <v>45190</v>
      </c>
      <c r="L633" s="374">
        <f t="shared" si="391"/>
        <v>201</v>
      </c>
      <c r="M633" s="374"/>
      <c r="N633" s="374"/>
      <c r="O633" s="374"/>
      <c r="P633" s="374">
        <f>SUM(P634:P640)</f>
        <v>16572.896666666667</v>
      </c>
      <c r="Q633" s="374"/>
      <c r="R633" s="374"/>
      <c r="S633" s="386">
        <f>SUM(S634:S640)</f>
        <v>16572.896666666667</v>
      </c>
      <c r="T633" s="376">
        <f>S633/$S$624</f>
        <v>0.33333333333333331</v>
      </c>
      <c r="U633" s="380"/>
      <c r="V633" s="376"/>
      <c r="W633" s="376">
        <f t="shared" ref="W633" si="410">SUM(W634:W640)</f>
        <v>1</v>
      </c>
      <c r="X633" s="374">
        <f t="shared" ref="X633" si="411">SUM(X634:X640)</f>
        <v>0</v>
      </c>
      <c r="Y633" s="198">
        <f t="shared" si="397"/>
        <v>0</v>
      </c>
      <c r="AC633" s="267"/>
    </row>
    <row r="634" spans="8:29" x14ac:dyDescent="0.25">
      <c r="H634" s="268" t="s">
        <v>1081</v>
      </c>
      <c r="I634" s="397" t="s">
        <v>1034</v>
      </c>
      <c r="J634" s="372">
        <v>44990</v>
      </c>
      <c r="K634" s="372">
        <v>45082</v>
      </c>
      <c r="L634" s="268">
        <f t="shared" si="391"/>
        <v>93</v>
      </c>
      <c r="M634" s="268" t="s">
        <v>31</v>
      </c>
      <c r="N634" s="268">
        <v>2783</v>
      </c>
      <c r="O634" s="268"/>
      <c r="P634" s="268">
        <f t="shared" ref="P634:P640" si="412">L634*Q634*R634</f>
        <v>3478.75</v>
      </c>
      <c r="Q634" s="268">
        <v>10</v>
      </c>
      <c r="R634" s="268">
        <f>((N634/L634)/80)*(10)</f>
        <v>3.7405913978494625</v>
      </c>
      <c r="S634" s="269">
        <f t="shared" si="404"/>
        <v>3478.75</v>
      </c>
      <c r="T634" s="357">
        <f>S634/$S$633</f>
        <v>0.20990597298520938</v>
      </c>
      <c r="U634" s="361">
        <f t="shared" si="405"/>
        <v>1</v>
      </c>
      <c r="V634" s="357">
        <f t="shared" ref="V634:V640" si="413">IFERROR(O634/N634,0)</f>
        <v>0</v>
      </c>
      <c r="W634" s="357">
        <f t="shared" ref="W634:W640" si="414">U634*$T634</f>
        <v>0.20990597298520938</v>
      </c>
      <c r="X634" s="357">
        <f t="shared" ref="X634:X640" si="415">V634*$T634</f>
        <v>0</v>
      </c>
      <c r="Y634" s="198">
        <f t="shared" si="397"/>
        <v>2783</v>
      </c>
      <c r="AC634" s="267"/>
    </row>
    <row r="635" spans="8:29" x14ac:dyDescent="0.25">
      <c r="H635" s="268" t="s">
        <v>1082</v>
      </c>
      <c r="I635" s="397" t="s">
        <v>1036</v>
      </c>
      <c r="J635" s="372">
        <v>45001</v>
      </c>
      <c r="K635" s="372">
        <v>45105</v>
      </c>
      <c r="L635" s="268">
        <f t="shared" si="391"/>
        <v>105</v>
      </c>
      <c r="M635" s="268" t="s">
        <v>31</v>
      </c>
      <c r="N635" s="268">
        <v>666.66666666666663</v>
      </c>
      <c r="O635" s="268"/>
      <c r="P635" s="268">
        <f t="shared" si="412"/>
        <v>833.33333333333326</v>
      </c>
      <c r="Q635" s="268">
        <v>10</v>
      </c>
      <c r="R635" s="268">
        <f>((N635/L635)/80)*(10)</f>
        <v>0.79365079365079361</v>
      </c>
      <c r="S635" s="269">
        <f t="shared" si="404"/>
        <v>833.33333333333326</v>
      </c>
      <c r="T635" s="357">
        <f t="shared" ref="T635:T640" si="416">S635/$S$633</f>
        <v>5.0282901661326949E-2</v>
      </c>
      <c r="U635" s="361">
        <f t="shared" si="405"/>
        <v>1</v>
      </c>
      <c r="V635" s="357">
        <f t="shared" si="413"/>
        <v>0</v>
      </c>
      <c r="W635" s="357">
        <f t="shared" si="414"/>
        <v>5.0282901661326949E-2</v>
      </c>
      <c r="X635" s="357">
        <f t="shared" si="415"/>
        <v>0</v>
      </c>
      <c r="Y635" s="198">
        <f t="shared" si="397"/>
        <v>666.66666666666663</v>
      </c>
      <c r="AC635" s="267"/>
    </row>
    <row r="636" spans="8:29" x14ac:dyDescent="0.25">
      <c r="H636" s="268" t="s">
        <v>1083</v>
      </c>
      <c r="I636" s="397" t="s">
        <v>1038</v>
      </c>
      <c r="J636" s="372">
        <v>45007</v>
      </c>
      <c r="K636" s="372">
        <v>45123</v>
      </c>
      <c r="L636" s="268">
        <f t="shared" si="391"/>
        <v>117</v>
      </c>
      <c r="M636" s="268" t="s">
        <v>31</v>
      </c>
      <c r="N636" s="268">
        <f>(157124+16000+500+11000)/3</f>
        <v>61541.333333333336</v>
      </c>
      <c r="O636" s="268"/>
      <c r="P636" s="268">
        <f t="shared" si="412"/>
        <v>3692.48</v>
      </c>
      <c r="Q636" s="268">
        <v>10</v>
      </c>
      <c r="R636" s="268">
        <f>((N636/L636)/1000)*(6)</f>
        <v>3.1559658119658121</v>
      </c>
      <c r="S636" s="269">
        <f t="shared" si="404"/>
        <v>3692.48</v>
      </c>
      <c r="T636" s="357">
        <f t="shared" si="416"/>
        <v>0.22280233047169987</v>
      </c>
      <c r="U636" s="361">
        <f t="shared" si="405"/>
        <v>1</v>
      </c>
      <c r="V636" s="357">
        <f t="shared" si="413"/>
        <v>0</v>
      </c>
      <c r="W636" s="357">
        <f t="shared" si="414"/>
        <v>0.22280233047169987</v>
      </c>
      <c r="X636" s="357">
        <f t="shared" si="415"/>
        <v>0</v>
      </c>
      <c r="Y636" s="198">
        <f t="shared" si="397"/>
        <v>61541.333333333336</v>
      </c>
      <c r="AC636" s="267"/>
    </row>
    <row r="637" spans="8:29" x14ac:dyDescent="0.25">
      <c r="H637" s="268" t="s">
        <v>1084</v>
      </c>
      <c r="I637" s="397" t="s">
        <v>1040</v>
      </c>
      <c r="J637" s="372">
        <v>45060</v>
      </c>
      <c r="K637" s="372">
        <v>45140</v>
      </c>
      <c r="L637" s="268">
        <f t="shared" si="391"/>
        <v>81</v>
      </c>
      <c r="M637" s="268" t="s">
        <v>1184</v>
      </c>
      <c r="N637" s="268">
        <v>106</v>
      </c>
      <c r="O637" s="268"/>
      <c r="P637" s="268">
        <f t="shared" si="412"/>
        <v>424</v>
      </c>
      <c r="Q637" s="268">
        <v>10</v>
      </c>
      <c r="R637" s="268">
        <f>((N637/L637)/5)*(2)</f>
        <v>0.52345679012345681</v>
      </c>
      <c r="S637" s="269">
        <f t="shared" si="404"/>
        <v>424</v>
      </c>
      <c r="T637" s="357">
        <f t="shared" si="416"/>
        <v>2.5583940365283154E-2</v>
      </c>
      <c r="U637" s="361">
        <f t="shared" si="405"/>
        <v>1</v>
      </c>
      <c r="V637" s="357">
        <f t="shared" si="413"/>
        <v>0</v>
      </c>
      <c r="W637" s="357">
        <f t="shared" si="414"/>
        <v>2.5583940365283154E-2</v>
      </c>
      <c r="X637" s="357">
        <f t="shared" si="415"/>
        <v>0</v>
      </c>
      <c r="Y637" s="198">
        <f t="shared" si="397"/>
        <v>106</v>
      </c>
      <c r="AC637" s="267"/>
    </row>
    <row r="638" spans="8:29" x14ac:dyDescent="0.25">
      <c r="H638" s="268" t="s">
        <v>1085</v>
      </c>
      <c r="I638" s="397" t="s">
        <v>1042</v>
      </c>
      <c r="J638" s="372">
        <v>45077</v>
      </c>
      <c r="K638" s="372">
        <v>45158</v>
      </c>
      <c r="L638" s="268">
        <f t="shared" si="391"/>
        <v>82</v>
      </c>
      <c r="M638" s="268" t="s">
        <v>1184</v>
      </c>
      <c r="N638" s="268">
        <v>472.66666666666669</v>
      </c>
      <c r="O638" s="268"/>
      <c r="P638" s="268">
        <f t="shared" si="412"/>
        <v>2363.3333333333335</v>
      </c>
      <c r="Q638" s="268">
        <v>10</v>
      </c>
      <c r="R638" s="268">
        <f>((N638/L638)/4)*(2)</f>
        <v>2.8821138211382116</v>
      </c>
      <c r="S638" s="269">
        <f t="shared" si="404"/>
        <v>2363.3333333333335</v>
      </c>
      <c r="T638" s="357">
        <f t="shared" si="416"/>
        <v>0.14260230911152325</v>
      </c>
      <c r="U638" s="361">
        <f t="shared" si="405"/>
        <v>1</v>
      </c>
      <c r="V638" s="357">
        <f t="shared" si="413"/>
        <v>0</v>
      </c>
      <c r="W638" s="357">
        <f t="shared" si="414"/>
        <v>0.14260230911152325</v>
      </c>
      <c r="X638" s="357">
        <f t="shared" si="415"/>
        <v>0</v>
      </c>
      <c r="Y638" s="198">
        <f t="shared" si="397"/>
        <v>472.66666666666669</v>
      </c>
      <c r="AC638" s="267"/>
    </row>
    <row r="639" spans="8:29" x14ac:dyDescent="0.25">
      <c r="H639" s="268" t="s">
        <v>1086</v>
      </c>
      <c r="I639" s="397" t="s">
        <v>1046</v>
      </c>
      <c r="J639" s="372">
        <v>45124</v>
      </c>
      <c r="K639" s="372">
        <v>45181</v>
      </c>
      <c r="L639" s="268">
        <f t="shared" si="391"/>
        <v>58</v>
      </c>
      <c r="M639" s="268" t="s">
        <v>1184</v>
      </c>
      <c r="N639" s="268">
        <v>500</v>
      </c>
      <c r="O639" s="268"/>
      <c r="P639" s="268">
        <f t="shared" si="412"/>
        <v>3750.0000000000005</v>
      </c>
      <c r="Q639" s="268">
        <v>10</v>
      </c>
      <c r="R639" s="268">
        <f>((N639/L639)/4)*(3)</f>
        <v>6.4655172413793114</v>
      </c>
      <c r="S639" s="269">
        <f t="shared" si="404"/>
        <v>3750.0000000000005</v>
      </c>
      <c r="T639" s="357">
        <f t="shared" si="416"/>
        <v>0.22627305747597132</v>
      </c>
      <c r="U639" s="361">
        <f t="shared" si="405"/>
        <v>1</v>
      </c>
      <c r="V639" s="357">
        <f t="shared" si="413"/>
        <v>0</v>
      </c>
      <c r="W639" s="357">
        <f t="shared" si="414"/>
        <v>0.22627305747597132</v>
      </c>
      <c r="X639" s="357">
        <f t="shared" si="415"/>
        <v>0</v>
      </c>
      <c r="Y639" s="198">
        <f t="shared" si="397"/>
        <v>500</v>
      </c>
      <c r="AC639" s="267"/>
    </row>
    <row r="640" spans="8:29" x14ac:dyDescent="0.25">
      <c r="H640" s="268" t="s">
        <v>1087</v>
      </c>
      <c r="I640" s="397" t="s">
        <v>1044</v>
      </c>
      <c r="J640" s="372">
        <v>45133</v>
      </c>
      <c r="K640" s="372">
        <v>45190</v>
      </c>
      <c r="L640" s="268">
        <f t="shared" si="391"/>
        <v>58</v>
      </c>
      <c r="M640" s="268" t="s">
        <v>1184</v>
      </c>
      <c r="N640" s="268">
        <f>N632</f>
        <v>677</v>
      </c>
      <c r="O640" s="268"/>
      <c r="P640" s="268">
        <f t="shared" si="412"/>
        <v>2031.0000000000002</v>
      </c>
      <c r="Q640" s="268">
        <v>10</v>
      </c>
      <c r="R640" s="268">
        <f>((N640/L640)/10)*(3)</f>
        <v>3.5017241379310349</v>
      </c>
      <c r="S640" s="269">
        <f t="shared" si="404"/>
        <v>2031.0000000000002</v>
      </c>
      <c r="T640" s="357">
        <f t="shared" si="416"/>
        <v>0.12254948792898607</v>
      </c>
      <c r="U640" s="361">
        <f t="shared" si="405"/>
        <v>1</v>
      </c>
      <c r="V640" s="357">
        <f t="shared" si="413"/>
        <v>0</v>
      </c>
      <c r="W640" s="357">
        <f t="shared" si="414"/>
        <v>0.12254948792898607</v>
      </c>
      <c r="X640" s="357">
        <f t="shared" si="415"/>
        <v>0</v>
      </c>
      <c r="Y640" s="198">
        <f t="shared" si="397"/>
        <v>677</v>
      </c>
      <c r="AC640" s="267"/>
    </row>
    <row r="641" spans="8:29" x14ac:dyDescent="0.25">
      <c r="H641" s="520" t="s">
        <v>1088</v>
      </c>
      <c r="I641" s="521"/>
      <c r="J641" s="375">
        <v>45005</v>
      </c>
      <c r="K641" s="375">
        <v>45218</v>
      </c>
      <c r="L641" s="374">
        <f t="shared" si="391"/>
        <v>214</v>
      </c>
      <c r="M641" s="374"/>
      <c r="N641" s="374"/>
      <c r="O641" s="374"/>
      <c r="P641" s="374">
        <f>SUM(P642:P648)</f>
        <v>16572.896666666667</v>
      </c>
      <c r="Q641" s="374"/>
      <c r="R641" s="374"/>
      <c r="S641" s="386">
        <f>SUM(S642:S648)</f>
        <v>16572.896666666667</v>
      </c>
      <c r="T641" s="376">
        <f>S641/$S$624</f>
        <v>0.33333333333333331</v>
      </c>
      <c r="U641" s="380"/>
      <c r="V641" s="376"/>
      <c r="W641" s="376">
        <f t="shared" ref="W641" si="417">SUM(W642:W648)</f>
        <v>1</v>
      </c>
      <c r="X641" s="374">
        <f t="shared" ref="X641" si="418">SUM(X642:X648)</f>
        <v>0</v>
      </c>
      <c r="Y641" s="198">
        <f t="shared" si="397"/>
        <v>0</v>
      </c>
      <c r="AC641" s="267"/>
    </row>
    <row r="642" spans="8:29" x14ac:dyDescent="0.25">
      <c r="H642" s="268" t="s">
        <v>1089</v>
      </c>
      <c r="I642" s="397" t="s">
        <v>1034</v>
      </c>
      <c r="J642" s="372">
        <v>45005</v>
      </c>
      <c r="K642" s="372">
        <v>45097</v>
      </c>
      <c r="L642" s="268">
        <f t="shared" si="391"/>
        <v>93</v>
      </c>
      <c r="M642" s="268" t="s">
        <v>31</v>
      </c>
      <c r="N642" s="268">
        <v>2783</v>
      </c>
      <c r="O642" s="268"/>
      <c r="P642" s="268">
        <f t="shared" ref="P642:P685" si="419">L642*Q642*R642</f>
        <v>3478.75</v>
      </c>
      <c r="Q642" s="268">
        <v>10</v>
      </c>
      <c r="R642" s="268">
        <f>((N642/L642)/80)*(10)</f>
        <v>3.7405913978494625</v>
      </c>
      <c r="S642" s="269">
        <f t="shared" si="404"/>
        <v>3478.75</v>
      </c>
      <c r="T642" s="357">
        <f>S642/$S$641</f>
        <v>0.20990597298520938</v>
      </c>
      <c r="U642" s="361">
        <f t="shared" si="405"/>
        <v>1</v>
      </c>
      <c r="V642" s="357">
        <f t="shared" ref="V642:V648" si="420">IFERROR(O642/N642,0)</f>
        <v>0</v>
      </c>
      <c r="W642" s="357">
        <f t="shared" ref="W642:W648" si="421">U642*$T642</f>
        <v>0.20990597298520938</v>
      </c>
      <c r="X642" s="357">
        <f t="shared" ref="X642:X648" si="422">V642*$T642</f>
        <v>0</v>
      </c>
      <c r="Y642" s="198">
        <f t="shared" si="397"/>
        <v>2783</v>
      </c>
      <c r="AC642" s="267"/>
    </row>
    <row r="643" spans="8:29" x14ac:dyDescent="0.25">
      <c r="H643" s="268" t="s">
        <v>1090</v>
      </c>
      <c r="I643" s="397" t="s">
        <v>1036</v>
      </c>
      <c r="J643" s="372">
        <v>45022</v>
      </c>
      <c r="K643" s="372">
        <v>45126</v>
      </c>
      <c r="L643" s="268">
        <f t="shared" si="391"/>
        <v>105</v>
      </c>
      <c r="M643" s="268" t="s">
        <v>31</v>
      </c>
      <c r="N643" s="268">
        <v>666.66666666666663</v>
      </c>
      <c r="O643" s="268"/>
      <c r="P643" s="268">
        <f t="shared" si="419"/>
        <v>833.33333333333326</v>
      </c>
      <c r="Q643" s="268">
        <v>10</v>
      </c>
      <c r="R643" s="268">
        <f>((N643/L643)/80)*(10)</f>
        <v>0.79365079365079361</v>
      </c>
      <c r="S643" s="269">
        <f t="shared" si="404"/>
        <v>833.33333333333326</v>
      </c>
      <c r="T643" s="357">
        <f t="shared" ref="T643:T648" si="423">S643/$S$641</f>
        <v>5.0282901661326949E-2</v>
      </c>
      <c r="U643" s="361">
        <f t="shared" si="405"/>
        <v>1</v>
      </c>
      <c r="V643" s="357">
        <f t="shared" si="420"/>
        <v>0</v>
      </c>
      <c r="W643" s="357">
        <f t="shared" si="421"/>
        <v>5.0282901661326949E-2</v>
      </c>
      <c r="X643" s="357">
        <f t="shared" si="422"/>
        <v>0</v>
      </c>
      <c r="Y643" s="198">
        <f t="shared" si="397"/>
        <v>666.66666666666663</v>
      </c>
      <c r="AC643" s="267"/>
    </row>
    <row r="644" spans="8:29" x14ac:dyDescent="0.25">
      <c r="H644" s="268" t="s">
        <v>1091</v>
      </c>
      <c r="I644" s="397" t="s">
        <v>1038</v>
      </c>
      <c r="J644" s="372">
        <v>45025</v>
      </c>
      <c r="K644" s="372">
        <v>45140</v>
      </c>
      <c r="L644" s="268">
        <f t="shared" si="391"/>
        <v>116</v>
      </c>
      <c r="M644" s="268" t="s">
        <v>31</v>
      </c>
      <c r="N644" s="268">
        <f>(157124+16000+500+11000)/3</f>
        <v>61541.333333333336</v>
      </c>
      <c r="O644" s="268"/>
      <c r="P644" s="268">
        <f t="shared" si="419"/>
        <v>3692.4800000000005</v>
      </c>
      <c r="Q644" s="268">
        <v>10</v>
      </c>
      <c r="R644" s="268">
        <f>((N644/L644)/1000)*(6)</f>
        <v>3.1831724137931037</v>
      </c>
      <c r="S644" s="269">
        <f t="shared" si="404"/>
        <v>3692.4800000000005</v>
      </c>
      <c r="T644" s="357">
        <f t="shared" si="423"/>
        <v>0.22280233047169989</v>
      </c>
      <c r="U644" s="361">
        <f t="shared" si="405"/>
        <v>1</v>
      </c>
      <c r="V644" s="357">
        <f t="shared" si="420"/>
        <v>0</v>
      </c>
      <c r="W644" s="357">
        <f t="shared" si="421"/>
        <v>0.22280233047169989</v>
      </c>
      <c r="X644" s="357">
        <f t="shared" si="422"/>
        <v>0</v>
      </c>
      <c r="Y644" s="198">
        <f t="shared" si="397"/>
        <v>61541.333333333336</v>
      </c>
      <c r="AC644" s="267"/>
    </row>
    <row r="645" spans="8:29" x14ac:dyDescent="0.25">
      <c r="H645" s="268" t="s">
        <v>1092</v>
      </c>
      <c r="I645" s="397" t="s">
        <v>1040</v>
      </c>
      <c r="J645" s="372">
        <v>45080</v>
      </c>
      <c r="K645" s="372">
        <v>45160</v>
      </c>
      <c r="L645" s="268">
        <f t="shared" si="391"/>
        <v>81</v>
      </c>
      <c r="M645" s="268" t="s">
        <v>1184</v>
      </c>
      <c r="N645" s="268">
        <v>106</v>
      </c>
      <c r="O645" s="268"/>
      <c r="P645" s="268">
        <f t="shared" si="419"/>
        <v>424</v>
      </c>
      <c r="Q645" s="268">
        <v>10</v>
      </c>
      <c r="R645" s="268">
        <f>((N645/L645)/5)*(2)</f>
        <v>0.52345679012345681</v>
      </c>
      <c r="S645" s="269">
        <f t="shared" si="404"/>
        <v>424</v>
      </c>
      <c r="T645" s="357">
        <f t="shared" si="423"/>
        <v>2.5583940365283154E-2</v>
      </c>
      <c r="U645" s="361">
        <f t="shared" si="405"/>
        <v>1</v>
      </c>
      <c r="V645" s="357">
        <f t="shared" si="420"/>
        <v>0</v>
      </c>
      <c r="W645" s="357">
        <f t="shared" si="421"/>
        <v>2.5583940365283154E-2</v>
      </c>
      <c r="X645" s="357">
        <f t="shared" si="422"/>
        <v>0</v>
      </c>
      <c r="Y645" s="198">
        <f t="shared" si="397"/>
        <v>106</v>
      </c>
      <c r="AC645" s="267"/>
    </row>
    <row r="646" spans="8:29" x14ac:dyDescent="0.25">
      <c r="H646" s="268" t="s">
        <v>1093</v>
      </c>
      <c r="I646" s="397" t="s">
        <v>1042</v>
      </c>
      <c r="J646" s="372">
        <v>45099</v>
      </c>
      <c r="K646" s="372">
        <v>45180</v>
      </c>
      <c r="L646" s="268">
        <f t="shared" si="391"/>
        <v>82</v>
      </c>
      <c r="M646" s="268" t="s">
        <v>1184</v>
      </c>
      <c r="N646" s="268">
        <v>472.66666666666669</v>
      </c>
      <c r="O646" s="268"/>
      <c r="P646" s="268">
        <f t="shared" si="419"/>
        <v>2363.3333333333335</v>
      </c>
      <c r="Q646" s="268">
        <v>10</v>
      </c>
      <c r="R646" s="268">
        <f>((N646/L646)/4)*(2)</f>
        <v>2.8821138211382116</v>
      </c>
      <c r="S646" s="269">
        <f t="shared" si="404"/>
        <v>2363.3333333333335</v>
      </c>
      <c r="T646" s="357">
        <f t="shared" si="423"/>
        <v>0.14260230911152325</v>
      </c>
      <c r="U646" s="361">
        <f t="shared" si="405"/>
        <v>1</v>
      </c>
      <c r="V646" s="357">
        <f t="shared" si="420"/>
        <v>0</v>
      </c>
      <c r="W646" s="357">
        <f t="shared" si="421"/>
        <v>0.14260230911152325</v>
      </c>
      <c r="X646" s="357">
        <f t="shared" si="422"/>
        <v>0</v>
      </c>
      <c r="Y646" s="198">
        <f t="shared" si="397"/>
        <v>472.66666666666669</v>
      </c>
      <c r="AC646" s="267"/>
    </row>
    <row r="647" spans="8:29" x14ac:dyDescent="0.25">
      <c r="H647" s="268" t="s">
        <v>1094</v>
      </c>
      <c r="I647" s="397" t="s">
        <v>1046</v>
      </c>
      <c r="J647" s="372">
        <v>45148</v>
      </c>
      <c r="K647" s="372">
        <v>45206</v>
      </c>
      <c r="L647" s="268">
        <f t="shared" si="391"/>
        <v>59</v>
      </c>
      <c r="M647" s="268" t="s">
        <v>1184</v>
      </c>
      <c r="N647" s="268">
        <v>500</v>
      </c>
      <c r="O647" s="268"/>
      <c r="P647" s="268">
        <f t="shared" si="419"/>
        <v>3750</v>
      </c>
      <c r="Q647" s="268">
        <v>10</v>
      </c>
      <c r="R647" s="268">
        <f>((N647/L647)/4)*(3)</f>
        <v>6.3559322033898304</v>
      </c>
      <c r="S647" s="269">
        <f t="shared" si="404"/>
        <v>3750</v>
      </c>
      <c r="T647" s="357">
        <f t="shared" si="423"/>
        <v>0.22627305747597129</v>
      </c>
      <c r="U647" s="361">
        <f t="shared" si="405"/>
        <v>1</v>
      </c>
      <c r="V647" s="357">
        <f t="shared" si="420"/>
        <v>0</v>
      </c>
      <c r="W647" s="357">
        <f t="shared" si="421"/>
        <v>0.22627305747597129</v>
      </c>
      <c r="X647" s="357">
        <f t="shared" si="422"/>
        <v>0</v>
      </c>
      <c r="Y647" s="198">
        <f t="shared" si="397"/>
        <v>500</v>
      </c>
      <c r="AC647" s="267"/>
    </row>
    <row r="648" spans="8:29" x14ac:dyDescent="0.25">
      <c r="H648" s="268" t="s">
        <v>1095</v>
      </c>
      <c r="I648" s="397" t="s">
        <v>1044</v>
      </c>
      <c r="J648" s="372">
        <v>45161</v>
      </c>
      <c r="K648" s="372">
        <v>45218</v>
      </c>
      <c r="L648" s="268">
        <f t="shared" si="391"/>
        <v>58</v>
      </c>
      <c r="M648" s="268" t="s">
        <v>1184</v>
      </c>
      <c r="N648" s="268">
        <f>N640</f>
        <v>677</v>
      </c>
      <c r="O648" s="268"/>
      <c r="P648" s="268">
        <f t="shared" si="419"/>
        <v>2031.0000000000002</v>
      </c>
      <c r="Q648" s="268">
        <v>10</v>
      </c>
      <c r="R648" s="268">
        <f>((N648/L648)/10)*(3)</f>
        <v>3.5017241379310349</v>
      </c>
      <c r="S648" s="269">
        <f t="shared" si="404"/>
        <v>2031.0000000000002</v>
      </c>
      <c r="T648" s="357">
        <f t="shared" si="423"/>
        <v>0.12254948792898607</v>
      </c>
      <c r="U648" s="361">
        <f t="shared" si="405"/>
        <v>1</v>
      </c>
      <c r="V648" s="357">
        <f t="shared" si="420"/>
        <v>0</v>
      </c>
      <c r="W648" s="357">
        <f t="shared" si="421"/>
        <v>0.12254948792898607</v>
      </c>
      <c r="X648" s="357">
        <f t="shared" si="422"/>
        <v>0</v>
      </c>
      <c r="Y648" s="198">
        <f t="shared" si="397"/>
        <v>677</v>
      </c>
      <c r="AC648" s="267"/>
    </row>
    <row r="649" spans="8:29" x14ac:dyDescent="0.25">
      <c r="H649" s="510" t="s">
        <v>1096</v>
      </c>
      <c r="I649" s="511"/>
      <c r="J649" s="392">
        <v>44943</v>
      </c>
      <c r="K649" s="392">
        <v>45190</v>
      </c>
      <c r="L649" s="368">
        <f t="shared" si="391"/>
        <v>248</v>
      </c>
      <c r="M649" s="368"/>
      <c r="N649" s="368"/>
      <c r="O649" s="368"/>
      <c r="P649" s="368">
        <f>SUM(P650:P665)</f>
        <v>7822.5</v>
      </c>
      <c r="Q649" s="368"/>
      <c r="R649" s="368"/>
      <c r="S649" s="400">
        <f>SUM(S650:S665)</f>
        <v>7822.5</v>
      </c>
      <c r="T649" s="356">
        <f>S649/S582</f>
        <v>4.057555931638443E-2</v>
      </c>
      <c r="U649" s="368"/>
      <c r="V649" s="356"/>
      <c r="W649" s="356">
        <f>SUM(W650:W665)</f>
        <v>1.0000000000000002</v>
      </c>
      <c r="X649" s="356">
        <f>SUM(X650:X665)</f>
        <v>0</v>
      </c>
      <c r="Y649" s="198">
        <f t="shared" si="397"/>
        <v>0</v>
      </c>
      <c r="AC649" s="267"/>
    </row>
    <row r="650" spans="8:29" x14ac:dyDescent="0.25">
      <c r="H650" s="268" t="s">
        <v>1097</v>
      </c>
      <c r="I650" s="397" t="s">
        <v>1098</v>
      </c>
      <c r="J650" s="372">
        <v>44943</v>
      </c>
      <c r="K650" s="372">
        <v>44990</v>
      </c>
      <c r="L650" s="268">
        <f t="shared" si="391"/>
        <v>48</v>
      </c>
      <c r="M650" s="268" t="s">
        <v>31</v>
      </c>
      <c r="N650" s="268">
        <v>1700</v>
      </c>
      <c r="O650" s="268"/>
      <c r="P650" s="268">
        <f t="shared" si="419"/>
        <v>2125</v>
      </c>
      <c r="Q650" s="268">
        <v>10</v>
      </c>
      <c r="R650" s="268">
        <f t="shared" ref="R650:R653" si="424">((N650/L650)/80)*(10)</f>
        <v>4.427083333333333</v>
      </c>
      <c r="S650" s="269">
        <f t="shared" si="404"/>
        <v>2125</v>
      </c>
      <c r="T650" s="357">
        <f>S650/$S$649</f>
        <v>0.27165228507510386</v>
      </c>
      <c r="U650" s="361">
        <f t="shared" si="405"/>
        <v>1</v>
      </c>
      <c r="V650" s="357">
        <f t="shared" ref="V650:V665" si="425">IFERROR(O650/N650,0)</f>
        <v>0</v>
      </c>
      <c r="W650" s="357">
        <f t="shared" ref="W650:W665" si="426">U650*$T650</f>
        <v>0.27165228507510386</v>
      </c>
      <c r="X650" s="357">
        <f t="shared" ref="X650:X665" si="427">V650*$T650</f>
        <v>0</v>
      </c>
      <c r="Y650" s="198">
        <f t="shared" si="397"/>
        <v>1700</v>
      </c>
      <c r="AC650" s="267"/>
    </row>
    <row r="651" spans="8:29" x14ac:dyDescent="0.25">
      <c r="H651" s="268" t="s">
        <v>1099</v>
      </c>
      <c r="I651" s="397" t="s">
        <v>1100</v>
      </c>
      <c r="J651" s="372">
        <v>44961</v>
      </c>
      <c r="K651" s="372">
        <v>45019</v>
      </c>
      <c r="L651" s="268">
        <f t="shared" si="391"/>
        <v>59</v>
      </c>
      <c r="M651" s="268" t="s">
        <v>31</v>
      </c>
      <c r="N651" s="268">
        <f>N650*1.3</f>
        <v>2210</v>
      </c>
      <c r="O651" s="268"/>
      <c r="P651" s="268">
        <f t="shared" si="419"/>
        <v>2762.5</v>
      </c>
      <c r="Q651" s="268">
        <v>10</v>
      </c>
      <c r="R651" s="268">
        <f t="shared" si="424"/>
        <v>4.6822033898305087</v>
      </c>
      <c r="S651" s="269">
        <f t="shared" si="404"/>
        <v>2762.5</v>
      </c>
      <c r="T651" s="357">
        <f t="shared" ref="T651:T665" si="428">S651/$S$649</f>
        <v>0.35314797059763503</v>
      </c>
      <c r="U651" s="361">
        <f t="shared" si="405"/>
        <v>1</v>
      </c>
      <c r="V651" s="357">
        <f t="shared" si="425"/>
        <v>0</v>
      </c>
      <c r="W651" s="357">
        <f t="shared" si="426"/>
        <v>0.35314797059763503</v>
      </c>
      <c r="X651" s="357">
        <f t="shared" si="427"/>
        <v>0</v>
      </c>
      <c r="Y651" s="198">
        <f t="shared" si="397"/>
        <v>2210</v>
      </c>
      <c r="AC651" s="267"/>
    </row>
    <row r="652" spans="8:29" x14ac:dyDescent="0.25">
      <c r="H652" s="268" t="s">
        <v>1101</v>
      </c>
      <c r="I652" s="397" t="s">
        <v>1102</v>
      </c>
      <c r="J652" s="372">
        <v>44978</v>
      </c>
      <c r="K652" s="372">
        <v>45048</v>
      </c>
      <c r="L652" s="268">
        <f t="shared" si="391"/>
        <v>71</v>
      </c>
      <c r="M652" s="268" t="s">
        <v>31</v>
      </c>
      <c r="N652" s="268">
        <v>5000</v>
      </c>
      <c r="O652" s="268"/>
      <c r="P652" s="268">
        <f t="shared" si="419"/>
        <v>299.99999999999994</v>
      </c>
      <c r="Q652" s="268">
        <v>10</v>
      </c>
      <c r="R652" s="268">
        <f>((N652/L652)/1000)*(6)</f>
        <v>0.42253521126760557</v>
      </c>
      <c r="S652" s="269">
        <f t="shared" si="404"/>
        <v>299.99999999999994</v>
      </c>
      <c r="T652" s="357">
        <f t="shared" si="428"/>
        <v>3.8350910834132307E-2</v>
      </c>
      <c r="U652" s="361">
        <f t="shared" si="405"/>
        <v>1</v>
      </c>
      <c r="V652" s="357">
        <f t="shared" si="425"/>
        <v>0</v>
      </c>
      <c r="W652" s="357">
        <f t="shared" si="426"/>
        <v>3.8350910834132307E-2</v>
      </c>
      <c r="X652" s="357">
        <f t="shared" si="427"/>
        <v>0</v>
      </c>
      <c r="Y652" s="198">
        <f t="shared" si="397"/>
        <v>5000</v>
      </c>
      <c r="AC652" s="267"/>
    </row>
    <row r="653" spans="8:29" x14ac:dyDescent="0.25">
      <c r="H653" s="268" t="s">
        <v>1103</v>
      </c>
      <c r="I653" s="397" t="s">
        <v>1104</v>
      </c>
      <c r="J653" s="372">
        <v>44990</v>
      </c>
      <c r="K653" s="372">
        <v>45048</v>
      </c>
      <c r="L653" s="268">
        <f t="shared" si="391"/>
        <v>59</v>
      </c>
      <c r="M653" s="268" t="s">
        <v>31</v>
      </c>
      <c r="N653" s="268">
        <v>500</v>
      </c>
      <c r="O653" s="268"/>
      <c r="P653" s="268">
        <f t="shared" si="419"/>
        <v>625</v>
      </c>
      <c r="Q653" s="268">
        <v>10</v>
      </c>
      <c r="R653" s="268">
        <f t="shared" si="424"/>
        <v>1.0593220338983051</v>
      </c>
      <c r="S653" s="269">
        <f t="shared" si="404"/>
        <v>625</v>
      </c>
      <c r="T653" s="357">
        <f t="shared" si="428"/>
        <v>7.9897730904442313E-2</v>
      </c>
      <c r="U653" s="361">
        <f t="shared" si="405"/>
        <v>1</v>
      </c>
      <c r="V653" s="357">
        <f t="shared" si="425"/>
        <v>0</v>
      </c>
      <c r="W653" s="357">
        <f t="shared" si="426"/>
        <v>7.9897730904442313E-2</v>
      </c>
      <c r="X653" s="357">
        <f t="shared" si="427"/>
        <v>0</v>
      </c>
      <c r="Y653" s="198">
        <f t="shared" si="397"/>
        <v>500</v>
      </c>
      <c r="AC653" s="267"/>
    </row>
    <row r="654" spans="8:29" x14ac:dyDescent="0.25">
      <c r="H654" s="268" t="s">
        <v>1105</v>
      </c>
      <c r="I654" s="397" t="s">
        <v>1106</v>
      </c>
      <c r="J654" s="372">
        <v>44990</v>
      </c>
      <c r="K654" s="372">
        <v>45054</v>
      </c>
      <c r="L654" s="268">
        <f t="shared" si="391"/>
        <v>65</v>
      </c>
      <c r="M654" s="268" t="s">
        <v>31</v>
      </c>
      <c r="N654" s="268">
        <v>3000</v>
      </c>
      <c r="O654" s="268"/>
      <c r="P654" s="268">
        <f t="shared" si="419"/>
        <v>180</v>
      </c>
      <c r="Q654" s="268">
        <v>10</v>
      </c>
      <c r="R654" s="268">
        <f>((N654/L654)/1000)*(6)</f>
        <v>0.27692307692307694</v>
      </c>
      <c r="S654" s="269">
        <f t="shared" si="404"/>
        <v>180</v>
      </c>
      <c r="T654" s="357">
        <f t="shared" si="428"/>
        <v>2.3010546500479387E-2</v>
      </c>
      <c r="U654" s="361">
        <f t="shared" si="405"/>
        <v>1</v>
      </c>
      <c r="V654" s="357">
        <f t="shared" si="425"/>
        <v>0</v>
      </c>
      <c r="W654" s="357">
        <f t="shared" si="426"/>
        <v>2.3010546500479387E-2</v>
      </c>
      <c r="X654" s="357">
        <f t="shared" si="427"/>
        <v>0</v>
      </c>
      <c r="Y654" s="198">
        <f t="shared" si="397"/>
        <v>3000</v>
      </c>
      <c r="AC654" s="267"/>
    </row>
    <row r="655" spans="8:29" x14ac:dyDescent="0.25">
      <c r="H655" s="268" t="s">
        <v>1107</v>
      </c>
      <c r="I655" s="397" t="s">
        <v>1108</v>
      </c>
      <c r="J655" s="372">
        <v>45041</v>
      </c>
      <c r="K655" s="372">
        <v>45081</v>
      </c>
      <c r="L655" s="268">
        <f t="shared" si="391"/>
        <v>41</v>
      </c>
      <c r="M655" s="268" t="s">
        <v>1184</v>
      </c>
      <c r="N655" s="268">
        <v>20</v>
      </c>
      <c r="O655" s="268"/>
      <c r="P655" s="268">
        <f t="shared" si="419"/>
        <v>80</v>
      </c>
      <c r="Q655" s="268">
        <v>10</v>
      </c>
      <c r="R655" s="268">
        <f>((N655/L655)/5)*(2)</f>
        <v>0.1951219512195122</v>
      </c>
      <c r="S655" s="269">
        <f t="shared" si="404"/>
        <v>80</v>
      </c>
      <c r="T655" s="357">
        <f t="shared" si="428"/>
        <v>1.0226909555768616E-2</v>
      </c>
      <c r="U655" s="361">
        <f t="shared" si="405"/>
        <v>1</v>
      </c>
      <c r="V655" s="357">
        <f t="shared" si="425"/>
        <v>0</v>
      </c>
      <c r="W655" s="357">
        <f t="shared" si="426"/>
        <v>1.0226909555768616E-2</v>
      </c>
      <c r="X655" s="357">
        <f t="shared" si="427"/>
        <v>0</v>
      </c>
      <c r="Y655" s="198">
        <f t="shared" si="397"/>
        <v>20</v>
      </c>
      <c r="AC655" s="267"/>
    </row>
    <row r="656" spans="8:29" x14ac:dyDescent="0.25">
      <c r="H656" s="268" t="s">
        <v>1109</v>
      </c>
      <c r="I656" s="397" t="s">
        <v>1196</v>
      </c>
      <c r="J656" s="372">
        <v>45049</v>
      </c>
      <c r="K656" s="372">
        <v>45089</v>
      </c>
      <c r="L656" s="268">
        <f t="shared" si="391"/>
        <v>41</v>
      </c>
      <c r="M656" s="268" t="s">
        <v>1184</v>
      </c>
      <c r="N656" s="268">
        <v>50</v>
      </c>
      <c r="O656" s="268"/>
      <c r="P656" s="268">
        <f t="shared" si="419"/>
        <v>250</v>
      </c>
      <c r="Q656" s="268">
        <v>10</v>
      </c>
      <c r="R656" s="268">
        <f>((N656/L656)/4)*(2)</f>
        <v>0.6097560975609756</v>
      </c>
      <c r="S656" s="269">
        <f t="shared" si="404"/>
        <v>250</v>
      </c>
      <c r="T656" s="357">
        <f t="shared" si="428"/>
        <v>3.1959092361776922E-2</v>
      </c>
      <c r="U656" s="361">
        <f t="shared" si="405"/>
        <v>1</v>
      </c>
      <c r="V656" s="357">
        <f t="shared" si="425"/>
        <v>0</v>
      </c>
      <c r="W656" s="357">
        <f t="shared" si="426"/>
        <v>3.1959092361776922E-2</v>
      </c>
      <c r="X656" s="357">
        <f t="shared" si="427"/>
        <v>0</v>
      </c>
      <c r="Y656" s="198">
        <f t="shared" si="397"/>
        <v>50</v>
      </c>
      <c r="AC656" s="267"/>
    </row>
    <row r="657" spans="8:29" x14ac:dyDescent="0.25">
      <c r="H657" s="268" t="s">
        <v>1110</v>
      </c>
      <c r="I657" s="397" t="s">
        <v>1111</v>
      </c>
      <c r="J657" s="372">
        <v>45076</v>
      </c>
      <c r="K657" s="372">
        <v>45098</v>
      </c>
      <c r="L657" s="268">
        <f t="shared" si="391"/>
        <v>23</v>
      </c>
      <c r="M657" s="268" t="s">
        <v>1184</v>
      </c>
      <c r="N657" s="268">
        <v>50</v>
      </c>
      <c r="O657" s="268"/>
      <c r="P657" s="268">
        <f t="shared" si="419"/>
        <v>200</v>
      </c>
      <c r="Q657" s="268">
        <v>10</v>
      </c>
      <c r="R657" s="268">
        <f>((N657/L657)/5)*(2)</f>
        <v>0.86956521739130432</v>
      </c>
      <c r="S657" s="269">
        <f t="shared" si="404"/>
        <v>200</v>
      </c>
      <c r="T657" s="357">
        <f t="shared" si="428"/>
        <v>2.5567273889421541E-2</v>
      </c>
      <c r="U657" s="361">
        <f t="shared" si="405"/>
        <v>1</v>
      </c>
      <c r="V657" s="357">
        <f t="shared" si="425"/>
        <v>0</v>
      </c>
      <c r="W657" s="357">
        <f t="shared" si="426"/>
        <v>2.5567273889421541E-2</v>
      </c>
      <c r="X657" s="357">
        <f t="shared" si="427"/>
        <v>0</v>
      </c>
      <c r="Y657" s="198">
        <f t="shared" si="397"/>
        <v>50</v>
      </c>
      <c r="AC657" s="267"/>
    </row>
    <row r="658" spans="8:29" x14ac:dyDescent="0.25">
      <c r="H658" s="268" t="s">
        <v>1112</v>
      </c>
      <c r="I658" s="397" t="s">
        <v>1195</v>
      </c>
      <c r="J658" s="372">
        <v>45071</v>
      </c>
      <c r="K658" s="372">
        <v>45099</v>
      </c>
      <c r="L658" s="268">
        <f t="shared" si="391"/>
        <v>29</v>
      </c>
      <c r="M658" s="268" t="s">
        <v>1184</v>
      </c>
      <c r="N658" s="268">
        <v>40</v>
      </c>
      <c r="O658" s="268"/>
      <c r="P658" s="268">
        <f t="shared" si="419"/>
        <v>200</v>
      </c>
      <c r="Q658" s="268">
        <v>10</v>
      </c>
      <c r="R658" s="268">
        <f>((N658/L658)/4)*(2)</f>
        <v>0.68965517241379315</v>
      </c>
      <c r="S658" s="269">
        <f t="shared" si="404"/>
        <v>200</v>
      </c>
      <c r="T658" s="357">
        <f t="shared" si="428"/>
        <v>2.5567273889421541E-2</v>
      </c>
      <c r="U658" s="361">
        <f t="shared" si="405"/>
        <v>1</v>
      </c>
      <c r="V658" s="357">
        <f t="shared" si="425"/>
        <v>0</v>
      </c>
      <c r="W658" s="357">
        <f t="shared" si="426"/>
        <v>2.5567273889421541E-2</v>
      </c>
      <c r="X658" s="357">
        <f t="shared" si="427"/>
        <v>0</v>
      </c>
      <c r="Y658" s="198">
        <f t="shared" si="397"/>
        <v>40</v>
      </c>
      <c r="AC658" s="267"/>
    </row>
    <row r="659" spans="8:29" x14ac:dyDescent="0.25">
      <c r="H659" s="268" t="s">
        <v>1113</v>
      </c>
      <c r="I659" s="397" t="s">
        <v>1114</v>
      </c>
      <c r="J659" s="372">
        <v>45083</v>
      </c>
      <c r="K659" s="372">
        <v>45130</v>
      </c>
      <c r="L659" s="268">
        <f t="shared" si="391"/>
        <v>48</v>
      </c>
      <c r="M659" s="268" t="s">
        <v>1184</v>
      </c>
      <c r="N659" s="268">
        <v>30</v>
      </c>
      <c r="O659" s="268"/>
      <c r="P659" s="268">
        <f t="shared" si="419"/>
        <v>120</v>
      </c>
      <c r="Q659" s="268">
        <v>10</v>
      </c>
      <c r="R659" s="268">
        <f>((N659/L659)/5)*(2)</f>
        <v>0.25</v>
      </c>
      <c r="S659" s="269">
        <f t="shared" si="404"/>
        <v>120</v>
      </c>
      <c r="T659" s="357">
        <f t="shared" si="428"/>
        <v>1.5340364333652923E-2</v>
      </c>
      <c r="U659" s="361">
        <f t="shared" si="405"/>
        <v>1</v>
      </c>
      <c r="V659" s="357">
        <f t="shared" si="425"/>
        <v>0</v>
      </c>
      <c r="W659" s="357">
        <f t="shared" si="426"/>
        <v>1.5340364333652923E-2</v>
      </c>
      <c r="X659" s="357">
        <f t="shared" si="427"/>
        <v>0</v>
      </c>
      <c r="Y659" s="198">
        <f t="shared" si="397"/>
        <v>30</v>
      </c>
      <c r="AC659" s="267"/>
    </row>
    <row r="660" spans="8:29" x14ac:dyDescent="0.25">
      <c r="H660" s="268" t="s">
        <v>1115</v>
      </c>
      <c r="I660" s="397" t="s">
        <v>1116</v>
      </c>
      <c r="J660" s="372">
        <v>45101</v>
      </c>
      <c r="K660" s="372">
        <v>45147</v>
      </c>
      <c r="L660" s="268">
        <f t="shared" si="391"/>
        <v>47</v>
      </c>
      <c r="M660" s="268" t="s">
        <v>1183</v>
      </c>
      <c r="N660" s="268">
        <v>100</v>
      </c>
      <c r="O660" s="268"/>
      <c r="P660" s="268">
        <f t="shared" si="419"/>
        <v>0</v>
      </c>
      <c r="Q660" s="268">
        <v>10</v>
      </c>
      <c r="R660" s="268"/>
      <c r="S660" s="269">
        <f t="shared" si="404"/>
        <v>0</v>
      </c>
      <c r="T660" s="357">
        <f t="shared" si="428"/>
        <v>0</v>
      </c>
      <c r="U660" s="361">
        <f t="shared" si="405"/>
        <v>1</v>
      </c>
      <c r="V660" s="357">
        <f t="shared" si="425"/>
        <v>0</v>
      </c>
      <c r="W660" s="357">
        <f t="shared" si="426"/>
        <v>0</v>
      </c>
      <c r="X660" s="357">
        <f t="shared" si="427"/>
        <v>0</v>
      </c>
      <c r="Y660" s="198">
        <f t="shared" si="397"/>
        <v>100</v>
      </c>
      <c r="AC660" s="267"/>
    </row>
    <row r="661" spans="8:29" x14ac:dyDescent="0.25">
      <c r="H661" s="268" t="s">
        <v>1117</v>
      </c>
      <c r="I661" s="397" t="s">
        <v>1118</v>
      </c>
      <c r="J661" s="372">
        <v>45099</v>
      </c>
      <c r="K661" s="372">
        <v>45168</v>
      </c>
      <c r="L661" s="268">
        <f t="shared" si="391"/>
        <v>70</v>
      </c>
      <c r="M661" s="268" t="s">
        <v>1184</v>
      </c>
      <c r="N661" s="268">
        <v>70</v>
      </c>
      <c r="O661" s="268"/>
      <c r="P661" s="268">
        <f t="shared" si="419"/>
        <v>525</v>
      </c>
      <c r="Q661" s="268">
        <v>10</v>
      </c>
      <c r="R661" s="268">
        <f>((N661/L661)/4)*(3)</f>
        <v>0.75</v>
      </c>
      <c r="S661" s="269">
        <f t="shared" si="404"/>
        <v>525</v>
      </c>
      <c r="T661" s="357">
        <f t="shared" si="428"/>
        <v>6.7114093959731544E-2</v>
      </c>
      <c r="U661" s="361">
        <f t="shared" si="405"/>
        <v>1</v>
      </c>
      <c r="V661" s="357">
        <f t="shared" si="425"/>
        <v>0</v>
      </c>
      <c r="W661" s="357">
        <f t="shared" si="426"/>
        <v>6.7114093959731544E-2</v>
      </c>
      <c r="X661" s="357">
        <f t="shared" si="427"/>
        <v>0</v>
      </c>
      <c r="Y661" s="198">
        <f t="shared" si="397"/>
        <v>70</v>
      </c>
      <c r="AC661" s="267"/>
    </row>
    <row r="662" spans="8:29" x14ac:dyDescent="0.25">
      <c r="H662" s="268" t="s">
        <v>1119</v>
      </c>
      <c r="I662" s="397" t="s">
        <v>1120</v>
      </c>
      <c r="J662" s="372">
        <v>45159</v>
      </c>
      <c r="K662" s="372">
        <v>45175</v>
      </c>
      <c r="L662" s="268">
        <f t="shared" si="391"/>
        <v>17</v>
      </c>
      <c r="M662" s="268" t="s">
        <v>1183</v>
      </c>
      <c r="N662" s="268">
        <v>100</v>
      </c>
      <c r="O662" s="268"/>
      <c r="P662" s="268">
        <f t="shared" si="419"/>
        <v>0</v>
      </c>
      <c r="Q662" s="268">
        <v>10</v>
      </c>
      <c r="R662" s="268"/>
      <c r="S662" s="269">
        <f t="shared" si="404"/>
        <v>0</v>
      </c>
      <c r="T662" s="357">
        <f t="shared" si="428"/>
        <v>0</v>
      </c>
      <c r="U662" s="361">
        <f t="shared" si="405"/>
        <v>1</v>
      </c>
      <c r="V662" s="357">
        <f t="shared" si="425"/>
        <v>0</v>
      </c>
      <c r="W662" s="357">
        <f t="shared" si="426"/>
        <v>0</v>
      </c>
      <c r="X662" s="357">
        <f t="shared" si="427"/>
        <v>0</v>
      </c>
      <c r="Y662" s="198">
        <f t="shared" si="397"/>
        <v>100</v>
      </c>
      <c r="AC662" s="267"/>
    </row>
    <row r="663" spans="8:29" x14ac:dyDescent="0.25">
      <c r="H663" s="268" t="s">
        <v>1121</v>
      </c>
      <c r="I663" s="397" t="s">
        <v>1122</v>
      </c>
      <c r="J663" s="372">
        <v>45153</v>
      </c>
      <c r="K663" s="372">
        <v>45187</v>
      </c>
      <c r="L663" s="268">
        <f t="shared" si="391"/>
        <v>35</v>
      </c>
      <c r="M663" s="268" t="s">
        <v>1184</v>
      </c>
      <c r="N663" s="268">
        <v>20</v>
      </c>
      <c r="O663" s="268"/>
      <c r="P663" s="268">
        <f t="shared" si="419"/>
        <v>80</v>
      </c>
      <c r="Q663" s="268">
        <v>10</v>
      </c>
      <c r="R663" s="268">
        <f>((N663/L663)/5)*(2)</f>
        <v>0.22857142857142856</v>
      </c>
      <c r="S663" s="269">
        <f t="shared" si="404"/>
        <v>80</v>
      </c>
      <c r="T663" s="357">
        <f t="shared" si="428"/>
        <v>1.0226909555768616E-2</v>
      </c>
      <c r="U663" s="361">
        <f t="shared" si="405"/>
        <v>1</v>
      </c>
      <c r="V663" s="357">
        <f t="shared" si="425"/>
        <v>0</v>
      </c>
      <c r="W663" s="357">
        <f t="shared" si="426"/>
        <v>1.0226909555768616E-2</v>
      </c>
      <c r="X663" s="357">
        <f t="shared" si="427"/>
        <v>0</v>
      </c>
      <c r="Y663" s="198">
        <f t="shared" si="397"/>
        <v>20</v>
      </c>
      <c r="AC663" s="267"/>
    </row>
    <row r="664" spans="8:29" x14ac:dyDescent="0.25">
      <c r="H664" s="268" t="s">
        <v>1123</v>
      </c>
      <c r="I664" s="397" t="s">
        <v>1124</v>
      </c>
      <c r="J664" s="372">
        <v>45131</v>
      </c>
      <c r="K664" s="372">
        <v>45188</v>
      </c>
      <c r="L664" s="268">
        <f t="shared" si="391"/>
        <v>58</v>
      </c>
      <c r="M664" s="268" t="s">
        <v>1184</v>
      </c>
      <c r="N664" s="268">
        <v>50</v>
      </c>
      <c r="O664" s="268"/>
      <c r="P664" s="268">
        <f t="shared" si="419"/>
        <v>375</v>
      </c>
      <c r="Q664" s="268">
        <v>10</v>
      </c>
      <c r="R664" s="268">
        <f>((N664/L664)/4)*(3)</f>
        <v>0.64655172413793105</v>
      </c>
      <c r="S664" s="269">
        <f t="shared" si="404"/>
        <v>375</v>
      </c>
      <c r="T664" s="357">
        <f t="shared" si="428"/>
        <v>4.793863854266539E-2</v>
      </c>
      <c r="U664" s="361">
        <f t="shared" si="405"/>
        <v>1</v>
      </c>
      <c r="V664" s="357">
        <f t="shared" si="425"/>
        <v>0</v>
      </c>
      <c r="W664" s="357">
        <f t="shared" si="426"/>
        <v>4.793863854266539E-2</v>
      </c>
      <c r="X664" s="357">
        <f t="shared" si="427"/>
        <v>0</v>
      </c>
      <c r="Y664" s="198">
        <f t="shared" si="397"/>
        <v>50</v>
      </c>
      <c r="AC664" s="267"/>
    </row>
    <row r="665" spans="8:29" x14ac:dyDescent="0.25">
      <c r="H665" s="268" t="s">
        <v>1125</v>
      </c>
      <c r="I665" s="397" t="s">
        <v>1126</v>
      </c>
      <c r="J665" s="372">
        <v>45174</v>
      </c>
      <c r="K665" s="372">
        <v>45190</v>
      </c>
      <c r="L665" s="268">
        <f t="shared" si="391"/>
        <v>17</v>
      </c>
      <c r="M665" s="268" t="s">
        <v>1183</v>
      </c>
      <c r="N665" s="268">
        <v>100</v>
      </c>
      <c r="O665" s="268"/>
      <c r="P665" s="268">
        <f t="shared" si="419"/>
        <v>0</v>
      </c>
      <c r="Q665" s="268">
        <v>10</v>
      </c>
      <c r="R665" s="268"/>
      <c r="S665" s="269">
        <f t="shared" si="404"/>
        <v>0</v>
      </c>
      <c r="T665" s="357">
        <f t="shared" si="428"/>
        <v>0</v>
      </c>
      <c r="U665" s="361">
        <f t="shared" si="405"/>
        <v>1</v>
      </c>
      <c r="V665" s="357">
        <f t="shared" si="425"/>
        <v>0</v>
      </c>
      <c r="W665" s="357">
        <f t="shared" si="426"/>
        <v>0</v>
      </c>
      <c r="X665" s="357">
        <f t="shared" si="427"/>
        <v>0</v>
      </c>
      <c r="Y665" s="198">
        <f t="shared" si="397"/>
        <v>100</v>
      </c>
      <c r="AC665" s="267"/>
    </row>
    <row r="666" spans="8:29" x14ac:dyDescent="0.25">
      <c r="H666" s="510" t="s">
        <v>1127</v>
      </c>
      <c r="I666" s="511"/>
      <c r="J666" s="392">
        <v>45134</v>
      </c>
      <c r="K666" s="392">
        <v>45321</v>
      </c>
      <c r="L666" s="368">
        <f t="shared" si="391"/>
        <v>188</v>
      </c>
      <c r="M666" s="368"/>
      <c r="N666" s="368"/>
      <c r="O666" s="368"/>
      <c r="P666" s="368">
        <f>SUM(P667:P673)</f>
        <v>42986.03</v>
      </c>
      <c r="Q666" s="368"/>
      <c r="R666" s="368"/>
      <c r="S666" s="400">
        <f>SUM(S667:S673)</f>
        <v>42986.03</v>
      </c>
      <c r="T666" s="356">
        <f>S666/S582</f>
        <v>0.2229699213858588</v>
      </c>
      <c r="U666" s="368"/>
      <c r="V666" s="356"/>
      <c r="W666" s="356">
        <f t="shared" ref="W666:X666" si="429">SUM(W667:W673)</f>
        <v>0.69323835693936042</v>
      </c>
      <c r="X666" s="356">
        <f t="shared" si="429"/>
        <v>0</v>
      </c>
      <c r="Y666" s="198">
        <f t="shared" si="397"/>
        <v>0</v>
      </c>
      <c r="AC666" s="267"/>
    </row>
    <row r="667" spans="8:29" x14ac:dyDescent="0.25">
      <c r="H667" s="268" t="s">
        <v>1128</v>
      </c>
      <c r="I667" s="397" t="s">
        <v>1129</v>
      </c>
      <c r="J667" s="372">
        <v>45134</v>
      </c>
      <c r="K667" s="372">
        <v>45286</v>
      </c>
      <c r="L667" s="268">
        <f t="shared" si="391"/>
        <v>153</v>
      </c>
      <c r="M667" s="268" t="s">
        <v>31</v>
      </c>
      <c r="N667" s="268">
        <v>9273</v>
      </c>
      <c r="O667" s="268"/>
      <c r="P667" s="268">
        <f t="shared" si="419"/>
        <v>11591.25</v>
      </c>
      <c r="Q667" s="268">
        <v>10</v>
      </c>
      <c r="R667" s="268">
        <f>((N667/L667)/80)*(10)</f>
        <v>7.5759803921568629</v>
      </c>
      <c r="S667" s="269">
        <f t="shared" ref="S667:S685" si="430">P667</f>
        <v>11591.25</v>
      </c>
      <c r="T667" s="357">
        <f>S667/$S$666</f>
        <v>0.269651558890179</v>
      </c>
      <c r="U667" s="361">
        <f t="shared" si="405"/>
        <v>0.98692810457516345</v>
      </c>
      <c r="V667" s="357">
        <f t="shared" ref="V667:V673" si="431">IFERROR(O667/N667,0)</f>
        <v>0</v>
      </c>
      <c r="W667" s="357">
        <f t="shared" ref="W667:W673" si="432">U667*$T667</f>
        <v>0.2661267019112224</v>
      </c>
      <c r="X667" s="357">
        <f t="shared" ref="X667:X673" si="433">V667*$T667</f>
        <v>0</v>
      </c>
      <c r="Y667" s="198">
        <f t="shared" si="397"/>
        <v>9151.7843137254913</v>
      </c>
      <c r="AC667" s="267"/>
    </row>
    <row r="668" spans="8:29" x14ac:dyDescent="0.25">
      <c r="H668" s="268" t="s">
        <v>1130</v>
      </c>
      <c r="I668" s="397" t="s">
        <v>1131</v>
      </c>
      <c r="J668" s="372">
        <v>45134</v>
      </c>
      <c r="K668" s="372">
        <v>45292</v>
      </c>
      <c r="L668" s="268">
        <f t="shared" si="391"/>
        <v>159</v>
      </c>
      <c r="M668" s="268" t="s">
        <v>31</v>
      </c>
      <c r="N668" s="268">
        <v>4500</v>
      </c>
      <c r="O668" s="268"/>
      <c r="P668" s="268">
        <f t="shared" si="419"/>
        <v>5624.9999999999991</v>
      </c>
      <c r="Q668" s="268">
        <v>10</v>
      </c>
      <c r="R668" s="268">
        <f>((N668/L668)/80)*(10)</f>
        <v>3.5377358490566033</v>
      </c>
      <c r="S668" s="269">
        <f t="shared" si="430"/>
        <v>5624.9999999999991</v>
      </c>
      <c r="T668" s="357">
        <f t="shared" ref="T668:T673" si="434">S668/$S$666</f>
        <v>0.1308564666241567</v>
      </c>
      <c r="U668" s="361">
        <f t="shared" si="405"/>
        <v>0.94968553459119498</v>
      </c>
      <c r="V668" s="357">
        <f t="shared" si="431"/>
        <v>0</v>
      </c>
      <c r="W668" s="357">
        <f t="shared" si="432"/>
        <v>0.12427249346067712</v>
      </c>
      <c r="X668" s="357">
        <f t="shared" si="433"/>
        <v>0</v>
      </c>
      <c r="Y668" s="198">
        <f t="shared" si="397"/>
        <v>4273.5849056603774</v>
      </c>
      <c r="AC668" s="267"/>
    </row>
    <row r="669" spans="8:29" x14ac:dyDescent="0.25">
      <c r="H669" s="268" t="s">
        <v>1132</v>
      </c>
      <c r="I669" s="397" t="s">
        <v>1133</v>
      </c>
      <c r="J669" s="372">
        <v>45152</v>
      </c>
      <c r="K669" s="372">
        <v>45304</v>
      </c>
      <c r="L669" s="268">
        <f t="shared" si="391"/>
        <v>153</v>
      </c>
      <c r="M669" s="268" t="s">
        <v>31</v>
      </c>
      <c r="N669" s="268">
        <f>149863+4500+5000</f>
        <v>159363</v>
      </c>
      <c r="O669" s="268"/>
      <c r="P669" s="268">
        <f t="shared" si="419"/>
        <v>9561.7799999999988</v>
      </c>
      <c r="Q669" s="268">
        <v>10</v>
      </c>
      <c r="R669" s="268">
        <f>((N669/L669)/1000)*(6)</f>
        <v>6.2495294117647049</v>
      </c>
      <c r="S669" s="269">
        <f t="shared" si="430"/>
        <v>9561.7799999999988</v>
      </c>
      <c r="T669" s="357">
        <f t="shared" si="434"/>
        <v>0.22243924363333853</v>
      </c>
      <c r="U669" s="361">
        <f t="shared" si="405"/>
        <v>0.86928104575163401</v>
      </c>
      <c r="V669" s="357">
        <f t="shared" si="431"/>
        <v>0</v>
      </c>
      <c r="W669" s="357">
        <f t="shared" si="432"/>
        <v>0.19336221832179101</v>
      </c>
      <c r="X669" s="357">
        <f t="shared" si="433"/>
        <v>0</v>
      </c>
      <c r="Y669" s="198">
        <f t="shared" si="397"/>
        <v>138531.23529411765</v>
      </c>
      <c r="AC669" s="267"/>
    </row>
    <row r="670" spans="8:29" x14ac:dyDescent="0.25">
      <c r="H670" s="268" t="s">
        <v>1134</v>
      </c>
      <c r="I670" s="397" t="s">
        <v>1135</v>
      </c>
      <c r="J670" s="372">
        <v>45253</v>
      </c>
      <c r="K670" s="372">
        <v>45312</v>
      </c>
      <c r="L670" s="268">
        <f t="shared" si="391"/>
        <v>60</v>
      </c>
      <c r="M670" s="268" t="s">
        <v>1184</v>
      </c>
      <c r="N670" s="268">
        <v>110</v>
      </c>
      <c r="O670" s="268"/>
      <c r="P670" s="268">
        <f t="shared" si="419"/>
        <v>439.99999999999994</v>
      </c>
      <c r="Q670" s="268">
        <v>10</v>
      </c>
      <c r="R670" s="268">
        <f>((N670/L670)/5)*(2)</f>
        <v>0.73333333333333328</v>
      </c>
      <c r="S670" s="269">
        <f t="shared" si="430"/>
        <v>439.99999999999994</v>
      </c>
      <c r="T670" s="357">
        <f t="shared" si="434"/>
        <v>1.0235883611489593E-2</v>
      </c>
      <c r="U670" s="361">
        <f t="shared" si="405"/>
        <v>0.53333333333333333</v>
      </c>
      <c r="V670" s="357">
        <f t="shared" si="431"/>
        <v>0</v>
      </c>
      <c r="W670" s="357">
        <f t="shared" si="432"/>
        <v>5.4591379261277832E-3</v>
      </c>
      <c r="X670" s="357">
        <f t="shared" si="433"/>
        <v>0</v>
      </c>
      <c r="Y670" s="198">
        <f t="shared" si="397"/>
        <v>58.666666666666664</v>
      </c>
      <c r="AC670" s="267"/>
    </row>
    <row r="671" spans="8:29" x14ac:dyDescent="0.25">
      <c r="H671" s="268" t="s">
        <v>1138</v>
      </c>
      <c r="I671" s="397" t="s">
        <v>1139</v>
      </c>
      <c r="J671" s="372">
        <v>45259</v>
      </c>
      <c r="K671" s="372">
        <v>45318</v>
      </c>
      <c r="L671" s="268">
        <f t="shared" ref="L671:L685" si="435">K671-J671+1</f>
        <v>60</v>
      </c>
      <c r="M671" s="268" t="s">
        <v>1184</v>
      </c>
      <c r="N671" s="268">
        <v>450</v>
      </c>
      <c r="O671" s="268"/>
      <c r="P671" s="268">
        <f t="shared" si="419"/>
        <v>2250</v>
      </c>
      <c r="Q671" s="268">
        <v>10</v>
      </c>
      <c r="R671" s="268">
        <f>((N671/L671)/4)*(2)</f>
        <v>3.75</v>
      </c>
      <c r="S671" s="269">
        <f t="shared" si="430"/>
        <v>2250</v>
      </c>
      <c r="T671" s="357">
        <f t="shared" si="434"/>
        <v>5.2342586649662695E-2</v>
      </c>
      <c r="U671" s="361">
        <f t="shared" si="405"/>
        <v>0.43333333333333335</v>
      </c>
      <c r="V671" s="357">
        <f t="shared" si="431"/>
        <v>0</v>
      </c>
      <c r="W671" s="357">
        <f t="shared" si="432"/>
        <v>2.2681787548187168E-2</v>
      </c>
      <c r="X671" s="357">
        <f t="shared" si="433"/>
        <v>0</v>
      </c>
      <c r="Y671" s="198">
        <f t="shared" si="397"/>
        <v>195</v>
      </c>
      <c r="AC671" s="267"/>
    </row>
    <row r="672" spans="8:29" x14ac:dyDescent="0.25">
      <c r="H672" s="268" t="s">
        <v>1136</v>
      </c>
      <c r="I672" s="397" t="s">
        <v>1137</v>
      </c>
      <c r="J672" s="372">
        <v>45271</v>
      </c>
      <c r="K672" s="372">
        <v>45318</v>
      </c>
      <c r="L672" s="268">
        <f>K672-J672+1</f>
        <v>48</v>
      </c>
      <c r="M672" s="268" t="s">
        <v>1184</v>
      </c>
      <c r="N672" s="268">
        <v>850</v>
      </c>
      <c r="O672" s="268"/>
      <c r="P672" s="268">
        <f>L672*Q672*R672</f>
        <v>6375</v>
      </c>
      <c r="Q672" s="268">
        <v>10</v>
      </c>
      <c r="R672" s="268">
        <f>((N672/L672)/4)*(3)</f>
        <v>13.28125</v>
      </c>
      <c r="S672" s="269">
        <f t="shared" si="430"/>
        <v>6375</v>
      </c>
      <c r="T672" s="357">
        <f t="shared" si="434"/>
        <v>0.14830399550737763</v>
      </c>
      <c r="U672" s="361">
        <f>IF($J672&gt;U$5,0,IF($K672&lt;U$5,1,IF(U$5=$K672,1,((U$5-$J672+1)/($K672-$J672+1)))))</f>
        <v>0.29166666666666669</v>
      </c>
      <c r="V672" s="357">
        <f>IFERROR(O672/N672,0)</f>
        <v>0</v>
      </c>
      <c r="W672" s="357">
        <f t="shared" si="432"/>
        <v>4.3255332022985149E-2</v>
      </c>
      <c r="X672" s="357">
        <f t="shared" si="433"/>
        <v>0</v>
      </c>
      <c r="Y672" s="198">
        <f t="shared" si="397"/>
        <v>247.91666666666669</v>
      </c>
      <c r="AC672" s="267"/>
    </row>
    <row r="673" spans="8:29" x14ac:dyDescent="0.25">
      <c r="H673" s="268" t="s">
        <v>1140</v>
      </c>
      <c r="I673" s="397" t="s">
        <v>1141</v>
      </c>
      <c r="J673" s="372">
        <v>45274</v>
      </c>
      <c r="K673" s="372">
        <v>45321</v>
      </c>
      <c r="L673" s="268">
        <f t="shared" si="435"/>
        <v>48</v>
      </c>
      <c r="M673" s="268" t="s">
        <v>1184</v>
      </c>
      <c r="N673" s="268">
        <v>2381</v>
      </c>
      <c r="O673" s="268"/>
      <c r="P673" s="268">
        <f t="shared" si="419"/>
        <v>7142.9999999999991</v>
      </c>
      <c r="Q673" s="268">
        <v>10</v>
      </c>
      <c r="R673" s="268">
        <f>((N673/L673)/10)*(3)</f>
        <v>14.881249999999998</v>
      </c>
      <c r="S673" s="269">
        <f t="shared" si="430"/>
        <v>7142.9999999999991</v>
      </c>
      <c r="T673" s="357">
        <f t="shared" si="434"/>
        <v>0.16617026508379582</v>
      </c>
      <c r="U673" s="361">
        <f t="shared" si="405"/>
        <v>0.22916666666666666</v>
      </c>
      <c r="V673" s="357">
        <f t="shared" si="431"/>
        <v>0</v>
      </c>
      <c r="W673" s="357">
        <f t="shared" si="432"/>
        <v>3.8080685748369876E-2</v>
      </c>
      <c r="X673" s="357">
        <f t="shared" si="433"/>
        <v>0</v>
      </c>
      <c r="Y673" s="198">
        <f t="shared" si="397"/>
        <v>545.64583333333326</v>
      </c>
      <c r="AC673" s="267"/>
    </row>
    <row r="674" spans="8:29" x14ac:dyDescent="0.25">
      <c r="H674" s="514" t="s">
        <v>1142</v>
      </c>
      <c r="I674" s="515"/>
      <c r="J674" s="378">
        <v>45171</v>
      </c>
      <c r="K674" s="378">
        <v>45452</v>
      </c>
      <c r="L674" s="377">
        <f t="shared" si="435"/>
        <v>282</v>
      </c>
      <c r="M674" s="377"/>
      <c r="N674" s="377"/>
      <c r="O674" s="377"/>
      <c r="P674" s="377">
        <f>SUM(P675:P685)</f>
        <v>40830</v>
      </c>
      <c r="Q674" s="377"/>
      <c r="R674" s="377"/>
      <c r="S674" s="387">
        <f>SUM(S675:S685)</f>
        <v>40830</v>
      </c>
      <c r="T674" s="393">
        <f>S674/S7</f>
        <v>1.8293326185182101E-2</v>
      </c>
      <c r="U674" s="382"/>
      <c r="V674" s="379"/>
      <c r="W674" s="379">
        <f>SUM(W675:W685)</f>
        <v>0.25544942444281166</v>
      </c>
      <c r="X674" s="379">
        <f>SUM(X675:X685)</f>
        <v>0</v>
      </c>
      <c r="Y674" s="198">
        <f t="shared" si="397"/>
        <v>0</v>
      </c>
      <c r="AC674" s="267"/>
    </row>
    <row r="675" spans="8:29" x14ac:dyDescent="0.25">
      <c r="H675" s="268" t="s">
        <v>1143</v>
      </c>
      <c r="I675" s="397" t="s">
        <v>1144</v>
      </c>
      <c r="J675" s="372">
        <v>45171</v>
      </c>
      <c r="K675" s="372">
        <v>45200</v>
      </c>
      <c r="L675" s="268">
        <f t="shared" si="435"/>
        <v>30</v>
      </c>
      <c r="M675" s="268" t="s">
        <v>1183</v>
      </c>
      <c r="N675" s="268">
        <v>100</v>
      </c>
      <c r="O675" s="268"/>
      <c r="P675" s="268">
        <f t="shared" si="419"/>
        <v>2100</v>
      </c>
      <c r="Q675" s="268">
        <v>10</v>
      </c>
      <c r="R675" s="268">
        <v>7</v>
      </c>
      <c r="S675" s="269">
        <f t="shared" si="430"/>
        <v>2100</v>
      </c>
      <c r="T675" s="357">
        <f>S675/$S$674</f>
        <v>5.1432770022042613E-2</v>
      </c>
      <c r="U675" s="361">
        <f t="shared" si="405"/>
        <v>1</v>
      </c>
      <c r="V675" s="357">
        <f t="shared" ref="V675:V685" si="436">IFERROR(O675/N675,0)</f>
        <v>0</v>
      </c>
      <c r="W675" s="357">
        <f t="shared" ref="W675:W685" si="437">U675*$T675</f>
        <v>5.1432770022042613E-2</v>
      </c>
      <c r="X675" s="357">
        <f t="shared" ref="X675:X685" si="438">V675*$T675</f>
        <v>0</v>
      </c>
      <c r="Y675" s="198">
        <f t="shared" si="397"/>
        <v>100</v>
      </c>
      <c r="AC675" s="267"/>
    </row>
    <row r="676" spans="8:29" x14ac:dyDescent="0.25">
      <c r="H676" s="268" t="s">
        <v>1145</v>
      </c>
      <c r="I676" s="397" t="s">
        <v>1146</v>
      </c>
      <c r="J676" s="372">
        <v>45200</v>
      </c>
      <c r="K676" s="372">
        <v>45230</v>
      </c>
      <c r="L676" s="268">
        <f t="shared" si="435"/>
        <v>31</v>
      </c>
      <c r="M676" s="268" t="s">
        <v>1183</v>
      </c>
      <c r="N676" s="268">
        <v>100</v>
      </c>
      <c r="O676" s="268"/>
      <c r="P676" s="268">
        <f t="shared" si="419"/>
        <v>2170</v>
      </c>
      <c r="Q676" s="268">
        <v>10</v>
      </c>
      <c r="R676" s="268">
        <v>7</v>
      </c>
      <c r="S676" s="269">
        <f t="shared" si="430"/>
        <v>2170</v>
      </c>
      <c r="T676" s="357">
        <f t="shared" ref="T676:T685" si="439">S676/$S$674</f>
        <v>5.3147195689444038E-2</v>
      </c>
      <c r="U676" s="361">
        <f t="shared" si="405"/>
        <v>1</v>
      </c>
      <c r="V676" s="357">
        <f t="shared" si="436"/>
        <v>0</v>
      </c>
      <c r="W676" s="357">
        <f t="shared" si="437"/>
        <v>5.3147195689444038E-2</v>
      </c>
      <c r="X676" s="357">
        <f t="shared" si="438"/>
        <v>0</v>
      </c>
      <c r="Y676" s="198">
        <f t="shared" si="397"/>
        <v>100</v>
      </c>
      <c r="AC676" s="267"/>
    </row>
    <row r="677" spans="8:29" x14ac:dyDescent="0.25">
      <c r="H677" s="268" t="s">
        <v>1147</v>
      </c>
      <c r="I677" s="397" t="s">
        <v>1148</v>
      </c>
      <c r="J677" s="372">
        <v>45214</v>
      </c>
      <c r="K677" s="372">
        <v>45260</v>
      </c>
      <c r="L677" s="268">
        <f t="shared" si="435"/>
        <v>47</v>
      </c>
      <c r="M677" s="268" t="s">
        <v>1183</v>
      </c>
      <c r="N677" s="268">
        <v>100</v>
      </c>
      <c r="O677" s="268"/>
      <c r="P677" s="268">
        <f t="shared" si="419"/>
        <v>3760</v>
      </c>
      <c r="Q677" s="268">
        <v>10</v>
      </c>
      <c r="R677" s="268">
        <v>8</v>
      </c>
      <c r="S677" s="269">
        <f t="shared" si="430"/>
        <v>3760</v>
      </c>
      <c r="T677" s="357">
        <f t="shared" si="439"/>
        <v>9.2089150134704881E-2</v>
      </c>
      <c r="U677" s="361">
        <f t="shared" si="405"/>
        <v>1</v>
      </c>
      <c r="V677" s="357">
        <f t="shared" si="436"/>
        <v>0</v>
      </c>
      <c r="W677" s="357">
        <f t="shared" si="437"/>
        <v>9.2089150134704881E-2</v>
      </c>
      <c r="X677" s="357">
        <f t="shared" si="438"/>
        <v>0</v>
      </c>
      <c r="Y677" s="198">
        <f t="shared" ref="Y677:Y685" si="440">+U677*N677</f>
        <v>100</v>
      </c>
      <c r="AC677" s="267"/>
    </row>
    <row r="678" spans="8:29" x14ac:dyDescent="0.25">
      <c r="H678" s="268" t="s">
        <v>1149</v>
      </c>
      <c r="I678" s="397" t="s">
        <v>1150</v>
      </c>
      <c r="J678" s="372">
        <v>45276</v>
      </c>
      <c r="K678" s="372">
        <v>45322</v>
      </c>
      <c r="L678" s="268">
        <f t="shared" si="435"/>
        <v>47</v>
      </c>
      <c r="M678" s="268" t="s">
        <v>1183</v>
      </c>
      <c r="N678" s="268">
        <v>100</v>
      </c>
      <c r="O678" s="268"/>
      <c r="P678" s="268">
        <f t="shared" si="419"/>
        <v>3760</v>
      </c>
      <c r="Q678" s="268">
        <v>10</v>
      </c>
      <c r="R678" s="268">
        <v>8</v>
      </c>
      <c r="S678" s="269">
        <f t="shared" si="430"/>
        <v>3760</v>
      </c>
      <c r="T678" s="357">
        <f t="shared" si="439"/>
        <v>9.2089150134704881E-2</v>
      </c>
      <c r="U678" s="361">
        <f t="shared" si="405"/>
        <v>0.19148936170212766</v>
      </c>
      <c r="V678" s="357">
        <f t="shared" si="436"/>
        <v>0</v>
      </c>
      <c r="W678" s="357">
        <f t="shared" si="437"/>
        <v>1.763409257898604E-2</v>
      </c>
      <c r="X678" s="357">
        <f t="shared" si="438"/>
        <v>0</v>
      </c>
      <c r="Y678" s="198">
        <f t="shared" si="440"/>
        <v>19.148936170212767</v>
      </c>
      <c r="AC678" s="267"/>
    </row>
    <row r="679" spans="8:29" x14ac:dyDescent="0.25">
      <c r="H679" s="268" t="s">
        <v>1151</v>
      </c>
      <c r="I679" s="397" t="s">
        <v>1152</v>
      </c>
      <c r="J679" s="372">
        <v>45276</v>
      </c>
      <c r="K679" s="372">
        <v>45322</v>
      </c>
      <c r="L679" s="268">
        <f t="shared" si="435"/>
        <v>47</v>
      </c>
      <c r="M679" s="268" t="s">
        <v>1183</v>
      </c>
      <c r="N679" s="268">
        <v>100</v>
      </c>
      <c r="O679" s="268"/>
      <c r="P679" s="268">
        <f t="shared" si="419"/>
        <v>3760</v>
      </c>
      <c r="Q679" s="268">
        <v>10</v>
      </c>
      <c r="R679" s="268">
        <v>8</v>
      </c>
      <c r="S679" s="269">
        <f t="shared" si="430"/>
        <v>3760</v>
      </c>
      <c r="T679" s="357">
        <f t="shared" si="439"/>
        <v>9.2089150134704881E-2</v>
      </c>
      <c r="U679" s="361">
        <f t="shared" si="405"/>
        <v>0.19148936170212766</v>
      </c>
      <c r="V679" s="357">
        <f t="shared" si="436"/>
        <v>0</v>
      </c>
      <c r="W679" s="357">
        <f t="shared" si="437"/>
        <v>1.763409257898604E-2</v>
      </c>
      <c r="X679" s="357">
        <f t="shared" si="438"/>
        <v>0</v>
      </c>
      <c r="Y679" s="198">
        <f t="shared" si="440"/>
        <v>19.148936170212767</v>
      </c>
      <c r="AC679" s="267"/>
    </row>
    <row r="680" spans="8:29" x14ac:dyDescent="0.25">
      <c r="H680" s="268" t="s">
        <v>1153</v>
      </c>
      <c r="I680" s="397" t="s">
        <v>1154</v>
      </c>
      <c r="J680" s="372">
        <v>45297</v>
      </c>
      <c r="K680" s="372">
        <v>45326</v>
      </c>
      <c r="L680" s="268">
        <f t="shared" si="435"/>
        <v>30</v>
      </c>
      <c r="M680" s="268" t="s">
        <v>1183</v>
      </c>
      <c r="N680" s="268">
        <v>100</v>
      </c>
      <c r="O680" s="268"/>
      <c r="P680" s="268">
        <f t="shared" si="419"/>
        <v>1800</v>
      </c>
      <c r="Q680" s="268">
        <v>10</v>
      </c>
      <c r="R680" s="268">
        <v>6</v>
      </c>
      <c r="S680" s="269">
        <f t="shared" si="430"/>
        <v>1800</v>
      </c>
      <c r="T680" s="357">
        <f t="shared" si="439"/>
        <v>4.4085231447465102E-2</v>
      </c>
      <c r="U680" s="361">
        <f t="shared" si="405"/>
        <v>0</v>
      </c>
      <c r="V680" s="357">
        <f t="shared" si="436"/>
        <v>0</v>
      </c>
      <c r="W680" s="357">
        <f t="shared" si="437"/>
        <v>0</v>
      </c>
      <c r="X680" s="357">
        <f t="shared" si="438"/>
        <v>0</v>
      </c>
      <c r="Y680" s="198">
        <f t="shared" si="440"/>
        <v>0</v>
      </c>
      <c r="AC680" s="267"/>
    </row>
    <row r="681" spans="8:29" x14ac:dyDescent="0.25">
      <c r="H681" s="268" t="s">
        <v>1155</v>
      </c>
      <c r="I681" s="397" t="s">
        <v>1156</v>
      </c>
      <c r="J681" s="372">
        <v>45321</v>
      </c>
      <c r="K681" s="372">
        <v>45353</v>
      </c>
      <c r="L681" s="268">
        <f t="shared" si="435"/>
        <v>33</v>
      </c>
      <c r="M681" s="268" t="s">
        <v>1183</v>
      </c>
      <c r="N681" s="268">
        <v>100</v>
      </c>
      <c r="O681" s="268"/>
      <c r="P681" s="268">
        <f t="shared" si="419"/>
        <v>2640</v>
      </c>
      <c r="Q681" s="268">
        <v>10</v>
      </c>
      <c r="R681" s="268">
        <v>8</v>
      </c>
      <c r="S681" s="269">
        <f t="shared" si="430"/>
        <v>2640</v>
      </c>
      <c r="T681" s="357">
        <f t="shared" si="439"/>
        <v>6.4658339456282146E-2</v>
      </c>
      <c r="U681" s="361">
        <f t="shared" si="405"/>
        <v>0</v>
      </c>
      <c r="V681" s="357">
        <f t="shared" si="436"/>
        <v>0</v>
      </c>
      <c r="W681" s="357">
        <f t="shared" si="437"/>
        <v>0</v>
      </c>
      <c r="X681" s="357">
        <f t="shared" si="438"/>
        <v>0</v>
      </c>
      <c r="Y681" s="198">
        <f t="shared" si="440"/>
        <v>0</v>
      </c>
      <c r="AC681" s="267"/>
    </row>
    <row r="682" spans="8:29" x14ac:dyDescent="0.25">
      <c r="H682" s="268" t="s">
        <v>1157</v>
      </c>
      <c r="I682" s="397" t="s">
        <v>1158</v>
      </c>
      <c r="J682" s="372">
        <v>45326</v>
      </c>
      <c r="K682" s="372">
        <v>45357</v>
      </c>
      <c r="L682" s="268">
        <f t="shared" si="435"/>
        <v>32</v>
      </c>
      <c r="M682" s="268" t="s">
        <v>1183</v>
      </c>
      <c r="N682" s="268">
        <v>100</v>
      </c>
      <c r="O682" s="268"/>
      <c r="P682" s="268">
        <f t="shared" si="419"/>
        <v>2240</v>
      </c>
      <c r="Q682" s="268">
        <v>10</v>
      </c>
      <c r="R682" s="268">
        <v>7</v>
      </c>
      <c r="S682" s="269">
        <f t="shared" si="430"/>
        <v>2240</v>
      </c>
      <c r="T682" s="357">
        <f t="shared" si="439"/>
        <v>5.4861621356845455E-2</v>
      </c>
      <c r="U682" s="361">
        <f t="shared" si="405"/>
        <v>0</v>
      </c>
      <c r="V682" s="357">
        <f t="shared" si="436"/>
        <v>0</v>
      </c>
      <c r="W682" s="357">
        <f t="shared" si="437"/>
        <v>0</v>
      </c>
      <c r="X682" s="357">
        <f t="shared" si="438"/>
        <v>0</v>
      </c>
      <c r="Y682" s="198">
        <f t="shared" si="440"/>
        <v>0</v>
      </c>
      <c r="AC682" s="267"/>
    </row>
    <row r="683" spans="8:29" x14ac:dyDescent="0.25">
      <c r="H683" s="268" t="s">
        <v>1159</v>
      </c>
      <c r="I683" s="397" t="s">
        <v>1160</v>
      </c>
      <c r="J683" s="372">
        <v>45269</v>
      </c>
      <c r="K683" s="372">
        <v>45371</v>
      </c>
      <c r="L683" s="268">
        <f t="shared" si="435"/>
        <v>103</v>
      </c>
      <c r="M683" s="268" t="s">
        <v>1183</v>
      </c>
      <c r="N683" s="268">
        <v>100</v>
      </c>
      <c r="O683" s="268"/>
      <c r="P683" s="268">
        <f t="shared" si="419"/>
        <v>6180</v>
      </c>
      <c r="Q683" s="268">
        <v>10</v>
      </c>
      <c r="R683" s="268">
        <v>6</v>
      </c>
      <c r="S683" s="269">
        <f t="shared" si="430"/>
        <v>6180</v>
      </c>
      <c r="T683" s="357">
        <f t="shared" si="439"/>
        <v>0.15135929463629685</v>
      </c>
      <c r="U683" s="361">
        <f t="shared" si="405"/>
        <v>0.1553398058252427</v>
      </c>
      <c r="V683" s="357">
        <f t="shared" si="436"/>
        <v>0</v>
      </c>
      <c r="W683" s="357">
        <f t="shared" si="437"/>
        <v>2.3512123438648051E-2</v>
      </c>
      <c r="X683" s="357">
        <f t="shared" si="438"/>
        <v>0</v>
      </c>
      <c r="Y683" s="198">
        <f t="shared" si="440"/>
        <v>15.53398058252427</v>
      </c>
      <c r="AC683" s="267"/>
    </row>
    <row r="684" spans="8:29" x14ac:dyDescent="0.25">
      <c r="H684" s="268" t="s">
        <v>1161</v>
      </c>
      <c r="I684" s="397" t="s">
        <v>1162</v>
      </c>
      <c r="J684" s="372">
        <v>45325</v>
      </c>
      <c r="K684" s="372">
        <v>45427</v>
      </c>
      <c r="L684" s="268">
        <f t="shared" si="435"/>
        <v>103</v>
      </c>
      <c r="M684" s="268" t="s">
        <v>1183</v>
      </c>
      <c r="N684" s="268">
        <v>100</v>
      </c>
      <c r="O684" s="268"/>
      <c r="P684" s="268">
        <f t="shared" si="419"/>
        <v>6180</v>
      </c>
      <c r="Q684" s="268">
        <v>10</v>
      </c>
      <c r="R684" s="268">
        <v>6</v>
      </c>
      <c r="S684" s="269">
        <f t="shared" si="430"/>
        <v>6180</v>
      </c>
      <c r="T684" s="357">
        <f t="shared" si="439"/>
        <v>0.15135929463629685</v>
      </c>
      <c r="U684" s="361">
        <f t="shared" si="405"/>
        <v>0</v>
      </c>
      <c r="V684" s="357">
        <f t="shared" si="436"/>
        <v>0</v>
      </c>
      <c r="W684" s="357">
        <f t="shared" si="437"/>
        <v>0</v>
      </c>
      <c r="X684" s="357">
        <f t="shared" si="438"/>
        <v>0</v>
      </c>
      <c r="Y684" s="198">
        <f t="shared" si="440"/>
        <v>0</v>
      </c>
      <c r="AC684" s="267"/>
    </row>
    <row r="685" spans="8:29" x14ac:dyDescent="0.25">
      <c r="H685" s="268" t="s">
        <v>1163</v>
      </c>
      <c r="I685" s="397" t="s">
        <v>1164</v>
      </c>
      <c r="J685" s="372">
        <v>45349</v>
      </c>
      <c r="K685" s="372">
        <v>45452</v>
      </c>
      <c r="L685" s="268">
        <f t="shared" si="435"/>
        <v>104</v>
      </c>
      <c r="M685" s="268" t="s">
        <v>1183</v>
      </c>
      <c r="N685" s="268">
        <v>100</v>
      </c>
      <c r="O685" s="268"/>
      <c r="P685" s="268">
        <f t="shared" si="419"/>
        <v>6240</v>
      </c>
      <c r="Q685" s="268">
        <v>10</v>
      </c>
      <c r="R685" s="268">
        <v>6</v>
      </c>
      <c r="S685" s="269">
        <f t="shared" si="430"/>
        <v>6240</v>
      </c>
      <c r="T685" s="357">
        <f t="shared" si="439"/>
        <v>0.15282880235121235</v>
      </c>
      <c r="U685" s="361">
        <f t="shared" si="405"/>
        <v>0</v>
      </c>
      <c r="V685" s="357">
        <f t="shared" si="436"/>
        <v>0</v>
      </c>
      <c r="W685" s="357">
        <f t="shared" si="437"/>
        <v>0</v>
      </c>
      <c r="X685" s="357">
        <f t="shared" si="438"/>
        <v>0</v>
      </c>
      <c r="Y685" s="198">
        <f t="shared" si="440"/>
        <v>0</v>
      </c>
      <c r="AC685" s="267"/>
    </row>
  </sheetData>
  <autoFilter ref="H6:Y685" xr:uid="{00000000-0009-0000-0000-000009000000}"/>
  <mergeCells count="126">
    <mergeCell ref="H625:I625"/>
    <mergeCell ref="H624:I624"/>
    <mergeCell ref="H616:I616"/>
    <mergeCell ref="H608:I608"/>
    <mergeCell ref="H674:I674"/>
    <mergeCell ref="H666:I666"/>
    <mergeCell ref="H649:I649"/>
    <mergeCell ref="H641:I641"/>
    <mergeCell ref="H633:I633"/>
    <mergeCell ref="H578:I578"/>
    <mergeCell ref="H580:I580"/>
    <mergeCell ref="H600:I600"/>
    <mergeCell ref="H592:I592"/>
    <mergeCell ref="H591:I591"/>
    <mergeCell ref="H583:I583"/>
    <mergeCell ref="H582:I582"/>
    <mergeCell ref="H550:I550"/>
    <mergeCell ref="H551:I551"/>
    <mergeCell ref="H555:I555"/>
    <mergeCell ref="H557:I557"/>
    <mergeCell ref="H574:I574"/>
    <mergeCell ref="H576:I576"/>
    <mergeCell ref="H491:I491"/>
    <mergeCell ref="H498:I498"/>
    <mergeCell ref="H499:I499"/>
    <mergeCell ref="H516:I516"/>
    <mergeCell ref="H524:I524"/>
    <mergeCell ref="H541:I541"/>
    <mergeCell ref="H443:I443"/>
    <mergeCell ref="H450:I450"/>
    <mergeCell ref="H451:I451"/>
    <mergeCell ref="H466:I466"/>
    <mergeCell ref="H473:I473"/>
    <mergeCell ref="H474:I474"/>
    <mergeCell ref="H423:I423"/>
    <mergeCell ref="H416:I416"/>
    <mergeCell ref="H415:I415"/>
    <mergeCell ref="H412:I412"/>
    <mergeCell ref="H428:I428"/>
    <mergeCell ref="H427:I427"/>
    <mergeCell ref="H426:I426"/>
    <mergeCell ref="H424:I424"/>
    <mergeCell ref="H348:I348"/>
    <mergeCell ref="H346:I346"/>
    <mergeCell ref="H401:I401"/>
    <mergeCell ref="H396:I396"/>
    <mergeCell ref="H393:I393"/>
    <mergeCell ref="H392:I392"/>
    <mergeCell ref="H391:I391"/>
    <mergeCell ref="H389:I389"/>
    <mergeCell ref="H369:I369"/>
    <mergeCell ref="H368:I368"/>
    <mergeCell ref="H356:I356"/>
    <mergeCell ref="H352:I352"/>
    <mergeCell ref="H351:I351"/>
    <mergeCell ref="H350:I350"/>
    <mergeCell ref="H388:I388"/>
    <mergeCell ref="H385:I385"/>
    <mergeCell ref="H384:I384"/>
    <mergeCell ref="H382:I382"/>
    <mergeCell ref="H374:I374"/>
    <mergeCell ref="H370:I370"/>
    <mergeCell ref="H321:I321"/>
    <mergeCell ref="H327:I327"/>
    <mergeCell ref="H340:I340"/>
    <mergeCell ref="H334:I334"/>
    <mergeCell ref="H329:I329"/>
    <mergeCell ref="H328:I328"/>
    <mergeCell ref="H299:I299"/>
    <mergeCell ref="H298:I298"/>
    <mergeCell ref="H304:I304"/>
    <mergeCell ref="H310:I310"/>
    <mergeCell ref="H311:I311"/>
    <mergeCell ref="H312:I312"/>
    <mergeCell ref="H247:I247"/>
    <mergeCell ref="H284:I284"/>
    <mergeCell ref="H292:I292"/>
    <mergeCell ref="H291:I291"/>
    <mergeCell ref="H288:I288"/>
    <mergeCell ref="H285:I285"/>
    <mergeCell ref="H274:I274"/>
    <mergeCell ref="H271:I271"/>
    <mergeCell ref="H266:I266"/>
    <mergeCell ref="H261:I261"/>
    <mergeCell ref="H260:I260"/>
    <mergeCell ref="H257:I257"/>
    <mergeCell ref="H179:I179"/>
    <mergeCell ref="H177:I177"/>
    <mergeCell ref="H176:I176"/>
    <mergeCell ref="H175:I175"/>
    <mergeCell ref="H246:I246"/>
    <mergeCell ref="H241:I241"/>
    <mergeCell ref="H234:I234"/>
    <mergeCell ref="H231:I231"/>
    <mergeCell ref="H228:I228"/>
    <mergeCell ref="H199:I199"/>
    <mergeCell ref="H196:I196"/>
    <mergeCell ref="H195:I195"/>
    <mergeCell ref="H193:I193"/>
    <mergeCell ref="H190:I190"/>
    <mergeCell ref="H185:I185"/>
    <mergeCell ref="H221:I221"/>
    <mergeCell ref="H218:I218"/>
    <mergeCell ref="H217:I217"/>
    <mergeCell ref="H209:I209"/>
    <mergeCell ref="H201:I201"/>
    <mergeCell ref="H200:I200"/>
    <mergeCell ref="H22:I22"/>
    <mergeCell ref="H30:I30"/>
    <mergeCell ref="H21:I21"/>
    <mergeCell ref="H8:I8"/>
    <mergeCell ref="H7:I7"/>
    <mergeCell ref="H154:I154"/>
    <mergeCell ref="H151:I151"/>
    <mergeCell ref="H171:I171"/>
    <mergeCell ref="H167:I167"/>
    <mergeCell ref="H163:I163"/>
    <mergeCell ref="H162:I162"/>
    <mergeCell ref="H155:I155"/>
    <mergeCell ref="H50:I50"/>
    <mergeCell ref="H63:I63"/>
    <mergeCell ref="H82:I82"/>
    <mergeCell ref="H83:I83"/>
    <mergeCell ref="H84:I84"/>
    <mergeCell ref="H124:I124"/>
    <mergeCell ref="H112:I112"/>
  </mergeCells>
  <pageMargins left="0.7" right="0.7" top="0.75" bottom="0.75" header="0.3" footer="0.3"/>
  <pageSetup scale="38" fitToHeight="0" orientation="landscape" horizontalDpi="4294967295" verticalDpi="4294967295" r:id="rId1"/>
  <ignoredErrors>
    <ignoredError sqref="P574:P579" formula="1"/>
  </ignoredError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B2:E21"/>
  <sheetViews>
    <sheetView workbookViewId="0">
      <selection activeCell="B2" sqref="B2:E21"/>
    </sheetView>
  </sheetViews>
  <sheetFormatPr defaultRowHeight="15" x14ac:dyDescent="0.25"/>
  <cols>
    <col min="1" max="1" width="12.375" bestFit="1" customWidth="1"/>
    <col min="2" max="2" width="72.25" bestFit="1" customWidth="1"/>
    <col min="3" max="3" width="33.125" bestFit="1" customWidth="1"/>
    <col min="4" max="4" width="18.75" bestFit="1" customWidth="1"/>
    <col min="5" max="5" width="16.625" bestFit="1" customWidth="1"/>
  </cols>
  <sheetData>
    <row r="2" spans="2:5" ht="15.75" thickBot="1" x14ac:dyDescent="0.3">
      <c r="C2" s="198"/>
    </row>
    <row r="3" spans="2:5" x14ac:dyDescent="0.25">
      <c r="B3" s="530" t="s">
        <v>3</v>
      </c>
      <c r="C3" s="532" t="s">
        <v>1214</v>
      </c>
      <c r="D3" s="532" t="s">
        <v>1215</v>
      </c>
      <c r="E3" s="534" t="s">
        <v>1216</v>
      </c>
    </row>
    <row r="4" spans="2:5" x14ac:dyDescent="0.25">
      <c r="B4" s="531"/>
      <c r="C4" s="533"/>
      <c r="D4" s="533"/>
      <c r="E4" s="535"/>
    </row>
    <row r="5" spans="2:5" x14ac:dyDescent="0.25">
      <c r="B5" s="531"/>
      <c r="C5" s="533"/>
      <c r="D5" s="533"/>
      <c r="E5" s="535"/>
    </row>
    <row r="6" spans="2:5" x14ac:dyDescent="0.25">
      <c r="B6" s="531"/>
      <c r="C6" s="533"/>
      <c r="D6" s="533"/>
      <c r="E6" s="535"/>
    </row>
    <row r="7" spans="2:5" ht="28.5" x14ac:dyDescent="0.25">
      <c r="B7" s="425" t="s">
        <v>1217</v>
      </c>
      <c r="C7" s="426">
        <v>488.99169000000001</v>
      </c>
      <c r="D7" s="426" t="s">
        <v>1218</v>
      </c>
      <c r="E7" s="427" t="s">
        <v>1219</v>
      </c>
    </row>
    <row r="8" spans="2:5" ht="28.5" x14ac:dyDescent="0.25">
      <c r="B8" s="425" t="s">
        <v>1220</v>
      </c>
      <c r="C8" s="426">
        <v>341.82234999999997</v>
      </c>
      <c r="D8" s="426" t="s">
        <v>1218</v>
      </c>
      <c r="E8" s="427" t="s">
        <v>1221</v>
      </c>
    </row>
    <row r="9" spans="2:5" ht="28.5" x14ac:dyDescent="0.25">
      <c r="B9" s="425" t="s">
        <v>1222</v>
      </c>
      <c r="C9" s="426">
        <v>164.78618000000029</v>
      </c>
      <c r="D9" s="426" t="s">
        <v>1218</v>
      </c>
      <c r="E9" s="427" t="s">
        <v>1223</v>
      </c>
    </row>
    <row r="10" spans="2:5" ht="28.5" x14ac:dyDescent="0.25">
      <c r="B10" s="425" t="s">
        <v>1224</v>
      </c>
      <c r="C10" s="426">
        <v>90</v>
      </c>
      <c r="D10" s="426" t="s">
        <v>1218</v>
      </c>
      <c r="E10" s="427" t="s">
        <v>1225</v>
      </c>
    </row>
    <row r="11" spans="2:5" ht="28.5" x14ac:dyDescent="0.25">
      <c r="B11" s="425" t="s">
        <v>1226</v>
      </c>
      <c r="C11" s="426">
        <v>164.78618000000029</v>
      </c>
      <c r="D11" s="426" t="s">
        <v>1218</v>
      </c>
      <c r="E11" s="427" t="s">
        <v>1227</v>
      </c>
    </row>
    <row r="12" spans="2:5" ht="28.5" x14ac:dyDescent="0.25">
      <c r="B12" s="425" t="s">
        <v>1228</v>
      </c>
      <c r="C12" s="426">
        <v>68.502420000000001</v>
      </c>
      <c r="D12" s="426" t="s">
        <v>1218</v>
      </c>
      <c r="E12" s="427" t="s">
        <v>1227</v>
      </c>
    </row>
    <row r="13" spans="2:5" ht="28.5" x14ac:dyDescent="0.25">
      <c r="B13" s="425" t="s">
        <v>1229</v>
      </c>
      <c r="C13" s="426">
        <v>61.154929999999993</v>
      </c>
      <c r="D13" s="426" t="s">
        <v>1218</v>
      </c>
      <c r="E13" s="427" t="s">
        <v>1230</v>
      </c>
    </row>
    <row r="14" spans="2:5" ht="28.5" x14ac:dyDescent="0.25">
      <c r="B14" s="425" t="s">
        <v>1231</v>
      </c>
      <c r="C14" s="426">
        <v>90.000550000000018</v>
      </c>
      <c r="D14" s="426" t="s">
        <v>1218</v>
      </c>
      <c r="E14" s="427" t="s">
        <v>1230</v>
      </c>
    </row>
    <row r="15" spans="2:5" ht="28.5" x14ac:dyDescent="0.25">
      <c r="B15" s="425" t="s">
        <v>1232</v>
      </c>
      <c r="C15" s="426">
        <v>11.224410000000001</v>
      </c>
      <c r="D15" s="426" t="s">
        <v>1218</v>
      </c>
      <c r="E15" s="427" t="s">
        <v>1230</v>
      </c>
    </row>
    <row r="16" spans="2:5" ht="28.5" x14ac:dyDescent="0.25">
      <c r="B16" s="425" t="s">
        <v>1233</v>
      </c>
      <c r="C16" s="426">
        <v>278</v>
      </c>
      <c r="D16" s="426" t="s">
        <v>1234</v>
      </c>
      <c r="E16" s="427" t="s">
        <v>1235</v>
      </c>
    </row>
    <row r="17" spans="2:5" ht="28.5" x14ac:dyDescent="0.25">
      <c r="B17" s="425" t="s">
        <v>1236</v>
      </c>
      <c r="C17" s="426">
        <v>92.641870000000011</v>
      </c>
      <c r="D17" s="426" t="s">
        <v>1218</v>
      </c>
      <c r="E17" s="427" t="s">
        <v>1237</v>
      </c>
    </row>
    <row r="18" spans="2:5" ht="28.5" x14ac:dyDescent="0.25">
      <c r="B18" s="425" t="s">
        <v>1238</v>
      </c>
      <c r="C18" s="426">
        <v>750</v>
      </c>
      <c r="D18" s="426" t="s">
        <v>1234</v>
      </c>
      <c r="E18" s="428" t="s">
        <v>1239</v>
      </c>
    </row>
    <row r="19" spans="2:5" ht="28.5" x14ac:dyDescent="0.25">
      <c r="B19" s="425" t="s">
        <v>1240</v>
      </c>
      <c r="C19" s="426">
        <v>750</v>
      </c>
      <c r="D19" s="426" t="s">
        <v>1241</v>
      </c>
      <c r="E19" s="427" t="s">
        <v>1242</v>
      </c>
    </row>
    <row r="20" spans="2:5" ht="28.5" x14ac:dyDescent="0.25">
      <c r="B20" s="425" t="s">
        <v>1243</v>
      </c>
      <c r="C20" s="426">
        <v>618</v>
      </c>
      <c r="D20" s="429" t="s">
        <v>1244</v>
      </c>
      <c r="E20" s="427" t="s">
        <v>1245</v>
      </c>
    </row>
    <row r="21" spans="2:5" ht="29.25" thickBot="1" x14ac:dyDescent="0.3">
      <c r="B21" s="430" t="s">
        <v>1246</v>
      </c>
      <c r="C21" s="431">
        <v>220</v>
      </c>
      <c r="D21" s="426" t="s">
        <v>1218</v>
      </c>
      <c r="E21" s="432" t="s">
        <v>1247</v>
      </c>
    </row>
  </sheetData>
  <mergeCells count="4">
    <mergeCell ref="B3:B6"/>
    <mergeCell ref="C3:C6"/>
    <mergeCell ref="D3:D6"/>
    <mergeCell ref="E3:E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Steel erev.</vt:lpstr>
      <vt:lpstr>Sheet1</vt:lpstr>
      <vt:lpstr>BoQ</vt:lpstr>
      <vt:lpstr>Area Split</vt:lpstr>
      <vt:lpstr>Painting</vt:lpstr>
      <vt:lpstr>Piping W.L.</vt:lpstr>
      <vt:lpstr>Piping Chart</vt:lpstr>
      <vt:lpstr>Steel Structure W.L.</vt:lpstr>
      <vt:lpstr>Steel Structure Chart</vt:lpstr>
      <vt:lpstr>WL</vt:lpstr>
      <vt:lpstr>Control sheet</vt:lpstr>
      <vt:lpstr>Sheet4</vt:lpstr>
      <vt:lpstr>'Steel erev.'!period_selected</vt:lpstr>
      <vt:lpstr>BoQ!Print_Area</vt:lpstr>
      <vt:lpstr>'Steel erev.'!Print_Area</vt:lpstr>
      <vt:lpstr>'Steel erev.'!Print_Titles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RUP MRU phase</dc:title>
  <dc:creator>Francesco.Salerno@eni.com</dc:creator>
  <cp:keywords>Zohr Project</cp:keywords>
  <cp:lastModifiedBy>Mahmoud Moh.Shahwan</cp:lastModifiedBy>
  <cp:lastPrinted>2022-12-01T09:05:14Z</cp:lastPrinted>
  <dcterms:created xsi:type="dcterms:W3CDTF">2021-10-24T10:39:25Z</dcterms:created>
  <dcterms:modified xsi:type="dcterms:W3CDTF">2022-12-18T09:51:27Z</dcterms:modified>
  <cp:category>Petrobel Onshore team</cp:category>
</cp:coreProperties>
</file>